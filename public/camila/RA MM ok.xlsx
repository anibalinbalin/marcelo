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fundamentainvestments-my.sharepoint.com/personal/sebastianl_fundamentainvestments_onmicrosoft_com/Documents/FAM/Research/MEX/Banregio/"/>
    </mc:Choice>
  </mc:AlternateContent>
  <xr:revisionPtr revIDLastSave="6149" documentId="11_028264BC0EF7D3F814269D25C86E213D97E824CE" xr6:coauthVersionLast="47" xr6:coauthVersionMax="47" xr10:uidLastSave="{244AAD3E-4FB0-4F91-8AE3-D34D1D276026}"/>
  <bookViews>
    <workbookView xWindow="28680" yWindow="-120" windowWidth="29040" windowHeight="15720" xr2:uid="{9BEC71A8-6814-40FF-A419-53EFAFB0D3E0}"/>
  </bookViews>
  <sheets>
    <sheet name="RESUMO" sheetId="10" r:id="rId1"/>
    <sheet name="FAT" sheetId="7" r:id="rId2"/>
    <sheet name="Graficos" sheetId="11" r:id="rId3"/>
    <sheet name="macro" sheetId="8" r:id="rId4"/>
    <sheet name="PROJ" sheetId="9" r:id="rId5"/>
    <sheet name="ESG" sheetId="12" r:id="rId6"/>
  </sheets>
  <externalReferences>
    <externalReference r:id="rId7"/>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7" i="10" l="1"/>
  <c r="R27" i="10"/>
  <c r="Q27" i="10"/>
  <c r="P27" i="10"/>
  <c r="O27" i="10"/>
  <c r="N27" i="10"/>
  <c r="M27" i="10"/>
  <c r="L27" i="10"/>
  <c r="K27" i="10"/>
  <c r="J27" i="10"/>
  <c r="I27" i="10"/>
  <c r="H27" i="10"/>
  <c r="G27" i="10"/>
  <c r="F27" i="10"/>
  <c r="E27" i="10"/>
  <c r="D27" i="10"/>
  <c r="AW73" i="7"/>
  <c r="AX73" i="7" s="1"/>
  <c r="AY73" i="7" s="1"/>
  <c r="AZ73" i="7" s="1"/>
  <c r="BA73" i="7" s="1"/>
  <c r="BB73" i="7" s="1"/>
  <c r="AV73" i="7"/>
  <c r="AU73" i="7"/>
  <c r="AT73" i="7"/>
  <c r="AT55" i="7"/>
  <c r="AT53" i="7"/>
  <c r="AV50" i="7"/>
  <c r="AU50" i="7"/>
  <c r="AT50" i="7"/>
  <c r="AS60" i="7"/>
  <c r="AS59" i="7"/>
  <c r="AD50" i="7"/>
  <c r="AD53" i="7"/>
  <c r="AE55" i="7"/>
  <c r="AD55" i="7"/>
  <c r="AF60" i="7"/>
  <c r="AG60" i="7" s="1"/>
  <c r="AE60" i="7"/>
  <c r="AD60" i="7"/>
  <c r="AB59" i="7"/>
  <c r="AJ59" i="7" s="1"/>
  <c r="AA59" i="7"/>
  <c r="Z59" i="7"/>
  <c r="Y59" i="7"/>
  <c r="X59" i="7"/>
  <c r="W59" i="7"/>
  <c r="V59" i="7"/>
  <c r="U59" i="7"/>
  <c r="T59" i="7"/>
  <c r="S59" i="7"/>
  <c r="R59" i="7"/>
  <c r="R73" i="7" s="1"/>
  <c r="Q59" i="7"/>
  <c r="P59" i="7"/>
  <c r="O59" i="7"/>
  <c r="N59" i="7"/>
  <c r="M59" i="7"/>
  <c r="L59" i="7"/>
  <c r="K59" i="7"/>
  <c r="J59" i="7"/>
  <c r="I59" i="7"/>
  <c r="AC59" i="7"/>
  <c r="AB74" i="7"/>
  <c r="AA74" i="7"/>
  <c r="Z74" i="7"/>
  <c r="Y74" i="7"/>
  <c r="AC74" i="7"/>
  <c r="AD82" i="7"/>
  <c r="AD120" i="7"/>
  <c r="AC196" i="7"/>
  <c r="AC189" i="7" s="1"/>
  <c r="AC191" i="7" s="1"/>
  <c r="AB196" i="7"/>
  <c r="AB198" i="7" s="1"/>
  <c r="AF198" i="7" s="1"/>
  <c r="AC198" i="7"/>
  <c r="AC264" i="7"/>
  <c r="AC260" i="7"/>
  <c r="AC242" i="7"/>
  <c r="AC238" i="7"/>
  <c r="AC223" i="7"/>
  <c r="AC232" i="7" s="1"/>
  <c r="AC164" i="7"/>
  <c r="AC188" i="7"/>
  <c r="AC187" i="7"/>
  <c r="AC176" i="7"/>
  <c r="AC160" i="7"/>
  <c r="AC9" i="9" s="1"/>
  <c r="AC137" i="7"/>
  <c r="AC128" i="7"/>
  <c r="AC129" i="7" s="1"/>
  <c r="N122" i="7"/>
  <c r="O122" i="7"/>
  <c r="P122" i="7"/>
  <c r="Q122" i="7"/>
  <c r="R122" i="7"/>
  <c r="S125" i="7"/>
  <c r="T122" i="7"/>
  <c r="U125" i="7"/>
  <c r="V122" i="7"/>
  <c r="W122" i="7"/>
  <c r="X122" i="7"/>
  <c r="Y122" i="7"/>
  <c r="Z122" i="7"/>
  <c r="AA122" i="7"/>
  <c r="AB113" i="7"/>
  <c r="AB102" i="7" s="1"/>
  <c r="AC109" i="7"/>
  <c r="AC113" i="7"/>
  <c r="AC102" i="7" s="1"/>
  <c r="AC132" i="7" s="1"/>
  <c r="AC133" i="7" s="1"/>
  <c r="AC42" i="7"/>
  <c r="AC45" i="7"/>
  <c r="AC32" i="7"/>
  <c r="AC31" i="7"/>
  <c r="AC25" i="7"/>
  <c r="AC28" i="7" s="1"/>
  <c r="AC18" i="7"/>
  <c r="AC17" i="7"/>
  <c r="AE193" i="7"/>
  <c r="AF193" i="7" s="1"/>
  <c r="AG193" i="7" s="1"/>
  <c r="I16" i="10"/>
  <c r="G16" i="10"/>
  <c r="F16" i="10"/>
  <c r="F17" i="10"/>
  <c r="E16" i="10"/>
  <c r="D16" i="10"/>
  <c r="D17" i="10" s="1"/>
  <c r="H16" i="10"/>
  <c r="I17" i="10" s="1"/>
  <c r="AB264" i="7"/>
  <c r="AB242" i="7"/>
  <c r="AB238" i="7"/>
  <c r="AB223" i="7"/>
  <c r="AB183" i="7"/>
  <c r="AB12" i="9" s="1"/>
  <c r="AB172" i="7"/>
  <c r="AB176" i="7" s="1"/>
  <c r="AB160" i="7"/>
  <c r="AB9" i="9" s="1"/>
  <c r="AA113" i="7"/>
  <c r="AA265" i="7" s="1"/>
  <c r="AA266" i="7" s="1"/>
  <c r="AB105" i="7"/>
  <c r="AB109" i="7"/>
  <c r="AB137" i="7"/>
  <c r="AJ137" i="7" s="1"/>
  <c r="AB12" i="7"/>
  <c r="AJ12" i="7" s="1"/>
  <c r="AB32" i="7"/>
  <c r="AB31" i="7"/>
  <c r="AB25" i="7"/>
  <c r="AB28" i="7" s="1"/>
  <c r="AB18" i="7"/>
  <c r="AB39" i="9" s="1"/>
  <c r="AB17" i="7"/>
  <c r="AB40" i="9" s="1"/>
  <c r="B61" i="7"/>
  <c r="AG2" i="9"/>
  <c r="AF2" i="9"/>
  <c r="AE2" i="9"/>
  <c r="AD2" i="9"/>
  <c r="AG1" i="9"/>
  <c r="AF1" i="9"/>
  <c r="AE1" i="9"/>
  <c r="AD1" i="9"/>
  <c r="AB18" i="9"/>
  <c r="AA18" i="9"/>
  <c r="AB16" i="9"/>
  <c r="AA16" i="9"/>
  <c r="AA7" i="9"/>
  <c r="AA6" i="9"/>
  <c r="AA4" i="9"/>
  <c r="AB4" i="9"/>
  <c r="AB188" i="7"/>
  <c r="AB187" i="7"/>
  <c r="H72" i="7"/>
  <c r="G72" i="7"/>
  <c r="F72" i="7"/>
  <c r="E72" i="7"/>
  <c r="D72" i="7"/>
  <c r="C72" i="7"/>
  <c r="B72" i="7"/>
  <c r="AB42" i="7"/>
  <c r="AB45" i="7"/>
  <c r="AB165" i="7"/>
  <c r="U12" i="10" a="1"/>
  <c r="U12" i="10" s="1"/>
  <c r="AG170" i="7"/>
  <c r="AA165" i="7"/>
  <c r="AF170" i="7"/>
  <c r="AE170" i="7"/>
  <c r="AD170" i="7"/>
  <c r="AA188" i="7"/>
  <c r="Z188" i="7"/>
  <c r="Y188" i="7"/>
  <c r="X188" i="7"/>
  <c r="W188" i="7"/>
  <c r="V188" i="7"/>
  <c r="U188" i="7"/>
  <c r="T188" i="7"/>
  <c r="S188" i="7"/>
  <c r="R188" i="7"/>
  <c r="Q188" i="7"/>
  <c r="P188" i="7"/>
  <c r="O188" i="7"/>
  <c r="N188" i="7"/>
  <c r="M188" i="7"/>
  <c r="L188" i="7"/>
  <c r="K188" i="7"/>
  <c r="J188" i="7"/>
  <c r="I188" i="7"/>
  <c r="H188" i="7"/>
  <c r="G188" i="7"/>
  <c r="F188" i="7"/>
  <c r="E188" i="7"/>
  <c r="D188" i="7"/>
  <c r="C188" i="7"/>
  <c r="B188" i="7"/>
  <c r="AA264" i="7"/>
  <c r="AD264" i="7"/>
  <c r="AE264" i="7"/>
  <c r="AF264" i="7"/>
  <c r="AG264" i="7"/>
  <c r="AA260" i="7"/>
  <c r="AA196" i="7"/>
  <c r="AD14" i="7"/>
  <c r="AE14" i="7" s="1"/>
  <c r="AF14" i="7" s="1"/>
  <c r="AG14" i="7" s="1"/>
  <c r="AD13" i="7"/>
  <c r="AE13" i="7" s="1"/>
  <c r="AF13" i="7" s="1"/>
  <c r="AG13" i="7" s="1"/>
  <c r="AA12" i="7"/>
  <c r="AA137" i="7"/>
  <c r="AA42" i="7"/>
  <c r="AA45" i="7"/>
  <c r="AA31" i="7"/>
  <c r="AA25" i="7"/>
  <c r="AA35" i="9" s="1"/>
  <c r="AA261" i="7" s="1"/>
  <c r="AA18" i="7"/>
  <c r="AA39" i="9" s="1"/>
  <c r="AA17" i="7"/>
  <c r="AA40" i="9" s="1"/>
  <c r="AA109" i="7"/>
  <c r="AA187" i="7"/>
  <c r="AA176" i="7"/>
  <c r="X168" i="7"/>
  <c r="X164" i="7" s="1"/>
  <c r="X11" i="9" s="1"/>
  <c r="W168" i="7"/>
  <c r="V168" i="7"/>
  <c r="V164" i="7" s="1"/>
  <c r="U168" i="7"/>
  <c r="U164" i="7" s="1"/>
  <c r="T168" i="7"/>
  <c r="T165" i="7" s="1"/>
  <c r="Y168" i="7"/>
  <c r="Y165" i="7" s="1"/>
  <c r="Z168" i="7"/>
  <c r="Z165" i="7" s="1"/>
  <c r="AA242" i="7"/>
  <c r="AA238" i="7"/>
  <c r="AA223" i="7"/>
  <c r="AA232" i="7" s="1"/>
  <c r="AE232" i="7" s="1"/>
  <c r="Z160" i="7"/>
  <c r="Y189" i="7"/>
  <c r="X189" i="7"/>
  <c r="W189" i="7"/>
  <c r="W191" i="7" s="1"/>
  <c r="V189" i="7"/>
  <c r="V190" i="7" s="1"/>
  <c r="C15" i="12"/>
  <c r="C13" i="12"/>
  <c r="I11" i="12"/>
  <c r="D8" i="12"/>
  <c r="C8" i="12"/>
  <c r="J3" i="12"/>
  <c r="D2" i="12"/>
  <c r="D15" i="12"/>
  <c r="Z187" i="7"/>
  <c r="Y187" i="7"/>
  <c r="X187" i="7"/>
  <c r="W187" i="7"/>
  <c r="V187" i="7"/>
  <c r="U187" i="7"/>
  <c r="T187" i="7"/>
  <c r="S187" i="7"/>
  <c r="R187" i="7"/>
  <c r="Q187" i="7"/>
  <c r="P187" i="7"/>
  <c r="O187" i="7"/>
  <c r="N187" i="7"/>
  <c r="M187" i="7"/>
  <c r="L187" i="7"/>
  <c r="K187" i="7"/>
  <c r="J187" i="7"/>
  <c r="I187" i="7"/>
  <c r="H187" i="7"/>
  <c r="G187" i="7"/>
  <c r="F187" i="7"/>
  <c r="E187" i="7"/>
  <c r="D187" i="7"/>
  <c r="C187" i="7"/>
  <c r="B187" i="7"/>
  <c r="W163" i="7"/>
  <c r="Z163" i="7"/>
  <c r="N193" i="7"/>
  <c r="M193" i="7"/>
  <c r="L193" i="7"/>
  <c r="K193" i="7"/>
  <c r="J193" i="7"/>
  <c r="I193" i="7"/>
  <c r="H193" i="7"/>
  <c r="G193" i="7"/>
  <c r="F193" i="7"/>
  <c r="E193" i="7"/>
  <c r="D193" i="7"/>
  <c r="C193" i="7"/>
  <c r="B193" i="7"/>
  <c r="Z183" i="7"/>
  <c r="Z12" i="9" s="1"/>
  <c r="Z41" i="9"/>
  <c r="Y41" i="9"/>
  <c r="Z40" i="9"/>
  <c r="Y40" i="9"/>
  <c r="Z39" i="9"/>
  <c r="Y39" i="9"/>
  <c r="Z35" i="9"/>
  <c r="Y35" i="9"/>
  <c r="Y38" i="9"/>
  <c r="Z18" i="9"/>
  <c r="Z16" i="9"/>
  <c r="Z7" i="9"/>
  <c r="Z6" i="9"/>
  <c r="Z4" i="9"/>
  <c r="Z264" i="7"/>
  <c r="Z260" i="7"/>
  <c r="Z257" i="7"/>
  <c r="AD257" i="7" s="1"/>
  <c r="Z223" i="7"/>
  <c r="Z242" i="7"/>
  <c r="Z238" i="7"/>
  <c r="S160" i="7"/>
  <c r="S164" i="7"/>
  <c r="R164" i="7"/>
  <c r="Q164" i="7"/>
  <c r="Q11" i="9" s="1"/>
  <c r="P164" i="7"/>
  <c r="P11" i="9" s="1"/>
  <c r="O164" i="7"/>
  <c r="O11" i="9" s="1"/>
  <c r="N164" i="7"/>
  <c r="N11" i="9" s="1"/>
  <c r="M164" i="7"/>
  <c r="M11" i="9" s="1"/>
  <c r="L164" i="7"/>
  <c r="L11" i="9" s="1"/>
  <c r="K164" i="7"/>
  <c r="J164" i="7"/>
  <c r="I164" i="7"/>
  <c r="H164" i="7"/>
  <c r="G164" i="7"/>
  <c r="G11" i="9" s="1"/>
  <c r="F164" i="7"/>
  <c r="E164" i="7"/>
  <c r="E167" i="7" s="1"/>
  <c r="D164" i="7"/>
  <c r="D167" i="7" s="1"/>
  <c r="C164" i="7"/>
  <c r="C167" i="7" s="1"/>
  <c r="B164" i="7"/>
  <c r="Y183" i="7"/>
  <c r="Y12" i="9" s="1"/>
  <c r="X183" i="7"/>
  <c r="X12" i="9" s="1"/>
  <c r="W183" i="7"/>
  <c r="W12" i="9" s="1"/>
  <c r="V183" i="7"/>
  <c r="U183" i="7"/>
  <c r="U12" i="9" s="1"/>
  <c r="T183" i="7"/>
  <c r="S183" i="7"/>
  <c r="R183" i="7"/>
  <c r="Q183" i="7"/>
  <c r="P183" i="7"/>
  <c r="P12" i="9" s="1"/>
  <c r="O183" i="7"/>
  <c r="O12" i="9" s="1"/>
  <c r="N183" i="7"/>
  <c r="N12" i="9" s="1"/>
  <c r="M183" i="7"/>
  <c r="M12" i="9" s="1"/>
  <c r="L183" i="7"/>
  <c r="L12" i="9" s="1"/>
  <c r="K183" i="7"/>
  <c r="J183" i="7"/>
  <c r="I183" i="7"/>
  <c r="H183" i="7"/>
  <c r="G183" i="7"/>
  <c r="G12" i="9" s="1"/>
  <c r="F183" i="7"/>
  <c r="F12" i="9" s="1"/>
  <c r="E183" i="7"/>
  <c r="E12" i="9" s="1"/>
  <c r="D183" i="7"/>
  <c r="D184" i="7" s="1"/>
  <c r="C183" i="7"/>
  <c r="C12" i="9" s="1"/>
  <c r="B183" i="7"/>
  <c r="B12" i="9" s="1"/>
  <c r="AD169" i="7"/>
  <c r="Y176" i="7"/>
  <c r="X176" i="7"/>
  <c r="W176" i="7"/>
  <c r="V176" i="7"/>
  <c r="U176" i="7"/>
  <c r="T176" i="7"/>
  <c r="S176" i="7"/>
  <c r="R176" i="7"/>
  <c r="Q176" i="7"/>
  <c r="P176" i="7"/>
  <c r="O176" i="7"/>
  <c r="N176" i="7"/>
  <c r="M176" i="7"/>
  <c r="L176" i="7"/>
  <c r="K176" i="7"/>
  <c r="J176" i="7"/>
  <c r="I176" i="7"/>
  <c r="H176" i="7"/>
  <c r="G176" i="7"/>
  <c r="F176" i="7"/>
  <c r="E176" i="7"/>
  <c r="D176" i="7"/>
  <c r="C176" i="7"/>
  <c r="B176" i="7"/>
  <c r="Z176" i="7"/>
  <c r="Y264" i="7"/>
  <c r="Z196" i="7"/>
  <c r="Z197" i="7" s="1"/>
  <c r="Z137" i="7"/>
  <c r="Z113" i="7"/>
  <c r="Z247" i="7" s="1"/>
  <c r="Z109" i="7"/>
  <c r="Z12" i="7"/>
  <c r="Z32" i="7"/>
  <c r="Z25" i="7"/>
  <c r="AD25" i="7" s="1"/>
  <c r="Z18" i="7"/>
  <c r="Z17" i="7"/>
  <c r="Z42" i="7"/>
  <c r="Z45" i="7"/>
  <c r="Z66" i="7"/>
  <c r="Z68" i="7" s="1"/>
  <c r="Z77" i="7" s="1"/>
  <c r="Z73" i="7"/>
  <c r="Y58" i="9"/>
  <c r="Y52" i="9"/>
  <c r="Y34" i="9"/>
  <c r="Y26" i="9"/>
  <c r="Y18" i="9"/>
  <c r="Y7" i="9"/>
  <c r="Y6" i="9"/>
  <c r="Y4" i="9"/>
  <c r="Y2" i="9"/>
  <c r="Y1" i="9"/>
  <c r="U193" i="7"/>
  <c r="T193" i="7"/>
  <c r="R193" i="7"/>
  <c r="Q193" i="7"/>
  <c r="P193" i="7"/>
  <c r="O193" i="7"/>
  <c r="S193" i="7"/>
  <c r="C142" i="7"/>
  <c r="B142" i="7"/>
  <c r="Y197" i="7"/>
  <c r="AH5" i="7"/>
  <c r="Y257" i="7"/>
  <c r="AC257" i="7" s="1"/>
  <c r="Y260" i="7"/>
  <c r="Y242" i="7"/>
  <c r="Y238" i="7"/>
  <c r="Y223" i="7"/>
  <c r="Y203" i="7"/>
  <c r="Y204" i="7" s="1"/>
  <c r="T137" i="7"/>
  <c r="T158" i="7" s="1"/>
  <c r="Y16" i="9"/>
  <c r="T212" i="7"/>
  <c r="T16" i="9" s="1"/>
  <c r="R212" i="7"/>
  <c r="R16" i="9" s="1"/>
  <c r="Y160" i="7"/>
  <c r="Y9" i="9" s="1"/>
  <c r="Y137" i="7"/>
  <c r="Y158" i="7" s="1"/>
  <c r="X105" i="7"/>
  <c r="W105" i="7"/>
  <c r="V105" i="7"/>
  <c r="U105" i="7"/>
  <c r="T105" i="7"/>
  <c r="S105" i="7"/>
  <c r="R105" i="7"/>
  <c r="Q105" i="7"/>
  <c r="P105" i="7"/>
  <c r="O105" i="7"/>
  <c r="N105" i="7"/>
  <c r="M105" i="7"/>
  <c r="L105" i="7"/>
  <c r="K105" i="7"/>
  <c r="J105" i="7"/>
  <c r="I105" i="7"/>
  <c r="H105" i="7"/>
  <c r="G105" i="7"/>
  <c r="F105" i="7"/>
  <c r="E105" i="7"/>
  <c r="D105" i="7"/>
  <c r="C105" i="7"/>
  <c r="B105" i="7"/>
  <c r="Y113" i="7"/>
  <c r="Y265" i="7" s="1"/>
  <c r="Y109" i="7"/>
  <c r="Y49" i="7"/>
  <c r="Y55" i="7"/>
  <c r="Y12" i="7"/>
  <c r="Y42" i="7"/>
  <c r="Y45" i="7"/>
  <c r="Y32" i="7"/>
  <c r="Y31" i="7"/>
  <c r="Y18" i="7"/>
  <c r="Y22" i="7" s="1"/>
  <c r="Y17" i="7"/>
  <c r="Y21" i="7" s="1"/>
  <c r="Y25" i="7"/>
  <c r="Y30" i="7" s="1"/>
  <c r="U30" i="10"/>
  <c r="AD202" i="7"/>
  <c r="AE202" i="7" s="1"/>
  <c r="Y33" i="9"/>
  <c r="AV73" i="9"/>
  <c r="AW73" i="9"/>
  <c r="AX73" i="9"/>
  <c r="AY73" i="9"/>
  <c r="AZ73" i="9"/>
  <c r="BA73" i="9"/>
  <c r="BB73" i="9"/>
  <c r="AU73" i="9"/>
  <c r="Y49" i="9"/>
  <c r="N6" i="11"/>
  <c r="M6" i="11"/>
  <c r="L6" i="11"/>
  <c r="P6" i="11"/>
  <c r="Q6" i="11"/>
  <c r="R6" i="11"/>
  <c r="S6" i="11"/>
  <c r="K13" i="11"/>
  <c r="K11" i="11"/>
  <c r="K9" i="11"/>
  <c r="K8" i="11"/>
  <c r="K7" i="11"/>
  <c r="X152" i="7"/>
  <c r="W152" i="7"/>
  <c r="X151" i="7"/>
  <c r="W151" i="7"/>
  <c r="W150" i="7"/>
  <c r="V152" i="7"/>
  <c r="U152" i="7"/>
  <c r="T152" i="7"/>
  <c r="S152" i="7"/>
  <c r="R152" i="7"/>
  <c r="Q152" i="7"/>
  <c r="P152" i="7"/>
  <c r="O152" i="7"/>
  <c r="N152" i="7"/>
  <c r="M152" i="7"/>
  <c r="L152" i="7"/>
  <c r="K152" i="7"/>
  <c r="J152" i="7"/>
  <c r="I152" i="7"/>
  <c r="H152" i="7"/>
  <c r="G152" i="7"/>
  <c r="F152" i="7"/>
  <c r="E152" i="7"/>
  <c r="D152" i="7"/>
  <c r="C152" i="7"/>
  <c r="V151" i="7"/>
  <c r="U151" i="7"/>
  <c r="T151" i="7"/>
  <c r="S151" i="7"/>
  <c r="R151" i="7"/>
  <c r="Q151" i="7"/>
  <c r="P151" i="7"/>
  <c r="O151" i="7"/>
  <c r="N151" i="7"/>
  <c r="M151" i="7"/>
  <c r="L151" i="7"/>
  <c r="K151" i="7"/>
  <c r="J151" i="7"/>
  <c r="I151" i="7"/>
  <c r="H151" i="7"/>
  <c r="G151" i="7"/>
  <c r="F151" i="7"/>
  <c r="E151" i="7"/>
  <c r="D151" i="7"/>
  <c r="C151" i="7"/>
  <c r="V150" i="7"/>
  <c r="U150" i="7"/>
  <c r="T150" i="7"/>
  <c r="S150" i="7"/>
  <c r="R150" i="7"/>
  <c r="Q150" i="7"/>
  <c r="P150" i="7"/>
  <c r="O150" i="7"/>
  <c r="N150" i="7"/>
  <c r="M150" i="7"/>
  <c r="L150" i="7"/>
  <c r="K150" i="7"/>
  <c r="J150" i="7"/>
  <c r="I150" i="7"/>
  <c r="H150" i="7"/>
  <c r="G150" i="7"/>
  <c r="F150" i="7"/>
  <c r="E150" i="7"/>
  <c r="D150" i="7"/>
  <c r="C150" i="7"/>
  <c r="B152" i="7"/>
  <c r="B151" i="7"/>
  <c r="B150" i="7"/>
  <c r="X32" i="7"/>
  <c r="V32" i="7"/>
  <c r="U11" i="10" a="1"/>
  <c r="U11" i="10" s="1"/>
  <c r="J39" i="10" a="1"/>
  <c r="J39" i="10" s="1"/>
  <c r="BB1" i="9"/>
  <c r="BA1" i="9"/>
  <c r="BA1" i="7"/>
  <c r="BA188" i="7" s="1"/>
  <c r="AZ1" i="9"/>
  <c r="AY1" i="9"/>
  <c r="AX1" i="9"/>
  <c r="AW1" i="9"/>
  <c r="AV1" i="9"/>
  <c r="AU1" i="9"/>
  <c r="AU1" i="7"/>
  <c r="AU188" i="7" s="1"/>
  <c r="AT1" i="9"/>
  <c r="AT1" i="7"/>
  <c r="AT188" i="7" s="1"/>
  <c r="AS1" i="9"/>
  <c r="AS1" i="7"/>
  <c r="AR1" i="9"/>
  <c r="AR1" i="7"/>
  <c r="AQ1" i="9"/>
  <c r="AQ1" i="7"/>
  <c r="AP1" i="9"/>
  <c r="AO1" i="9"/>
  <c r="AO1" i="7"/>
  <c r="AN1" i="9"/>
  <c r="AN1" i="7"/>
  <c r="AM1" i="9"/>
  <c r="AM1" i="7"/>
  <c r="AL1" i="9"/>
  <c r="AL1" i="7"/>
  <c r="AZ1" i="7"/>
  <c r="AZ192" i="7" s="1"/>
  <c r="AY1" i="7"/>
  <c r="AY200" i="7" s="1"/>
  <c r="AX1" i="7"/>
  <c r="AX188" i="7" s="1"/>
  <c r="AW1" i="7"/>
  <c r="AW188" i="7" s="1"/>
  <c r="AV1" i="7"/>
  <c r="AV188" i="7" s="1"/>
  <c r="AP1" i="7"/>
  <c r="Z1" i="7"/>
  <c r="BB2" i="9"/>
  <c r="BA2" i="9"/>
  <c r="BA2" i="7"/>
  <c r="BB2" i="7" s="1"/>
  <c r="BB81" i="7" s="1"/>
  <c r="AZ2" i="9"/>
  <c r="AZ2" i="7"/>
  <c r="AZ81" i="7" s="1"/>
  <c r="AY2" i="9"/>
  <c r="AY2" i="7"/>
  <c r="AY123" i="7" s="1"/>
  <c r="AY119" i="7" s="1"/>
  <c r="AX2" i="9"/>
  <c r="AX2" i="7"/>
  <c r="AX81" i="7" s="1"/>
  <c r="AW2" i="9"/>
  <c r="AW2" i="7"/>
  <c r="AW81" i="7" s="1"/>
  <c r="AV2" i="9"/>
  <c r="AV2" i="7"/>
  <c r="AV123" i="7" s="1"/>
  <c r="AV119" i="7" s="1"/>
  <c r="AU2" i="9"/>
  <c r="AU2" i="7"/>
  <c r="AU123" i="7" s="1"/>
  <c r="AU119" i="7" s="1"/>
  <c r="AT2" i="9"/>
  <c r="AT2" i="7"/>
  <c r="AT81" i="7" s="1"/>
  <c r="AS2" i="9"/>
  <c r="AS2" i="7"/>
  <c r="Y2" i="11" s="1"/>
  <c r="AR2" i="9"/>
  <c r="AR2" i="7"/>
  <c r="X2" i="11" s="1"/>
  <c r="AQ2" i="9"/>
  <c r="AQ2" i="7"/>
  <c r="W2" i="11" s="1"/>
  <c r="W19" i="11" s="1"/>
  <c r="AP2" i="9"/>
  <c r="AP2" i="7"/>
  <c r="AO2" i="9"/>
  <c r="AO2" i="7"/>
  <c r="AN2" i="9"/>
  <c r="AN2" i="7"/>
  <c r="AM2" i="9"/>
  <c r="AM2" i="7"/>
  <c r="AL2" i="9"/>
  <c r="AL2" i="7"/>
  <c r="AC2" i="9"/>
  <c r="AB2" i="9"/>
  <c r="AB2" i="7"/>
  <c r="AB123" i="7" s="1"/>
  <c r="AC120" i="7" s="1"/>
  <c r="AA2" i="9"/>
  <c r="AA2" i="7"/>
  <c r="AA81" i="7" s="1"/>
  <c r="Z2" i="9"/>
  <c r="Z2" i="7"/>
  <c r="Y2" i="7"/>
  <c r="Y123" i="7" s="1"/>
  <c r="X2" i="9"/>
  <c r="X2" i="7"/>
  <c r="X123" i="7" s="1"/>
  <c r="W2" i="9"/>
  <c r="W2" i="7"/>
  <c r="W81" i="7" s="1"/>
  <c r="V2" i="9"/>
  <c r="V2" i="7"/>
  <c r="V123" i="7" s="1"/>
  <c r="U2" i="9"/>
  <c r="U2" i="7"/>
  <c r="T2" i="9"/>
  <c r="T2" i="7"/>
  <c r="T123" i="7" s="1"/>
  <c r="S2" i="9"/>
  <c r="S2" i="7"/>
  <c r="S81" i="7" s="1"/>
  <c r="R2" i="9"/>
  <c r="R2" i="7"/>
  <c r="R123" i="7" s="1"/>
  <c r="Q2" i="9"/>
  <c r="Q2" i="7"/>
  <c r="Q81" i="7" s="1"/>
  <c r="P2" i="9"/>
  <c r="P2" i="7"/>
  <c r="P123" i="7" s="1"/>
  <c r="O2" i="9"/>
  <c r="O2" i="7"/>
  <c r="O123" i="7" s="1"/>
  <c r="N2" i="9"/>
  <c r="N2" i="7"/>
  <c r="N123" i="7" s="1"/>
  <c r="M2" i="9"/>
  <c r="M2" i="7"/>
  <c r="M81" i="7" s="1"/>
  <c r="L2" i="9"/>
  <c r="L2" i="7"/>
  <c r="L123" i="7" s="1"/>
  <c r="L128" i="7" s="1"/>
  <c r="K2" i="9"/>
  <c r="K2" i="7"/>
  <c r="K81" i="7" s="1"/>
  <c r="J2" i="9"/>
  <c r="J2" i="7"/>
  <c r="J81" i="7" s="1"/>
  <c r="I2" i="9"/>
  <c r="I2" i="7"/>
  <c r="I81" i="7" s="1"/>
  <c r="H2" i="9"/>
  <c r="H2" i="7"/>
  <c r="H81" i="7" s="1"/>
  <c r="G2" i="9"/>
  <c r="G2" i="7"/>
  <c r="G123" i="7" s="1"/>
  <c r="G128" i="7" s="1"/>
  <c r="F2" i="9"/>
  <c r="F2" i="7"/>
  <c r="F123" i="7" s="1"/>
  <c r="E2" i="9"/>
  <c r="E2" i="7"/>
  <c r="E81" i="7" s="1"/>
  <c r="D2" i="9"/>
  <c r="D2" i="7"/>
  <c r="D81" i="7" s="1"/>
  <c r="C2" i="9"/>
  <c r="C2" i="7"/>
  <c r="C123" i="7" s="1"/>
  <c r="C128" i="7" s="1"/>
  <c r="AC1" i="9"/>
  <c r="AG1" i="7"/>
  <c r="AB1" i="9"/>
  <c r="AB1" i="7"/>
  <c r="AA1" i="9"/>
  <c r="AA1" i="7"/>
  <c r="Z1" i="9"/>
  <c r="X1" i="9"/>
  <c r="X1" i="7"/>
  <c r="W1" i="9"/>
  <c r="W1" i="7"/>
  <c r="V1" i="9"/>
  <c r="V1" i="7"/>
  <c r="U1" i="9"/>
  <c r="U1" i="7"/>
  <c r="T1" i="9"/>
  <c r="T1" i="7"/>
  <c r="S1" i="9"/>
  <c r="S1" i="7"/>
  <c r="R1" i="9"/>
  <c r="R1" i="7"/>
  <c r="Q1" i="9"/>
  <c r="Q1" i="7"/>
  <c r="P1" i="9"/>
  <c r="P1" i="7"/>
  <c r="O1" i="9"/>
  <c r="O1" i="7"/>
  <c r="N1" i="9"/>
  <c r="N1" i="7"/>
  <c r="M1" i="9"/>
  <c r="M1" i="7"/>
  <c r="L1" i="9"/>
  <c r="L1" i="7"/>
  <c r="K1" i="9"/>
  <c r="K1" i="7"/>
  <c r="J1" i="9"/>
  <c r="J1" i="7"/>
  <c r="I1" i="9"/>
  <c r="I1" i="7"/>
  <c r="H1" i="9"/>
  <c r="H1" i="7"/>
  <c r="G1" i="9"/>
  <c r="G1" i="7"/>
  <c r="F1" i="9"/>
  <c r="F1" i="7"/>
  <c r="E1" i="9"/>
  <c r="E1" i="7"/>
  <c r="D1" i="9"/>
  <c r="D1" i="7"/>
  <c r="C1" i="9"/>
  <c r="C1" i="7"/>
  <c r="B2" i="9"/>
  <c r="B2" i="7"/>
  <c r="B123" i="7" s="1"/>
  <c r="B128" i="7" s="1"/>
  <c r="B1" i="9"/>
  <c r="B1" i="7"/>
  <c r="AW192" i="7"/>
  <c r="AZ200" i="7"/>
  <c r="AC1" i="7"/>
  <c r="AD1" i="7"/>
  <c r="AD116" i="7" s="1"/>
  <c r="AF1" i="7"/>
  <c r="AE1" i="7"/>
  <c r="AA62" i="9"/>
  <c r="AB62" i="9"/>
  <c r="AC62" i="9"/>
  <c r="AD62" i="9"/>
  <c r="AE62" i="9"/>
  <c r="AF62" i="9"/>
  <c r="AG62" i="9"/>
  <c r="AA60" i="9"/>
  <c r="AB60" i="9"/>
  <c r="AC60" i="9"/>
  <c r="AD60" i="9"/>
  <c r="AE60" i="9"/>
  <c r="AF60" i="9"/>
  <c r="AG60" i="9"/>
  <c r="AA59" i="9"/>
  <c r="AB59" i="9"/>
  <c r="AC59" i="9"/>
  <c r="AD59" i="9"/>
  <c r="AE59" i="9"/>
  <c r="AF59" i="9"/>
  <c r="AG59" i="9"/>
  <c r="Y1" i="7"/>
  <c r="AD2" i="7"/>
  <c r="AD123" i="7" s="1"/>
  <c r="AD119" i="7" s="1"/>
  <c r="AC2" i="7"/>
  <c r="AC81" i="7" s="1"/>
  <c r="BB18" i="9"/>
  <c r="BA18" i="9"/>
  <c r="AZ18" i="9"/>
  <c r="AY18" i="9"/>
  <c r="AX18" i="9"/>
  <c r="AW18" i="9"/>
  <c r="AV18" i="9"/>
  <c r="AU18" i="9"/>
  <c r="AT18" i="9"/>
  <c r="AG18" i="9"/>
  <c r="AF18" i="9"/>
  <c r="AE18" i="9"/>
  <c r="AD18" i="9"/>
  <c r="AC18" i="9"/>
  <c r="X18" i="9"/>
  <c r="W18" i="9"/>
  <c r="V18" i="9"/>
  <c r="U18" i="9"/>
  <c r="T18" i="9"/>
  <c r="S18" i="9"/>
  <c r="R18" i="9"/>
  <c r="Q18" i="9"/>
  <c r="P18" i="9"/>
  <c r="O18" i="9"/>
  <c r="N18" i="9"/>
  <c r="M18" i="9"/>
  <c r="L18" i="9"/>
  <c r="K18" i="9"/>
  <c r="J18" i="9"/>
  <c r="I18" i="9"/>
  <c r="H18" i="9"/>
  <c r="G18" i="9"/>
  <c r="F18" i="9"/>
  <c r="E18" i="9"/>
  <c r="D18" i="9"/>
  <c r="C18" i="9"/>
  <c r="X16" i="9"/>
  <c r="W16" i="9"/>
  <c r="V16" i="9"/>
  <c r="U16" i="9"/>
  <c r="S16" i="9"/>
  <c r="Q16" i="9"/>
  <c r="P16" i="9"/>
  <c r="O16" i="9"/>
  <c r="N16" i="9"/>
  <c r="M16" i="9"/>
  <c r="L16" i="9"/>
  <c r="K16" i="9"/>
  <c r="J16" i="9"/>
  <c r="I16" i="9"/>
  <c r="H16" i="9"/>
  <c r="G16" i="9"/>
  <c r="F16" i="9"/>
  <c r="E16" i="9"/>
  <c r="D16" i="9"/>
  <c r="C16" i="9"/>
  <c r="X7" i="9"/>
  <c r="W7" i="9"/>
  <c r="V7" i="9"/>
  <c r="U7" i="9"/>
  <c r="T7" i="9"/>
  <c r="S7" i="9"/>
  <c r="R7" i="9"/>
  <c r="Q7" i="9"/>
  <c r="P7" i="9"/>
  <c r="O7" i="9"/>
  <c r="N7" i="9"/>
  <c r="M7" i="9"/>
  <c r="L7" i="9"/>
  <c r="K7" i="9"/>
  <c r="J7" i="9"/>
  <c r="I7" i="9"/>
  <c r="H7" i="9"/>
  <c r="G7" i="9"/>
  <c r="F7" i="9"/>
  <c r="E7" i="9"/>
  <c r="D7" i="9"/>
  <c r="C7" i="9"/>
  <c r="AL6" i="9"/>
  <c r="X6" i="9"/>
  <c r="W6" i="9"/>
  <c r="V6" i="9"/>
  <c r="U6" i="9"/>
  <c r="T6" i="9"/>
  <c r="S6" i="9"/>
  <c r="R6" i="9"/>
  <c r="Q6" i="9"/>
  <c r="P6" i="9"/>
  <c r="O6" i="9"/>
  <c r="N6" i="9"/>
  <c r="M6" i="9"/>
  <c r="L6" i="9"/>
  <c r="K6" i="9"/>
  <c r="J6" i="9"/>
  <c r="I6" i="9"/>
  <c r="H6" i="9"/>
  <c r="G6" i="9"/>
  <c r="F6" i="9"/>
  <c r="E6" i="9"/>
  <c r="D6" i="9"/>
  <c r="C6" i="9"/>
  <c r="B18" i="9"/>
  <c r="B16" i="9"/>
  <c r="B7" i="9"/>
  <c r="B6" i="9"/>
  <c r="AZ21" i="7"/>
  <c r="BA21" i="7" s="1"/>
  <c r="BB21" i="7" s="1"/>
  <c r="AZ31" i="7"/>
  <c r="BA31" i="7" s="1"/>
  <c r="BB31" i="7" s="1"/>
  <c r="AZ30" i="7"/>
  <c r="BA30" i="7" s="1"/>
  <c r="BB30" i="7" s="1"/>
  <c r="AA47" i="9"/>
  <c r="AB47" i="9"/>
  <c r="AC47" i="9"/>
  <c r="AD47" i="9"/>
  <c r="AE47" i="9"/>
  <c r="AF47" i="9"/>
  <c r="AG47" i="9"/>
  <c r="C38" i="10"/>
  <c r="AA46" i="9"/>
  <c r="AB46" i="9"/>
  <c r="AC46" i="9"/>
  <c r="AD46" i="9"/>
  <c r="AE46" i="9"/>
  <c r="AF46" i="9"/>
  <c r="AG46" i="9"/>
  <c r="Z203" i="7"/>
  <c r="Z204" i="7" s="1"/>
  <c r="AE2" i="7"/>
  <c r="AE123" i="7" s="1"/>
  <c r="AA61" i="9"/>
  <c r="AG2" i="7"/>
  <c r="AG123" i="7" s="1"/>
  <c r="AF2" i="7"/>
  <c r="AF123" i="7" s="1"/>
  <c r="AB61" i="9"/>
  <c r="AK239" i="7"/>
  <c r="AL100" i="7"/>
  <c r="AK261" i="7"/>
  <c r="W261" i="7"/>
  <c r="V261" i="7"/>
  <c r="U261" i="7"/>
  <c r="T261" i="7"/>
  <c r="S261" i="7"/>
  <c r="R261" i="7"/>
  <c r="Q261" i="7"/>
  <c r="P261" i="7"/>
  <c r="O261" i="7"/>
  <c r="N261" i="7"/>
  <c r="M261" i="7"/>
  <c r="L261" i="7"/>
  <c r="K261" i="7"/>
  <c r="J261" i="7"/>
  <c r="I261" i="7"/>
  <c r="H261" i="7"/>
  <c r="G261" i="7"/>
  <c r="F261" i="7"/>
  <c r="E261" i="7"/>
  <c r="D261" i="7"/>
  <c r="C261" i="7"/>
  <c r="B261" i="7"/>
  <c r="X261" i="7"/>
  <c r="W239" i="7"/>
  <c r="V239" i="7"/>
  <c r="U239" i="7"/>
  <c r="T239" i="7"/>
  <c r="S239" i="7"/>
  <c r="R239" i="7"/>
  <c r="Q239" i="7"/>
  <c r="P239" i="7"/>
  <c r="O239" i="7"/>
  <c r="N239" i="7"/>
  <c r="M239" i="7"/>
  <c r="L239" i="7"/>
  <c r="K239" i="7"/>
  <c r="J239" i="7"/>
  <c r="I239" i="7"/>
  <c r="H239" i="7"/>
  <c r="G239" i="7"/>
  <c r="F239" i="7"/>
  <c r="E239" i="7"/>
  <c r="D239" i="7"/>
  <c r="C239" i="7"/>
  <c r="B239" i="7"/>
  <c r="W203" i="7"/>
  <c r="W204" i="7" s="1"/>
  <c r="V203" i="7"/>
  <c r="V204" i="7" s="1"/>
  <c r="U203" i="7"/>
  <c r="U204" i="7" s="1"/>
  <c r="T203" i="7"/>
  <c r="T204" i="7" s="1"/>
  <c r="S203" i="7"/>
  <c r="S204" i="7" s="1"/>
  <c r="R203" i="7"/>
  <c r="R204" i="7" s="1"/>
  <c r="Q203" i="7"/>
  <c r="Q204" i="7" s="1"/>
  <c r="P203" i="7"/>
  <c r="P204" i="7" s="1"/>
  <c r="O203" i="7"/>
  <c r="O204" i="7" s="1"/>
  <c r="N203" i="7"/>
  <c r="N204" i="7" s="1"/>
  <c r="M203" i="7"/>
  <c r="M204" i="7" s="1"/>
  <c r="L203" i="7"/>
  <c r="L204" i="7" s="1"/>
  <c r="K203" i="7"/>
  <c r="K204" i="7" s="1"/>
  <c r="J203" i="7"/>
  <c r="J204" i="7" s="1"/>
  <c r="I203" i="7"/>
  <c r="I204" i="7" s="1"/>
  <c r="H203" i="7"/>
  <c r="H204" i="7" s="1"/>
  <c r="G203" i="7"/>
  <c r="G204" i="7" s="1"/>
  <c r="F203" i="7"/>
  <c r="F204" i="7" s="1"/>
  <c r="E203" i="7"/>
  <c r="E204" i="7" s="1"/>
  <c r="D203" i="7"/>
  <c r="D204" i="7" s="1"/>
  <c r="C203" i="7"/>
  <c r="C204" i="7" s="1"/>
  <c r="B203" i="7"/>
  <c r="B204" i="7" s="1"/>
  <c r="X203" i="7"/>
  <c r="X204" i="7" s="1"/>
  <c r="C26" i="9"/>
  <c r="D26" i="9"/>
  <c r="E26" i="9"/>
  <c r="F26" i="9"/>
  <c r="G26" i="9"/>
  <c r="H26" i="9"/>
  <c r="I26" i="9"/>
  <c r="J26" i="9"/>
  <c r="K26" i="9"/>
  <c r="L26" i="9"/>
  <c r="M26" i="9"/>
  <c r="N26" i="9"/>
  <c r="O26" i="9"/>
  <c r="P26" i="9"/>
  <c r="Q26" i="9"/>
  <c r="R26" i="9"/>
  <c r="S26" i="9"/>
  <c r="T26" i="9"/>
  <c r="U26" i="9"/>
  <c r="V26" i="9"/>
  <c r="W26" i="9"/>
  <c r="X26" i="9"/>
  <c r="Z26" i="9"/>
  <c r="AA26" i="9"/>
  <c r="AB26" i="9"/>
  <c r="AC26" i="9"/>
  <c r="AD26" i="9"/>
  <c r="AE26" i="9"/>
  <c r="AF26" i="9"/>
  <c r="AG26" i="9"/>
  <c r="C4" i="9"/>
  <c r="AM4" i="9"/>
  <c r="AN4" i="9"/>
  <c r="AO4" i="9"/>
  <c r="AP4" i="9"/>
  <c r="AQ4" i="9"/>
  <c r="AR4" i="9"/>
  <c r="AS4" i="9"/>
  <c r="AT4" i="9"/>
  <c r="AU4" i="9"/>
  <c r="AV4" i="9"/>
  <c r="AW4" i="9"/>
  <c r="AX4" i="9"/>
  <c r="AY4" i="9"/>
  <c r="AZ4" i="9"/>
  <c r="BA4" i="9"/>
  <c r="BB4" i="9"/>
  <c r="AM3" i="9"/>
  <c r="AL160" i="7"/>
  <c r="AL9" i="9" s="1"/>
  <c r="AM69" i="7"/>
  <c r="AN66" i="7" s="1"/>
  <c r="AM48" i="7"/>
  <c r="AM4" i="7"/>
  <c r="AN4" i="7" s="1"/>
  <c r="AM3" i="7"/>
  <c r="AN3" i="7" s="1"/>
  <c r="C4" i="7"/>
  <c r="D4" i="7" s="1"/>
  <c r="R41" i="10" a="1"/>
  <c r="R41" i="10" s="1"/>
  <c r="Q41" i="10" a="1"/>
  <c r="Q41" i="10" s="1"/>
  <c r="P41" i="10" a="1"/>
  <c r="P41" i="10" s="1"/>
  <c r="O41" i="10" a="1"/>
  <c r="O41" i="10" s="1"/>
  <c r="N41" i="10" a="1"/>
  <c r="N41" i="10" s="1"/>
  <c r="M41" i="10" a="1"/>
  <c r="M41" i="10" s="1"/>
  <c r="L41" i="10" a="1"/>
  <c r="L41" i="10" s="1"/>
  <c r="K41" i="10" a="1"/>
  <c r="K41" i="10" s="1"/>
  <c r="J41" i="10" a="1"/>
  <c r="J41" i="10" s="1"/>
  <c r="I41" i="10" a="1"/>
  <c r="I41" i="10" s="1"/>
  <c r="H41" i="10" a="1"/>
  <c r="H41" i="10" s="1"/>
  <c r="G41" i="10" a="1"/>
  <c r="G41" i="10" s="1"/>
  <c r="F41" i="10" a="1"/>
  <c r="F41" i="10" s="1"/>
  <c r="E41" i="10" a="1"/>
  <c r="E41" i="10" s="1"/>
  <c r="D41" i="10" a="1"/>
  <c r="D41" i="10" s="1"/>
  <c r="C41" i="10" a="1"/>
  <c r="C41" i="10" s="1"/>
  <c r="R39" i="10" a="1"/>
  <c r="R39" i="10" s="1"/>
  <c r="Q39" i="10" a="1"/>
  <c r="Q39" i="10" s="1"/>
  <c r="P39" i="10" a="1"/>
  <c r="P39" i="10" s="1"/>
  <c r="O39" i="10" a="1"/>
  <c r="O39" i="10" s="1"/>
  <c r="N39" i="10" a="1"/>
  <c r="N39" i="10" s="1"/>
  <c r="M39" i="10" a="1"/>
  <c r="M39" i="10" s="1"/>
  <c r="L39" i="10" a="1"/>
  <c r="L39" i="10" s="1"/>
  <c r="K39" i="10" a="1"/>
  <c r="K39" i="10" s="1"/>
  <c r="I39" i="10" a="1"/>
  <c r="I39" i="10" s="1"/>
  <c r="H39" i="10" a="1"/>
  <c r="H39" i="10" s="1"/>
  <c r="G39" i="10" a="1"/>
  <c r="G39" i="10" s="1"/>
  <c r="F39" i="10" a="1"/>
  <c r="F39" i="10" s="1"/>
  <c r="E39" i="10" a="1"/>
  <c r="E39" i="10" s="1"/>
  <c r="D39" i="10" a="1"/>
  <c r="D39" i="10" s="1"/>
  <c r="C39" i="10" a="1"/>
  <c r="C39" i="10" s="1"/>
  <c r="O2" i="10"/>
  <c r="D3" i="10"/>
  <c r="E3" i="10" s="1"/>
  <c r="AC61" i="9"/>
  <c r="AN3" i="9"/>
  <c r="D4" i="9"/>
  <c r="E4" i="9"/>
  <c r="F4" i="9"/>
  <c r="G4" i="9"/>
  <c r="H4" i="9"/>
  <c r="I4" i="9"/>
  <c r="J4" i="9"/>
  <c r="K4" i="9"/>
  <c r="L4" i="9"/>
  <c r="M4" i="9"/>
  <c r="N4" i="9"/>
  <c r="O4" i="9"/>
  <c r="P4" i="9"/>
  <c r="Q4" i="9"/>
  <c r="R4" i="9"/>
  <c r="S4" i="9"/>
  <c r="T4" i="9"/>
  <c r="U4" i="9"/>
  <c r="V4" i="9"/>
  <c r="W4" i="9"/>
  <c r="X4" i="9"/>
  <c r="AC4" i="9"/>
  <c r="AD4" i="9"/>
  <c r="AE4" i="9"/>
  <c r="AF4" i="9"/>
  <c r="AG4" i="9"/>
  <c r="AZ68" i="9"/>
  <c r="AV68" i="9"/>
  <c r="BA68" i="9"/>
  <c r="AW68" i="9"/>
  <c r="AD61" i="9"/>
  <c r="AT68" i="9"/>
  <c r="AX68" i="9"/>
  <c r="AY68" i="9"/>
  <c r="BB68" i="9"/>
  <c r="AU68" i="9"/>
  <c r="AN41" i="9"/>
  <c r="AM44" i="9"/>
  <c r="AL47" i="9"/>
  <c r="AN42" i="9"/>
  <c r="AN37" i="9"/>
  <c r="AM43" i="9"/>
  <c r="AL40" i="9"/>
  <c r="AN35" i="9"/>
  <c r="AN261" i="7" s="1"/>
  <c r="AN34" i="9"/>
  <c r="AM36" i="9"/>
  <c r="AL29" i="9"/>
  <c r="AL152" i="7" s="1"/>
  <c r="AN33" i="9"/>
  <c r="AM35" i="9"/>
  <c r="AM261" i="7" s="1"/>
  <c r="AL72" i="9"/>
  <c r="AN49" i="9"/>
  <c r="AN32" i="9"/>
  <c r="AN45" i="9"/>
  <c r="AM72" i="9"/>
  <c r="AL48" i="9"/>
  <c r="AN29" i="9"/>
  <c r="AN152" i="7" s="1"/>
  <c r="AN43" i="9"/>
  <c r="AO3" i="9"/>
  <c r="AO29" i="9"/>
  <c r="AO152" i="7" s="1"/>
  <c r="AN72" i="9"/>
  <c r="AL39" i="9"/>
  <c r="AM62" i="9"/>
  <c r="AL32" i="9"/>
  <c r="AM61" i="9"/>
  <c r="AL31" i="9"/>
  <c r="AM53" i="9"/>
  <c r="AN67" i="9"/>
  <c r="AN59" i="9"/>
  <c r="AL61" i="9"/>
  <c r="AN57" i="9"/>
  <c r="AL60" i="9"/>
  <c r="AN48" i="9"/>
  <c r="AN40" i="9"/>
  <c r="AN31" i="9"/>
  <c r="AM42" i="9"/>
  <c r="AM34" i="9"/>
  <c r="AL46" i="9"/>
  <c r="AL203" i="7"/>
  <c r="AL38" i="9"/>
  <c r="AL239" i="7" s="1"/>
  <c r="AN65" i="9"/>
  <c r="AN56" i="9"/>
  <c r="AM60" i="9"/>
  <c r="AL57" i="9"/>
  <c r="AM29" i="9"/>
  <c r="AM152" i="7" s="1"/>
  <c r="AN47" i="9"/>
  <c r="AN39" i="9"/>
  <c r="AN30" i="9"/>
  <c r="AN151" i="7" s="1"/>
  <c r="AM49" i="9"/>
  <c r="AM41" i="9"/>
  <c r="AM33" i="9"/>
  <c r="AL45" i="9"/>
  <c r="AL37" i="9"/>
  <c r="AN64" i="9"/>
  <c r="AN55" i="9"/>
  <c r="AM67" i="9"/>
  <c r="AM59" i="9"/>
  <c r="AL55" i="9"/>
  <c r="AN46" i="9"/>
  <c r="AN203" i="7"/>
  <c r="AN38" i="9"/>
  <c r="AN239" i="7" s="1"/>
  <c r="AM48" i="9"/>
  <c r="AM40" i="9"/>
  <c r="AM32" i="9"/>
  <c r="AL44" i="9"/>
  <c r="AL36" i="9"/>
  <c r="AN63" i="9"/>
  <c r="AN54" i="9"/>
  <c r="AM57" i="9"/>
  <c r="AL53" i="9"/>
  <c r="AM47" i="9"/>
  <c r="AM39" i="9"/>
  <c r="AM31" i="9"/>
  <c r="AL43" i="9"/>
  <c r="AL35" i="9"/>
  <c r="AL261" i="7" s="1"/>
  <c r="AN62" i="9"/>
  <c r="AN53" i="9"/>
  <c r="AM65" i="9"/>
  <c r="AM56" i="9"/>
  <c r="AM68" i="9"/>
  <c r="AN44" i="9"/>
  <c r="AN36" i="9"/>
  <c r="AM46" i="9"/>
  <c r="AM203" i="7"/>
  <c r="AM38" i="9"/>
  <c r="AM239" i="7" s="1"/>
  <c r="AM30" i="9"/>
  <c r="AM151" i="7" s="1"/>
  <c r="AL42" i="9"/>
  <c r="AL34" i="9"/>
  <c r="AN61" i="9"/>
  <c r="AM64" i="9"/>
  <c r="AM55" i="9"/>
  <c r="AL64" i="9"/>
  <c r="AM45" i="9"/>
  <c r="AM37" i="9"/>
  <c r="AL30" i="9"/>
  <c r="AL151" i="7" s="1"/>
  <c r="AL49" i="9"/>
  <c r="AL41" i="9"/>
  <c r="AL33" i="9"/>
  <c r="AN60" i="9"/>
  <c r="AM63" i="9"/>
  <c r="AM54" i="9"/>
  <c r="AL62" i="9"/>
  <c r="AL67" i="9"/>
  <c r="AL59" i="9"/>
  <c r="AL65" i="9"/>
  <c r="AL56" i="9"/>
  <c r="AN68" i="9"/>
  <c r="AL63" i="9"/>
  <c r="AL54" i="9"/>
  <c r="AL68" i="9"/>
  <c r="AE61" i="9"/>
  <c r="AO62" i="9"/>
  <c r="AO68" i="9"/>
  <c r="AO53" i="9"/>
  <c r="AO43" i="9"/>
  <c r="AO54" i="9"/>
  <c r="AO35" i="9"/>
  <c r="AO261" i="7" s="1"/>
  <c r="AO63" i="9"/>
  <c r="AO65" i="9"/>
  <c r="AO56" i="9"/>
  <c r="AO30" i="9"/>
  <c r="AO151" i="7" s="1"/>
  <c r="AO67" i="9"/>
  <c r="AO38" i="9"/>
  <c r="AO239" i="7" s="1"/>
  <c r="AO39" i="9"/>
  <c r="AO55" i="9"/>
  <c r="AO47" i="9"/>
  <c r="AO46" i="9"/>
  <c r="AO203" i="7"/>
  <c r="AO57" i="9"/>
  <c r="AP3" i="9"/>
  <c r="AO72" i="9"/>
  <c r="AO60" i="9"/>
  <c r="AO34" i="9"/>
  <c r="AO48" i="9"/>
  <c r="AO37" i="9"/>
  <c r="AO36" i="9"/>
  <c r="AO40" i="9"/>
  <c r="AO42" i="9"/>
  <c r="AO45" i="9"/>
  <c r="AO41" i="9"/>
  <c r="AO32" i="9"/>
  <c r="AO44" i="9"/>
  <c r="AO33" i="9"/>
  <c r="AO31" i="9"/>
  <c r="AO59" i="9"/>
  <c r="AF61" i="9"/>
  <c r="AQ3" i="9"/>
  <c r="AP72" i="9"/>
  <c r="AP55" i="9"/>
  <c r="AP35" i="9"/>
  <c r="AP261" i="7" s="1"/>
  <c r="AP65" i="9"/>
  <c r="AP41" i="9"/>
  <c r="AP54" i="9"/>
  <c r="AP34" i="9"/>
  <c r="AP39" i="9"/>
  <c r="AP48" i="9"/>
  <c r="AP29" i="9"/>
  <c r="AP152" i="7" s="1"/>
  <c r="AP40" i="9"/>
  <c r="AP42" i="9"/>
  <c r="AP37" i="9"/>
  <c r="AP32" i="9"/>
  <c r="AP44" i="9"/>
  <c r="AP62" i="9"/>
  <c r="AP47" i="9"/>
  <c r="AP46" i="9"/>
  <c r="AP203" i="7"/>
  <c r="AP43" i="9"/>
  <c r="AP31" i="9"/>
  <c r="AP45" i="9"/>
  <c r="AP60" i="9"/>
  <c r="AP63" i="9"/>
  <c r="AP67" i="9"/>
  <c r="AP53" i="9"/>
  <c r="AP36" i="9"/>
  <c r="AP56" i="9"/>
  <c r="AP68" i="9"/>
  <c r="AP33" i="9"/>
  <c r="AP59" i="9"/>
  <c r="AP57" i="9"/>
  <c r="AP30" i="9"/>
  <c r="AP151" i="7" s="1"/>
  <c r="AP38" i="9"/>
  <c r="AP239" i="7" s="1"/>
  <c r="AG61" i="9"/>
  <c r="AR3" i="9"/>
  <c r="AQ55" i="9"/>
  <c r="AQ32" i="9"/>
  <c r="AQ68" i="9"/>
  <c r="AS3" i="9"/>
  <c r="AR55" i="9"/>
  <c r="AR68" i="9"/>
  <c r="AR32" i="9"/>
  <c r="AS32" i="9"/>
  <c r="AS68" i="9"/>
  <c r="AS55" i="9"/>
  <c r="X34" i="9"/>
  <c r="X38" i="9"/>
  <c r="X239" i="7"/>
  <c r="AF26" i="7"/>
  <c r="AF36" i="9" s="1"/>
  <c r="AE26" i="7"/>
  <c r="AE36" i="9" s="1"/>
  <c r="C238" i="7"/>
  <c r="D238" i="7"/>
  <c r="E238" i="7"/>
  <c r="E240" i="7" s="1"/>
  <c r="F238" i="7"/>
  <c r="G238" i="7"/>
  <c r="G240" i="7" s="1"/>
  <c r="H238" i="7"/>
  <c r="I238" i="7"/>
  <c r="J238" i="7"/>
  <c r="K238" i="7"/>
  <c r="K240" i="7" s="1"/>
  <c r="L238" i="7"/>
  <c r="M238" i="7"/>
  <c r="N238" i="7"/>
  <c r="O238" i="7"/>
  <c r="P238" i="7"/>
  <c r="Q238" i="7"/>
  <c r="Q240" i="7" s="1"/>
  <c r="R238" i="7"/>
  <c r="S238" i="7"/>
  <c r="T238" i="7"/>
  <c r="U238" i="7"/>
  <c r="V238" i="7"/>
  <c r="W238" i="7"/>
  <c r="X238" i="7"/>
  <c r="C242" i="7"/>
  <c r="D242" i="7"/>
  <c r="E242" i="7"/>
  <c r="F242" i="7"/>
  <c r="G242" i="7"/>
  <c r="H242" i="7"/>
  <c r="I242" i="7"/>
  <c r="J242" i="7"/>
  <c r="K242" i="7"/>
  <c r="L242" i="7"/>
  <c r="M242" i="7"/>
  <c r="N242" i="7"/>
  <c r="O242" i="7"/>
  <c r="P242" i="7"/>
  <c r="Q242" i="7"/>
  <c r="R242" i="7"/>
  <c r="S242" i="7"/>
  <c r="T242" i="7"/>
  <c r="U242" i="7"/>
  <c r="V242" i="7"/>
  <c r="W242" i="7"/>
  <c r="X242" i="7"/>
  <c r="C253" i="7"/>
  <c r="C257" i="7" s="1"/>
  <c r="D253" i="7"/>
  <c r="D257" i="7" s="1"/>
  <c r="E253" i="7"/>
  <c r="E257" i="7" s="1"/>
  <c r="F253" i="7"/>
  <c r="F257" i="7" s="1"/>
  <c r="G253" i="7"/>
  <c r="G257" i="7" s="1"/>
  <c r="H253" i="7"/>
  <c r="H257" i="7" s="1"/>
  <c r="I253" i="7"/>
  <c r="I257" i="7" s="1"/>
  <c r="J253" i="7"/>
  <c r="J257" i="7" s="1"/>
  <c r="K253" i="7"/>
  <c r="K257" i="7" s="1"/>
  <c r="L253" i="7"/>
  <c r="L257" i="7" s="1"/>
  <c r="M253" i="7"/>
  <c r="M257" i="7" s="1"/>
  <c r="N253" i="7"/>
  <c r="N257" i="7" s="1"/>
  <c r="O253" i="7"/>
  <c r="O257" i="7" s="1"/>
  <c r="P253" i="7"/>
  <c r="P257" i="7" s="1"/>
  <c r="Q253" i="7"/>
  <c r="Q257" i="7" s="1"/>
  <c r="R257" i="7"/>
  <c r="S257" i="7"/>
  <c r="T257" i="7"/>
  <c r="U257" i="7"/>
  <c r="V257" i="7"/>
  <c r="W257" i="7"/>
  <c r="AA257" i="7" s="1"/>
  <c r="AE257" i="7" s="1"/>
  <c r="X257" i="7"/>
  <c r="AB257" i="7" s="1"/>
  <c r="AF257" i="7" s="1"/>
  <c r="C254" i="7"/>
  <c r="C256" i="7" s="1"/>
  <c r="D254" i="7"/>
  <c r="D256" i="7" s="1"/>
  <c r="E254" i="7"/>
  <c r="E256" i="7" s="1"/>
  <c r="F254" i="7"/>
  <c r="F256" i="7" s="1"/>
  <c r="G254" i="7"/>
  <c r="G256" i="7" s="1"/>
  <c r="H254" i="7"/>
  <c r="H256" i="7" s="1"/>
  <c r="I254" i="7"/>
  <c r="I256" i="7" s="1"/>
  <c r="J254" i="7"/>
  <c r="J256" i="7" s="1"/>
  <c r="K254" i="7"/>
  <c r="K256" i="7" s="1"/>
  <c r="L254" i="7"/>
  <c r="L256" i="7" s="1"/>
  <c r="M254" i="7"/>
  <c r="M256" i="7" s="1"/>
  <c r="N254" i="7"/>
  <c r="N256" i="7" s="1"/>
  <c r="O254" i="7"/>
  <c r="O256" i="7" s="1"/>
  <c r="P254" i="7"/>
  <c r="P256" i="7" s="1"/>
  <c r="Q254" i="7"/>
  <c r="Q256" i="7" s="1"/>
  <c r="R254" i="7"/>
  <c r="R256" i="7" s="1"/>
  <c r="S254" i="7"/>
  <c r="S256" i="7" s="1"/>
  <c r="T254" i="7"/>
  <c r="T256" i="7" s="1"/>
  <c r="U254" i="7"/>
  <c r="U256" i="7" s="1"/>
  <c r="V254" i="7"/>
  <c r="V256" i="7" s="1"/>
  <c r="W254" i="7"/>
  <c r="W256" i="7" s="1"/>
  <c r="X254" i="7"/>
  <c r="X256" i="7" s="1"/>
  <c r="C260" i="7"/>
  <c r="D260" i="7"/>
  <c r="E260" i="7"/>
  <c r="F260" i="7"/>
  <c r="G260" i="7"/>
  <c r="H260" i="7"/>
  <c r="I260" i="7"/>
  <c r="J260" i="7"/>
  <c r="K260" i="7"/>
  <c r="L260" i="7"/>
  <c r="M260" i="7"/>
  <c r="N260" i="7"/>
  <c r="O260" i="7"/>
  <c r="P260" i="7"/>
  <c r="Q260" i="7"/>
  <c r="R260" i="7"/>
  <c r="S260" i="7"/>
  <c r="T260" i="7"/>
  <c r="U260" i="7"/>
  <c r="V260" i="7"/>
  <c r="W260" i="7"/>
  <c r="X260" i="7"/>
  <c r="C264" i="7"/>
  <c r="D264" i="7"/>
  <c r="E264" i="7"/>
  <c r="F264" i="7"/>
  <c r="G264" i="7"/>
  <c r="H264" i="7"/>
  <c r="I264" i="7"/>
  <c r="J264" i="7"/>
  <c r="K264" i="7"/>
  <c r="L264" i="7"/>
  <c r="M264" i="7"/>
  <c r="N264" i="7"/>
  <c r="O264" i="7"/>
  <c r="P264" i="7"/>
  <c r="Q264" i="7"/>
  <c r="R264" i="7"/>
  <c r="S264" i="7"/>
  <c r="T264" i="7"/>
  <c r="U264" i="7"/>
  <c r="V264" i="7"/>
  <c r="W264" i="7"/>
  <c r="X264" i="7"/>
  <c r="B254" i="7"/>
  <c r="B256" i="7" s="1"/>
  <c r="B264" i="7"/>
  <c r="B260" i="7"/>
  <c r="B253" i="7"/>
  <c r="B257" i="7" s="1"/>
  <c r="B242" i="7"/>
  <c r="B238" i="7"/>
  <c r="P227" i="7"/>
  <c r="P223" i="7" s="1"/>
  <c r="P232" i="7" s="1"/>
  <c r="N227" i="7"/>
  <c r="N223" i="7" s="1"/>
  <c r="X223" i="7"/>
  <c r="X232" i="7" s="1"/>
  <c r="W223" i="7"/>
  <c r="V223" i="7"/>
  <c r="U223" i="7"/>
  <c r="T223" i="7"/>
  <c r="S223" i="7"/>
  <c r="S232" i="7" s="1"/>
  <c r="R223" i="7"/>
  <c r="R232" i="7" s="1"/>
  <c r="Q223" i="7"/>
  <c r="O223" i="7"/>
  <c r="O232" i="7" s="1"/>
  <c r="M223" i="7"/>
  <c r="M232" i="7" s="1"/>
  <c r="L223" i="7"/>
  <c r="L232" i="7" s="1"/>
  <c r="K223" i="7"/>
  <c r="K232" i="7" s="1"/>
  <c r="J223" i="7"/>
  <c r="J232" i="7" s="1"/>
  <c r="I223" i="7"/>
  <c r="I232" i="7" s="1"/>
  <c r="H223" i="7"/>
  <c r="H232" i="7" s="1"/>
  <c r="G223" i="7"/>
  <c r="F223" i="7"/>
  <c r="F232" i="7" s="1"/>
  <c r="E223" i="7"/>
  <c r="E232" i="7" s="1"/>
  <c r="D223" i="7"/>
  <c r="D232" i="7" s="1"/>
  <c r="C223" i="7"/>
  <c r="C232" i="7" s="1"/>
  <c r="B223" i="7"/>
  <c r="B232" i="7" s="1"/>
  <c r="X64" i="9"/>
  <c r="W64" i="9"/>
  <c r="V64" i="9"/>
  <c r="U64" i="9"/>
  <c r="AP64" i="9"/>
  <c r="T64" i="9"/>
  <c r="S64" i="9"/>
  <c r="R64" i="9"/>
  <c r="Q64" i="9"/>
  <c r="AO64" i="9"/>
  <c r="P64" i="9"/>
  <c r="O64" i="9"/>
  <c r="N64" i="9"/>
  <c r="W61" i="9"/>
  <c r="U61" i="9"/>
  <c r="AP61" i="9"/>
  <c r="T61" i="9"/>
  <c r="S61" i="9"/>
  <c r="R61" i="9"/>
  <c r="Q61" i="9"/>
  <c r="AO61" i="9"/>
  <c r="S59" i="9"/>
  <c r="S58" i="9"/>
  <c r="D59" i="9"/>
  <c r="D58" i="9"/>
  <c r="C59" i="9"/>
  <c r="C58" i="9"/>
  <c r="X58" i="9"/>
  <c r="W58" i="9"/>
  <c r="V58" i="9"/>
  <c r="U58" i="9"/>
  <c r="AP58" i="9"/>
  <c r="T58" i="9"/>
  <c r="R58" i="9"/>
  <c r="Q58" i="9"/>
  <c r="AO58" i="9"/>
  <c r="P58" i="9"/>
  <c r="O58" i="9"/>
  <c r="N58" i="9"/>
  <c r="M58" i="9"/>
  <c r="AN58" i="9"/>
  <c r="L58" i="9"/>
  <c r="K58" i="9"/>
  <c r="J58" i="9"/>
  <c r="I58" i="9"/>
  <c r="AM58" i="9"/>
  <c r="H58" i="9"/>
  <c r="G58" i="9"/>
  <c r="F58" i="9"/>
  <c r="E58" i="9"/>
  <c r="AL58" i="9"/>
  <c r="B58" i="9"/>
  <c r="X52" i="9"/>
  <c r="W52" i="9"/>
  <c r="V52" i="9"/>
  <c r="U52" i="9"/>
  <c r="AP52" i="9"/>
  <c r="T52" i="9"/>
  <c r="S52" i="9"/>
  <c r="R52" i="9"/>
  <c r="Q52" i="9"/>
  <c r="AO52" i="9"/>
  <c r="P52" i="9"/>
  <c r="O52" i="9"/>
  <c r="N52" i="9"/>
  <c r="M52" i="9"/>
  <c r="AN52" i="9"/>
  <c r="L52" i="9"/>
  <c r="K52" i="9"/>
  <c r="J52" i="9"/>
  <c r="I52" i="9"/>
  <c r="AM52" i="9"/>
  <c r="H52" i="9"/>
  <c r="G52" i="9"/>
  <c r="F52" i="9"/>
  <c r="E52" i="9"/>
  <c r="AL52" i="9"/>
  <c r="D52" i="9"/>
  <c r="C52" i="9"/>
  <c r="B52" i="9"/>
  <c r="X49" i="9"/>
  <c r="W49" i="9"/>
  <c r="W28" i="9"/>
  <c r="V49" i="9"/>
  <c r="V28" i="9"/>
  <c r="U49" i="9"/>
  <c r="T49" i="9"/>
  <c r="T28" i="9"/>
  <c r="S49" i="9"/>
  <c r="S28" i="9"/>
  <c r="R49" i="9"/>
  <c r="R28" i="9"/>
  <c r="Q49" i="9"/>
  <c r="P49" i="9"/>
  <c r="P28" i="9"/>
  <c r="O49" i="9"/>
  <c r="O28" i="9"/>
  <c r="N49" i="9"/>
  <c r="N28" i="9"/>
  <c r="M28" i="9"/>
  <c r="AN28" i="9"/>
  <c r="L28" i="9"/>
  <c r="K28" i="9"/>
  <c r="J28" i="9"/>
  <c r="I28" i="9"/>
  <c r="AM28" i="9"/>
  <c r="H28" i="9"/>
  <c r="G28" i="9"/>
  <c r="F28" i="9"/>
  <c r="E28" i="9"/>
  <c r="AL28" i="9"/>
  <c r="D28" i="9"/>
  <c r="C28" i="9"/>
  <c r="B28" i="9"/>
  <c r="W197" i="7"/>
  <c r="V197" i="7"/>
  <c r="U197" i="7"/>
  <c r="T197" i="7"/>
  <c r="S197" i="7"/>
  <c r="R197" i="7"/>
  <c r="Q197" i="7"/>
  <c r="P197" i="7"/>
  <c r="O197" i="7"/>
  <c r="N197" i="7"/>
  <c r="M197" i="7"/>
  <c r="L197" i="7"/>
  <c r="K197" i="7"/>
  <c r="J197" i="7"/>
  <c r="I197" i="7"/>
  <c r="H197" i="7"/>
  <c r="G197" i="7"/>
  <c r="F197" i="7"/>
  <c r="E197" i="7"/>
  <c r="D197" i="7"/>
  <c r="C197" i="7"/>
  <c r="Y198" i="7"/>
  <c r="P190" i="7"/>
  <c r="O190" i="7"/>
  <c r="N190" i="7"/>
  <c r="M190" i="7"/>
  <c r="L190" i="7"/>
  <c r="K190" i="7"/>
  <c r="J190" i="7"/>
  <c r="I190" i="7"/>
  <c r="H190" i="7"/>
  <c r="G190" i="7"/>
  <c r="F190" i="7"/>
  <c r="E190" i="7"/>
  <c r="D190" i="7"/>
  <c r="C190" i="7"/>
  <c r="B190" i="7"/>
  <c r="U190" i="7"/>
  <c r="T190" i="7"/>
  <c r="S190" i="7"/>
  <c r="R190" i="7"/>
  <c r="X160" i="7"/>
  <c r="X9" i="9" s="1"/>
  <c r="W160" i="7"/>
  <c r="W9" i="9" s="1"/>
  <c r="V160" i="7"/>
  <c r="V9" i="9" s="1"/>
  <c r="U160" i="7"/>
  <c r="U9" i="9" s="1"/>
  <c r="T160" i="7"/>
  <c r="T9" i="9" s="1"/>
  <c r="S9" i="9"/>
  <c r="R160" i="7"/>
  <c r="R9" i="9" s="1"/>
  <c r="Q160" i="7"/>
  <c r="Q9" i="9" s="1"/>
  <c r="P160" i="7"/>
  <c r="P9" i="9" s="1"/>
  <c r="O160" i="7"/>
  <c r="O9" i="9" s="1"/>
  <c r="N160" i="7"/>
  <c r="N9" i="9" s="1"/>
  <c r="M160" i="7"/>
  <c r="M9" i="9" s="1"/>
  <c r="L160" i="7"/>
  <c r="L9" i="9" s="1"/>
  <c r="K160" i="7"/>
  <c r="K9" i="9" s="1"/>
  <c r="J160" i="7"/>
  <c r="J9" i="9" s="1"/>
  <c r="I160" i="7"/>
  <c r="I9" i="9" s="1"/>
  <c r="H160" i="7"/>
  <c r="H9" i="9" s="1"/>
  <c r="G160" i="7"/>
  <c r="F160" i="7"/>
  <c r="F9" i="9" s="1"/>
  <c r="E160" i="7"/>
  <c r="E9" i="9" s="1"/>
  <c r="D160" i="7"/>
  <c r="D9" i="9" s="1"/>
  <c r="C160" i="7"/>
  <c r="C9" i="9" s="1"/>
  <c r="B160" i="7"/>
  <c r="B9" i="9" s="1"/>
  <c r="S11" i="9"/>
  <c r="J11" i="9"/>
  <c r="I11" i="9"/>
  <c r="H11" i="9"/>
  <c r="X198" i="7"/>
  <c r="W198" i="7"/>
  <c r="V198" i="7"/>
  <c r="U198" i="7"/>
  <c r="T198" i="7"/>
  <c r="S198" i="7"/>
  <c r="R198" i="7"/>
  <c r="Q198" i="7"/>
  <c r="P198" i="7"/>
  <c r="O198" i="7"/>
  <c r="N198" i="7"/>
  <c r="M198" i="7"/>
  <c r="L198" i="7"/>
  <c r="K198" i="7"/>
  <c r="J198" i="7"/>
  <c r="I198" i="7"/>
  <c r="H198" i="7"/>
  <c r="G198" i="7"/>
  <c r="F198" i="7"/>
  <c r="E198" i="7"/>
  <c r="E200" i="7" s="1"/>
  <c r="D198" i="7"/>
  <c r="C198" i="7"/>
  <c r="C200" i="7" s="1"/>
  <c r="B198" i="7"/>
  <c r="B199" i="7" s="1"/>
  <c r="X197" i="7"/>
  <c r="B197" i="7"/>
  <c r="U191" i="7"/>
  <c r="T191" i="7"/>
  <c r="S191" i="7"/>
  <c r="R191" i="7"/>
  <c r="Q191" i="7"/>
  <c r="P191" i="7"/>
  <c r="O191" i="7"/>
  <c r="N191" i="7"/>
  <c r="M191" i="7"/>
  <c r="L191" i="7"/>
  <c r="K191" i="7"/>
  <c r="J191" i="7"/>
  <c r="I191" i="7"/>
  <c r="H191" i="7"/>
  <c r="G191" i="7"/>
  <c r="F191" i="7"/>
  <c r="E191" i="7"/>
  <c r="D191" i="7"/>
  <c r="C191" i="7"/>
  <c r="B191" i="7"/>
  <c r="B192" i="7" s="1"/>
  <c r="Q190" i="7"/>
  <c r="H12" i="9"/>
  <c r="I12" i="9"/>
  <c r="J12" i="9"/>
  <c r="S12" i="9"/>
  <c r="V12" i="9"/>
  <c r="T12" i="9"/>
  <c r="AQ49" i="9"/>
  <c r="AA63" i="9"/>
  <c r="AB63" i="9"/>
  <c r="AC63" i="9"/>
  <c r="AQ63" i="9"/>
  <c r="AA41" i="9"/>
  <c r="AB41" i="9"/>
  <c r="AC41" i="9"/>
  <c r="AQ41" i="9"/>
  <c r="AA65" i="9"/>
  <c r="AB65" i="9"/>
  <c r="AC65" i="9"/>
  <c r="AQ65" i="9"/>
  <c r="AA43" i="9"/>
  <c r="AB43" i="9"/>
  <c r="AC43" i="9"/>
  <c r="AQ43" i="9"/>
  <c r="AA56" i="9"/>
  <c r="AB56" i="9"/>
  <c r="AC56" i="9"/>
  <c r="AQ56" i="9"/>
  <c r="AA31" i="9"/>
  <c r="AB31" i="9"/>
  <c r="AC31" i="9"/>
  <c r="AQ31" i="9"/>
  <c r="Q28" i="9"/>
  <c r="AO28" i="9"/>
  <c r="AO49" i="9"/>
  <c r="AA44" i="9"/>
  <c r="AB44" i="9"/>
  <c r="AC44" i="9"/>
  <c r="AQ44" i="9"/>
  <c r="AA57" i="9"/>
  <c r="AB57" i="9"/>
  <c r="AC57" i="9"/>
  <c r="AQ57" i="9"/>
  <c r="AA45" i="9"/>
  <c r="AB45" i="9"/>
  <c r="AC45" i="9"/>
  <c r="AQ45" i="9"/>
  <c r="AQ59" i="9"/>
  <c r="AQ46" i="9"/>
  <c r="AQ203" i="7"/>
  <c r="AQ60" i="9"/>
  <c r="AQ47" i="9"/>
  <c r="AQ61" i="9"/>
  <c r="U28" i="9"/>
  <c r="AP28" i="9"/>
  <c r="AP49" i="9"/>
  <c r="AA48" i="9"/>
  <c r="AB48" i="9"/>
  <c r="AC48" i="9"/>
  <c r="AQ48" i="9"/>
  <c r="AQ62" i="9"/>
  <c r="E51" i="9"/>
  <c r="AL51" i="9"/>
  <c r="M51" i="9"/>
  <c r="AN51" i="9"/>
  <c r="F51" i="9"/>
  <c r="F69" i="9"/>
  <c r="N51" i="9"/>
  <c r="N69" i="9"/>
  <c r="V51" i="9"/>
  <c r="V69" i="9"/>
  <c r="G51" i="9"/>
  <c r="G69" i="9"/>
  <c r="O51" i="9"/>
  <c r="O69" i="9"/>
  <c r="B51" i="9"/>
  <c r="B69" i="9"/>
  <c r="K51" i="9"/>
  <c r="K69" i="9"/>
  <c r="I51" i="9"/>
  <c r="R51" i="9"/>
  <c r="R69" i="9"/>
  <c r="J51" i="9"/>
  <c r="J69" i="9"/>
  <c r="S51" i="9"/>
  <c r="S69" i="9"/>
  <c r="W51" i="9"/>
  <c r="W69" i="9"/>
  <c r="Q51" i="9"/>
  <c r="D51" i="9"/>
  <c r="D69" i="9"/>
  <c r="L51" i="9"/>
  <c r="L69" i="9"/>
  <c r="T51" i="9"/>
  <c r="T69" i="9"/>
  <c r="U51" i="9"/>
  <c r="X33" i="9"/>
  <c r="X150" i="7"/>
  <c r="H51" i="9"/>
  <c r="H69" i="9"/>
  <c r="P51" i="9"/>
  <c r="P69" i="9"/>
  <c r="X51" i="9"/>
  <c r="AQ36" i="9"/>
  <c r="AQ37" i="9"/>
  <c r="AC37" i="9"/>
  <c r="AR37" i="9" s="1"/>
  <c r="AA36" i="9"/>
  <c r="AB36" i="9"/>
  <c r="Y261" i="7"/>
  <c r="C51" i="9"/>
  <c r="C69" i="9"/>
  <c r="W137" i="7"/>
  <c r="W158" i="7" s="1"/>
  <c r="X137" i="7"/>
  <c r="X158" i="7" s="1"/>
  <c r="X113" i="7"/>
  <c r="X265" i="7" s="1"/>
  <c r="W113" i="7"/>
  <c r="W265" i="7" s="1"/>
  <c r="X109" i="7"/>
  <c r="W109" i="7"/>
  <c r="X12" i="7"/>
  <c r="V12" i="7"/>
  <c r="U12" i="7"/>
  <c r="T12" i="7"/>
  <c r="S12" i="7"/>
  <c r="R12" i="7"/>
  <c r="Q12" i="7"/>
  <c r="P12" i="7"/>
  <c r="O12" i="7"/>
  <c r="N12" i="7"/>
  <c r="M12" i="7"/>
  <c r="L12" i="7"/>
  <c r="K12" i="7"/>
  <c r="J12" i="7"/>
  <c r="I12" i="7"/>
  <c r="H12" i="7"/>
  <c r="G12" i="7"/>
  <c r="F12" i="7"/>
  <c r="E12" i="7"/>
  <c r="D12" i="7"/>
  <c r="C12" i="7"/>
  <c r="B12" i="7"/>
  <c r="W12" i="7"/>
  <c r="W66" i="7"/>
  <c r="W68" i="7" s="1"/>
  <c r="W77" i="7" s="1"/>
  <c r="X73" i="7"/>
  <c r="W73" i="7"/>
  <c r="X45" i="7"/>
  <c r="W45" i="7"/>
  <c r="X42" i="7"/>
  <c r="W42" i="7"/>
  <c r="X25" i="7"/>
  <c r="W25" i="7"/>
  <c r="W30" i="7" s="1"/>
  <c r="W27" i="7"/>
  <c r="X18" i="7"/>
  <c r="X22" i="7" s="1"/>
  <c r="W18" i="7"/>
  <c r="W22" i="7" s="1"/>
  <c r="X17" i="7"/>
  <c r="X21" i="7" s="1"/>
  <c r="W17" i="7"/>
  <c r="W21" i="7" s="1"/>
  <c r="X31" i="7"/>
  <c r="W31" i="7"/>
  <c r="X191" i="7"/>
  <c r="AQ58" i="9"/>
  <c r="AQ34" i="9"/>
  <c r="Z58" i="9"/>
  <c r="AQ35" i="9"/>
  <c r="AQ261" i="7" s="1"/>
  <c r="X28" i="9"/>
  <c r="X69" i="9"/>
  <c r="E69" i="9"/>
  <c r="M69" i="9"/>
  <c r="Q69" i="9"/>
  <c r="AO51" i="9"/>
  <c r="U69" i="9"/>
  <c r="AP51" i="9"/>
  <c r="AS62" i="9"/>
  <c r="AT62" i="9"/>
  <c r="AU62" i="9"/>
  <c r="AV62" i="9"/>
  <c r="AW62" i="9"/>
  <c r="AX62" i="9"/>
  <c r="AY62" i="9"/>
  <c r="AZ62" i="9"/>
  <c r="BA62" i="9"/>
  <c r="BB62" i="9"/>
  <c r="AR62" i="9"/>
  <c r="AS61" i="9"/>
  <c r="AT61" i="9"/>
  <c r="AR61" i="9"/>
  <c r="AD65" i="9"/>
  <c r="AE65" i="9"/>
  <c r="AF65" i="9"/>
  <c r="AG65" i="9"/>
  <c r="AS65" i="9"/>
  <c r="AT65" i="9"/>
  <c r="AU65" i="9"/>
  <c r="AV65" i="9"/>
  <c r="AW65" i="9"/>
  <c r="AX65" i="9"/>
  <c r="AY65" i="9"/>
  <c r="AZ65" i="9"/>
  <c r="BA65" i="9"/>
  <c r="BB65" i="9"/>
  <c r="AR65" i="9"/>
  <c r="AD48" i="9"/>
  <c r="AE48" i="9"/>
  <c r="AF48" i="9"/>
  <c r="AG48" i="9"/>
  <c r="AS48" i="9"/>
  <c r="AT48" i="9"/>
  <c r="AU48" i="9"/>
  <c r="AV48" i="9"/>
  <c r="AW48" i="9"/>
  <c r="AX48" i="9"/>
  <c r="AY48" i="9"/>
  <c r="AZ48" i="9"/>
  <c r="BA48" i="9"/>
  <c r="BB48" i="9"/>
  <c r="AR48" i="9"/>
  <c r="AS47" i="9"/>
  <c r="AT47" i="9"/>
  <c r="AU47" i="9"/>
  <c r="AV47" i="9"/>
  <c r="AW47" i="9"/>
  <c r="AX47" i="9"/>
  <c r="AY47" i="9"/>
  <c r="AZ47" i="9"/>
  <c r="BA47" i="9"/>
  <c r="BB47" i="9"/>
  <c r="AR47" i="9"/>
  <c r="AD45" i="9"/>
  <c r="AE45" i="9"/>
  <c r="AF45" i="9"/>
  <c r="AG45" i="9"/>
  <c r="AS45" i="9"/>
  <c r="AT45" i="9"/>
  <c r="AU45" i="9"/>
  <c r="AV45" i="9"/>
  <c r="AW45" i="9"/>
  <c r="AX45" i="9"/>
  <c r="AY45" i="9"/>
  <c r="AZ45" i="9"/>
  <c r="BA45" i="9"/>
  <c r="BB45" i="9"/>
  <c r="AR45" i="9"/>
  <c r="AD31" i="9"/>
  <c r="AE31" i="9"/>
  <c r="AF31" i="9"/>
  <c r="AG31" i="9"/>
  <c r="AS31" i="9"/>
  <c r="AT31" i="9"/>
  <c r="AU31" i="9"/>
  <c r="AV31" i="9"/>
  <c r="AW31" i="9"/>
  <c r="AX31" i="9"/>
  <c r="AY31" i="9"/>
  <c r="AZ31" i="9"/>
  <c r="BA31" i="9"/>
  <c r="BB31" i="9"/>
  <c r="AR31" i="9"/>
  <c r="AD41" i="9"/>
  <c r="AE41" i="9"/>
  <c r="AF41" i="9"/>
  <c r="AG41" i="9"/>
  <c r="AS41" i="9"/>
  <c r="AT41" i="9"/>
  <c r="AU41" i="9"/>
  <c r="AV41" i="9"/>
  <c r="AW41" i="9"/>
  <c r="AX41" i="9"/>
  <c r="AY41" i="9"/>
  <c r="AZ41" i="9"/>
  <c r="BA41" i="9"/>
  <c r="BB41" i="9"/>
  <c r="AR41" i="9"/>
  <c r="I69" i="9"/>
  <c r="AM51" i="9"/>
  <c r="AS60" i="9"/>
  <c r="AT60" i="9"/>
  <c r="AU60" i="9"/>
  <c r="AV60" i="9"/>
  <c r="AW60" i="9"/>
  <c r="AX60" i="9"/>
  <c r="AY60" i="9"/>
  <c r="AZ60" i="9"/>
  <c r="BA60" i="9"/>
  <c r="BB60" i="9"/>
  <c r="AR60" i="9"/>
  <c r="AD57" i="9"/>
  <c r="AE57" i="9"/>
  <c r="AF57" i="9"/>
  <c r="AG57" i="9"/>
  <c r="AS57" i="9"/>
  <c r="AT57" i="9"/>
  <c r="AU57" i="9"/>
  <c r="AV57" i="9"/>
  <c r="AW57" i="9"/>
  <c r="AX57" i="9"/>
  <c r="AY57" i="9"/>
  <c r="AZ57" i="9"/>
  <c r="BA57" i="9"/>
  <c r="BB57" i="9"/>
  <c r="AR57" i="9"/>
  <c r="AD56" i="9"/>
  <c r="AE56" i="9"/>
  <c r="AF56" i="9"/>
  <c r="AG56" i="9"/>
  <c r="AS56" i="9"/>
  <c r="AT56" i="9"/>
  <c r="AU56" i="9"/>
  <c r="AV56" i="9"/>
  <c r="AW56" i="9"/>
  <c r="AX56" i="9"/>
  <c r="AY56" i="9"/>
  <c r="AZ56" i="9"/>
  <c r="BA56" i="9"/>
  <c r="BB56" i="9"/>
  <c r="AR56" i="9"/>
  <c r="AD63" i="9"/>
  <c r="AE63" i="9"/>
  <c r="AF63" i="9"/>
  <c r="AG63" i="9"/>
  <c r="AS63" i="9"/>
  <c r="AT63" i="9"/>
  <c r="AU63" i="9"/>
  <c r="AV63" i="9"/>
  <c r="AW63" i="9"/>
  <c r="AX63" i="9"/>
  <c r="AY63" i="9"/>
  <c r="AZ63" i="9"/>
  <c r="BA63" i="9"/>
  <c r="BB63" i="9"/>
  <c r="AR63" i="9"/>
  <c r="AD44" i="9"/>
  <c r="AE44" i="9"/>
  <c r="AF44" i="9"/>
  <c r="AG44" i="9"/>
  <c r="AS44" i="9"/>
  <c r="AT44" i="9"/>
  <c r="AU44" i="9"/>
  <c r="AV44" i="9"/>
  <c r="AW44" i="9"/>
  <c r="AX44" i="9"/>
  <c r="AY44" i="9"/>
  <c r="AZ44" i="9"/>
  <c r="BA44" i="9"/>
  <c r="BB44" i="9"/>
  <c r="AR44" i="9"/>
  <c r="AD43" i="9"/>
  <c r="AE43" i="9"/>
  <c r="AF43" i="9"/>
  <c r="AG43" i="9"/>
  <c r="AS43" i="9"/>
  <c r="AT43" i="9"/>
  <c r="AU43" i="9"/>
  <c r="AV43" i="9"/>
  <c r="AW43" i="9"/>
  <c r="AX43" i="9"/>
  <c r="AY43" i="9"/>
  <c r="AZ43" i="9"/>
  <c r="BA43" i="9"/>
  <c r="BB43" i="9"/>
  <c r="AR43" i="9"/>
  <c r="AD27" i="7"/>
  <c r="AE27" i="7" s="1"/>
  <c r="AB37" i="9"/>
  <c r="AA37" i="9"/>
  <c r="AC36" i="9"/>
  <c r="AR36" i="9" s="1"/>
  <c r="AA58" i="9"/>
  <c r="V73" i="7"/>
  <c r="V137" i="7"/>
  <c r="V158" i="7" s="1"/>
  <c r="I137" i="7"/>
  <c r="I158" i="7" s="1"/>
  <c r="I179" i="7" s="1"/>
  <c r="I208" i="7" s="1"/>
  <c r="B137" i="7"/>
  <c r="B158" i="7" s="1"/>
  <c r="C137" i="7"/>
  <c r="C158" i="7" s="1"/>
  <c r="D137" i="7"/>
  <c r="D158" i="7" s="1"/>
  <c r="D162" i="7" s="1"/>
  <c r="E137" i="7"/>
  <c r="E158" i="7" s="1"/>
  <c r="F137" i="7"/>
  <c r="F158" i="7" s="1"/>
  <c r="G137" i="7"/>
  <c r="G158" i="7" s="1"/>
  <c r="H137" i="7"/>
  <c r="H158" i="7" s="1"/>
  <c r="J137" i="7"/>
  <c r="K137" i="7"/>
  <c r="L137" i="7"/>
  <c r="M137" i="7"/>
  <c r="N137" i="7"/>
  <c r="N158" i="7" s="1"/>
  <c r="O137" i="7"/>
  <c r="O158" i="7" s="1"/>
  <c r="P137" i="7"/>
  <c r="P158" i="7" s="1"/>
  <c r="Q137" i="7"/>
  <c r="R137" i="7"/>
  <c r="R158" i="7" s="1"/>
  <c r="R179" i="7" s="1"/>
  <c r="R175" i="7" s="1"/>
  <c r="S137" i="7"/>
  <c r="S158" i="7" s="1"/>
  <c r="U137" i="7"/>
  <c r="U158" i="7" s="1"/>
  <c r="L81" i="7"/>
  <c r="AU61" i="9"/>
  <c r="AA203" i="7"/>
  <c r="AA204" i="7" s="1"/>
  <c r="AQ53" i="9"/>
  <c r="AB58" i="9"/>
  <c r="AR59" i="9"/>
  <c r="B73" i="7"/>
  <c r="C73" i="7"/>
  <c r="D73" i="7"/>
  <c r="E73" i="7"/>
  <c r="F73" i="7"/>
  <c r="G73" i="7"/>
  <c r="H73" i="7"/>
  <c r="B68" i="7"/>
  <c r="C68" i="7"/>
  <c r="D68" i="7"/>
  <c r="E68" i="7"/>
  <c r="F68" i="7"/>
  <c r="G68" i="7"/>
  <c r="H68" i="7"/>
  <c r="I68" i="7"/>
  <c r="J68" i="7"/>
  <c r="J77" i="7" s="1"/>
  <c r="K68" i="7"/>
  <c r="K77" i="7" s="1"/>
  <c r="L68" i="7"/>
  <c r="L77" i="7" s="1"/>
  <c r="M68" i="7"/>
  <c r="M77" i="7" s="1"/>
  <c r="N68" i="7"/>
  <c r="N77" i="7" s="1"/>
  <c r="O68" i="7"/>
  <c r="O77" i="7" s="1"/>
  <c r="P68" i="7"/>
  <c r="P77" i="7" s="1"/>
  <c r="Q68" i="7"/>
  <c r="Q77" i="7" s="1"/>
  <c r="R68" i="7"/>
  <c r="R77" i="7" s="1"/>
  <c r="S68" i="7"/>
  <c r="S77" i="7" s="1"/>
  <c r="T68" i="7"/>
  <c r="T77" i="7" s="1"/>
  <c r="V66" i="7"/>
  <c r="V68" i="7" s="1"/>
  <c r="V77" i="7" s="1"/>
  <c r="U66" i="7"/>
  <c r="U68" i="7" s="1"/>
  <c r="U77" i="7" s="1"/>
  <c r="I30" i="7"/>
  <c r="J30" i="7"/>
  <c r="K30" i="7"/>
  <c r="L30" i="7"/>
  <c r="M30" i="7"/>
  <c r="N30" i="7"/>
  <c r="O30" i="7"/>
  <c r="P30" i="7"/>
  <c r="Q30" i="7"/>
  <c r="R30" i="7"/>
  <c r="S30" i="7"/>
  <c r="T30" i="7"/>
  <c r="U30" i="7"/>
  <c r="I31" i="7"/>
  <c r="J31" i="7"/>
  <c r="K31" i="7"/>
  <c r="L31" i="7"/>
  <c r="M31" i="7"/>
  <c r="N31" i="7"/>
  <c r="O31" i="7"/>
  <c r="P31" i="7"/>
  <c r="Q31" i="7"/>
  <c r="R31" i="7"/>
  <c r="S31" i="7"/>
  <c r="T31" i="7"/>
  <c r="U31" i="7"/>
  <c r="K73" i="7"/>
  <c r="L73" i="7"/>
  <c r="N73" i="7"/>
  <c r="O73" i="7"/>
  <c r="P73" i="7"/>
  <c r="Q73" i="7"/>
  <c r="S73" i="7"/>
  <c r="T73" i="7"/>
  <c r="B42" i="7"/>
  <c r="C42" i="7"/>
  <c r="D42" i="7"/>
  <c r="E42" i="7"/>
  <c r="F42" i="7"/>
  <c r="G42" i="7"/>
  <c r="H42" i="7"/>
  <c r="I42" i="7"/>
  <c r="J42" i="7"/>
  <c r="K42" i="7"/>
  <c r="L42" i="7"/>
  <c r="M42" i="7"/>
  <c r="N42" i="7"/>
  <c r="O42" i="7"/>
  <c r="P42" i="7"/>
  <c r="Q42" i="7"/>
  <c r="R42" i="7"/>
  <c r="S42" i="7"/>
  <c r="T42" i="7"/>
  <c r="U42" i="7"/>
  <c r="V42" i="7"/>
  <c r="B45" i="7"/>
  <c r="C45" i="7"/>
  <c r="D45" i="7"/>
  <c r="E45" i="7"/>
  <c r="F45" i="7"/>
  <c r="G45" i="7"/>
  <c r="H45" i="7"/>
  <c r="I45" i="7"/>
  <c r="J45" i="7"/>
  <c r="K45" i="7"/>
  <c r="L45" i="7"/>
  <c r="M45" i="7"/>
  <c r="N45" i="7"/>
  <c r="O45" i="7"/>
  <c r="P45" i="7"/>
  <c r="Q45" i="7"/>
  <c r="R45" i="7"/>
  <c r="S45" i="7"/>
  <c r="T45" i="7"/>
  <c r="U45" i="7"/>
  <c r="V45" i="7"/>
  <c r="V26" i="7"/>
  <c r="V31" i="7" s="1"/>
  <c r="V25" i="7"/>
  <c r="C28" i="7"/>
  <c r="D28" i="7"/>
  <c r="E28" i="7"/>
  <c r="F28" i="7"/>
  <c r="G28" i="7"/>
  <c r="H28" i="7"/>
  <c r="I28" i="7"/>
  <c r="J28" i="7"/>
  <c r="K28" i="7"/>
  <c r="L28" i="7"/>
  <c r="M28" i="7"/>
  <c r="N28" i="7"/>
  <c r="O28" i="7"/>
  <c r="P28" i="7"/>
  <c r="Q28" i="7"/>
  <c r="R28" i="7"/>
  <c r="S28" i="7"/>
  <c r="T28" i="7"/>
  <c r="U28" i="7"/>
  <c r="B28" i="7"/>
  <c r="F21" i="7"/>
  <c r="G21" i="7"/>
  <c r="H21" i="7"/>
  <c r="I21" i="7"/>
  <c r="J21" i="7"/>
  <c r="K21" i="7"/>
  <c r="L21" i="7"/>
  <c r="M21" i="7"/>
  <c r="N21" i="7"/>
  <c r="O21" i="7"/>
  <c r="P21" i="7"/>
  <c r="Q21" i="7"/>
  <c r="R21" i="7"/>
  <c r="S21" i="7"/>
  <c r="T21" i="7"/>
  <c r="U21" i="7"/>
  <c r="F22" i="7"/>
  <c r="G22" i="7"/>
  <c r="H22" i="7"/>
  <c r="I22" i="7"/>
  <c r="J22" i="7"/>
  <c r="K22" i="7"/>
  <c r="L22" i="7"/>
  <c r="M22" i="7"/>
  <c r="N22" i="7"/>
  <c r="O22" i="7"/>
  <c r="P22" i="7"/>
  <c r="Q22" i="7"/>
  <c r="R22" i="7"/>
  <c r="S22" i="7"/>
  <c r="T22" i="7"/>
  <c r="U22" i="7"/>
  <c r="C19" i="7"/>
  <c r="D19" i="7"/>
  <c r="E19" i="7"/>
  <c r="F19" i="7"/>
  <c r="G19" i="7"/>
  <c r="H19" i="7"/>
  <c r="I19" i="7"/>
  <c r="J19" i="7"/>
  <c r="K19" i="7"/>
  <c r="L19" i="7"/>
  <c r="M19" i="7"/>
  <c r="N19" i="7"/>
  <c r="O19" i="7"/>
  <c r="P19" i="7"/>
  <c r="Q19" i="7"/>
  <c r="R19" i="7"/>
  <c r="S19" i="7"/>
  <c r="T19" i="7"/>
  <c r="U19" i="7"/>
  <c r="B19" i="7"/>
  <c r="V18" i="7"/>
  <c r="V22" i="7" s="1"/>
  <c r="V17" i="7"/>
  <c r="AV61" i="9"/>
  <c r="AQ39" i="9"/>
  <c r="AB203" i="7"/>
  <c r="AB204" i="7" s="1"/>
  <c r="AC58" i="9"/>
  <c r="T108" i="7"/>
  <c r="T109" i="7" s="1"/>
  <c r="V113" i="7"/>
  <c r="V102" i="7" s="1"/>
  <c r="T113" i="7"/>
  <c r="S113" i="7"/>
  <c r="S265" i="7" s="1"/>
  <c r="R113" i="7"/>
  <c r="R247" i="7" s="1"/>
  <c r="Q113" i="7"/>
  <c r="Q247" i="7" s="1"/>
  <c r="P113" i="7"/>
  <c r="P247" i="7" s="1"/>
  <c r="O113" i="7"/>
  <c r="N113" i="7"/>
  <c r="N265" i="7" s="1"/>
  <c r="M113" i="7"/>
  <c r="M243" i="7" s="1"/>
  <c r="L113" i="7"/>
  <c r="L102" i="7" s="1"/>
  <c r="K113" i="7"/>
  <c r="K247" i="7" s="1"/>
  <c r="J113" i="7"/>
  <c r="J102" i="7" s="1"/>
  <c r="I113" i="7"/>
  <c r="I102" i="7" s="1"/>
  <c r="H113" i="7"/>
  <c r="H102" i="7" s="1"/>
  <c r="G113" i="7"/>
  <c r="F113" i="7"/>
  <c r="F265" i="7" s="1"/>
  <c r="E113" i="7"/>
  <c r="E243" i="7" s="1"/>
  <c r="D113" i="7"/>
  <c r="D265" i="7" s="1"/>
  <c r="C113" i="7"/>
  <c r="C243" i="7" s="1"/>
  <c r="B113" i="7"/>
  <c r="B265" i="7" s="1"/>
  <c r="U113" i="7"/>
  <c r="U247" i="7" s="1"/>
  <c r="S109" i="7"/>
  <c r="R108" i="7"/>
  <c r="R109" i="7" s="1"/>
  <c r="U108" i="7"/>
  <c r="U109" i="7" s="1"/>
  <c r="V108" i="7"/>
  <c r="V109" i="7" s="1"/>
  <c r="B100" i="7"/>
  <c r="Y239" i="7"/>
  <c r="AR58" i="9"/>
  <c r="AW61" i="9"/>
  <c r="AC203" i="7"/>
  <c r="AR46" i="9"/>
  <c r="AR203" i="7"/>
  <c r="AQ40" i="9"/>
  <c r="Z261" i="7"/>
  <c r="AA53" i="9"/>
  <c r="AD26" i="7"/>
  <c r="AD36" i="9" s="1"/>
  <c r="AD58" i="9"/>
  <c r="AD122" i="7"/>
  <c r="AX61" i="9"/>
  <c r="Z38" i="9"/>
  <c r="Z239" i="7"/>
  <c r="Z240" i="7" s="1"/>
  <c r="Z34" i="9"/>
  <c r="AD203" i="7"/>
  <c r="AQ38" i="9"/>
  <c r="AQ239" i="7" s="1"/>
  <c r="AB53" i="9"/>
  <c r="AE58" i="9"/>
  <c r="AE122" i="7"/>
  <c r="AJ117" i="7"/>
  <c r="AF117" i="7"/>
  <c r="AG117" i="7" s="1"/>
  <c r="AY61" i="9"/>
  <c r="Z33" i="9"/>
  <c r="Z49" i="9"/>
  <c r="AA49" i="9"/>
  <c r="AB49" i="9"/>
  <c r="AC49" i="9"/>
  <c r="AE203" i="7"/>
  <c r="AQ33" i="9"/>
  <c r="AE21" i="7"/>
  <c r="AC40" i="9"/>
  <c r="AC53" i="9"/>
  <c r="AR53" i="9" s="1"/>
  <c r="AF58" i="9"/>
  <c r="AF122" i="7"/>
  <c r="AA160" i="7"/>
  <c r="X66" i="7"/>
  <c r="X68" i="7" s="1"/>
  <c r="X77" i="7" s="1"/>
  <c r="AR49" i="9"/>
  <c r="AD49" i="9"/>
  <c r="AE49" i="9"/>
  <c r="AF49" i="9"/>
  <c r="AG49" i="9"/>
  <c r="AS49" i="9"/>
  <c r="AT49" i="9"/>
  <c r="AU49" i="9"/>
  <c r="AV49" i="9"/>
  <c r="AW49" i="9"/>
  <c r="AX49" i="9"/>
  <c r="AY49" i="9"/>
  <c r="AZ49" i="9"/>
  <c r="BA49" i="9"/>
  <c r="BB49" i="9"/>
  <c r="AZ61" i="9"/>
  <c r="AF203" i="7"/>
  <c r="AG58" i="9"/>
  <c r="AS59" i="9"/>
  <c r="AT59" i="9"/>
  <c r="AU59" i="9"/>
  <c r="AV59" i="9"/>
  <c r="AW59" i="9"/>
  <c r="AX59" i="9"/>
  <c r="AY59" i="9"/>
  <c r="AZ59" i="9"/>
  <c r="BA59" i="9"/>
  <c r="BB59" i="9"/>
  <c r="AS58" i="9"/>
  <c r="AG122" i="7"/>
  <c r="BA61" i="9"/>
  <c r="AT58" i="9"/>
  <c r="AT122" i="7"/>
  <c r="AS46" i="9"/>
  <c r="AT46" i="9"/>
  <c r="AU46" i="9"/>
  <c r="AV46" i="9"/>
  <c r="AW46" i="9"/>
  <c r="AX46" i="9"/>
  <c r="AY46" i="9"/>
  <c r="AZ46" i="9"/>
  <c r="BA46" i="9"/>
  <c r="BB46" i="9"/>
  <c r="AG203" i="7"/>
  <c r="Z9" i="9"/>
  <c r="BB61" i="9"/>
  <c r="AS203" i="7"/>
  <c r="AU58" i="9"/>
  <c r="AU122" i="7"/>
  <c r="AV58" i="9"/>
  <c r="AV122" i="7"/>
  <c r="AT203" i="7"/>
  <c r="AU203" i="7"/>
  <c r="AW58" i="9"/>
  <c r="AW122" i="7"/>
  <c r="AX58" i="9"/>
  <c r="AX122" i="7"/>
  <c r="AV203" i="7"/>
  <c r="AZ123" i="7"/>
  <c r="AZ119" i="7" s="1"/>
  <c r="AW203" i="7"/>
  <c r="AY58" i="9"/>
  <c r="AY122" i="7"/>
  <c r="AZ58" i="9"/>
  <c r="AZ122" i="7"/>
  <c r="AX203" i="7"/>
  <c r="AY203" i="7"/>
  <c r="BB58" i="9"/>
  <c r="BB122" i="7"/>
  <c r="BA58" i="9"/>
  <c r="BA122" i="7"/>
  <c r="AZ203" i="7"/>
  <c r="BB203" i="7"/>
  <c r="BA203" i="7"/>
  <c r="Y66" i="7"/>
  <c r="Y68" i="7" s="1"/>
  <c r="Y77" i="7" s="1"/>
  <c r="Y150" i="7"/>
  <c r="AQ42" i="9"/>
  <c r="AA66" i="7"/>
  <c r="AA68" i="7" s="1"/>
  <c r="AA77" i="7" s="1"/>
  <c r="Z150" i="7"/>
  <c r="AA42" i="9"/>
  <c r="AB66" i="7"/>
  <c r="AB68" i="7" s="1"/>
  <c r="AB77" i="7" s="1"/>
  <c r="AV21" i="7"/>
  <c r="AW21" i="7" s="1"/>
  <c r="AX21" i="7" s="1"/>
  <c r="AQ54" i="9"/>
  <c r="AQ52" i="9"/>
  <c r="Z52" i="9"/>
  <c r="AA54" i="9"/>
  <c r="AQ72" i="9"/>
  <c r="Y151" i="7"/>
  <c r="Y254" i="7"/>
  <c r="Y256" i="7" s="1"/>
  <c r="AQ30" i="9"/>
  <c r="AQ151" i="7" s="1"/>
  <c r="Y105" i="7"/>
  <c r="AQ29" i="9"/>
  <c r="AQ152" i="7" s="1"/>
  <c r="Y152" i="7"/>
  <c r="AQ67" i="9"/>
  <c r="AQ28" i="9"/>
  <c r="Z152" i="7"/>
  <c r="Z105" i="7"/>
  <c r="Y190" i="7"/>
  <c r="Y191" i="7"/>
  <c r="Z158" i="7"/>
  <c r="Z162" i="7" s="1"/>
  <c r="AJ119" i="7"/>
  <c r="AE213" i="7"/>
  <c r="AF213" i="7" s="1"/>
  <c r="AG213" i="7" s="1"/>
  <c r="AE120" i="7"/>
  <c r="Z151" i="7"/>
  <c r="Z254" i="7"/>
  <c r="Z256" i="7" s="1"/>
  <c r="AQ51" i="9"/>
  <c r="AQ64" i="9"/>
  <c r="Z64" i="9"/>
  <c r="AA64" i="9"/>
  <c r="Y64" i="9"/>
  <c r="Y69" i="9"/>
  <c r="AB64" i="9"/>
  <c r="Z69" i="9"/>
  <c r="AC64" i="9"/>
  <c r="AD64" i="9"/>
  <c r="AR64" i="9"/>
  <c r="AE64" i="9"/>
  <c r="AF64" i="9"/>
  <c r="AG64" i="9"/>
  <c r="AS64" i="9"/>
  <c r="AT64" i="9"/>
  <c r="AU64" i="9"/>
  <c r="AV64" i="9"/>
  <c r="AW64" i="9"/>
  <c r="AX64" i="9"/>
  <c r="AY64" i="9"/>
  <c r="AZ64" i="9"/>
  <c r="BA64" i="9"/>
  <c r="BB64" i="9"/>
  <c r="AA164" i="7"/>
  <c r="AA11" i="9" s="1"/>
  <c r="AA183" i="7"/>
  <c r="AA105" i="7"/>
  <c r="AJ69" i="7"/>
  <c r="AB42" i="9"/>
  <c r="AC66" i="7"/>
  <c r="AC68" i="7" s="1"/>
  <c r="AC77" i="7" s="1"/>
  <c r="AA247" i="7"/>
  <c r="AJ79" i="7"/>
  <c r="AB6" i="9"/>
  <c r="AB54" i="9"/>
  <c r="AJ127" i="7"/>
  <c r="AB7" i="9"/>
  <c r="AC6" i="9"/>
  <c r="AG26" i="7"/>
  <c r="AG36" i="9" s="1"/>
  <c r="AS36" i="9" s="1"/>
  <c r="E17" i="10" l="1"/>
  <c r="H17" i="10"/>
  <c r="G17" i="10"/>
  <c r="AU55" i="7"/>
  <c r="AW55" i="7" s="1"/>
  <c r="AV55" i="7"/>
  <c r="AU53" i="7"/>
  <c r="AW53" i="7" s="1"/>
  <c r="AV53" i="7"/>
  <c r="AW50" i="7"/>
  <c r="AX50" i="7" s="1"/>
  <c r="AE50" i="7"/>
  <c r="AG50" i="7" s="1"/>
  <c r="AF50" i="7"/>
  <c r="AE53" i="7"/>
  <c r="AF55" i="7"/>
  <c r="AG55" i="7" s="1"/>
  <c r="AA243" i="7"/>
  <c r="AT123" i="7"/>
  <c r="AT119" i="7" s="1"/>
  <c r="AA102" i="7"/>
  <c r="U262" i="7"/>
  <c r="X240" i="7"/>
  <c r="S123" i="7"/>
  <c r="S120" i="7" s="1"/>
  <c r="AC247" i="7"/>
  <c r="AB73" i="7"/>
  <c r="AC21" i="7"/>
  <c r="AC130" i="7"/>
  <c r="I262" i="7"/>
  <c r="AC19" i="7"/>
  <c r="E38" i="10"/>
  <c r="F3" i="10"/>
  <c r="D38" i="10"/>
  <c r="Z102" i="7"/>
  <c r="F162" i="7"/>
  <c r="AC197" i="7"/>
  <c r="E10" i="7"/>
  <c r="AC22" i="7"/>
  <c r="G5" i="9"/>
  <c r="S5" i="9"/>
  <c r="L184" i="7"/>
  <c r="S38" i="7"/>
  <c r="G38" i="7"/>
  <c r="I240" i="7"/>
  <c r="U102" i="7"/>
  <c r="U132" i="7" s="1"/>
  <c r="C100" i="7"/>
  <c r="O102" i="7"/>
  <c r="J123" i="7"/>
  <c r="J128" i="7" s="1"/>
  <c r="AC144" i="7"/>
  <c r="AC200" i="7"/>
  <c r="V191" i="7"/>
  <c r="V192" i="7" s="1"/>
  <c r="AE119" i="7"/>
  <c r="AY81" i="7"/>
  <c r="K35" i="7"/>
  <c r="O35" i="7"/>
  <c r="O36" i="7" s="1"/>
  <c r="V262" i="7"/>
  <c r="J262" i="7"/>
  <c r="AC39" i="9"/>
  <c r="AR39" i="9" s="1"/>
  <c r="Z30" i="7"/>
  <c r="AC243" i="7"/>
  <c r="AC244" i="7" s="1"/>
  <c r="AC265" i="7"/>
  <c r="AC266" i="7" s="1"/>
  <c r="AC73" i="7"/>
  <c r="AC199" i="7"/>
  <c r="AC246" i="7"/>
  <c r="AC248" i="7" s="1"/>
  <c r="AG257" i="7"/>
  <c r="AC136" i="7"/>
  <c r="AC158" i="7"/>
  <c r="K102" i="7"/>
  <c r="W102" i="7"/>
  <c r="W132" i="7" s="1"/>
  <c r="V30" i="7"/>
  <c r="C240" i="7"/>
  <c r="X102" i="7"/>
  <c r="X132" i="7" s="1"/>
  <c r="X133" i="7" s="1"/>
  <c r="AA5" i="9"/>
  <c r="M102" i="7"/>
  <c r="Y102" i="7"/>
  <c r="AV81" i="7"/>
  <c r="B102" i="7"/>
  <c r="B132" i="7" s="1"/>
  <c r="B133" i="7" s="1"/>
  <c r="C102" i="7"/>
  <c r="C132" i="7" s="1"/>
  <c r="C133" i="7" s="1"/>
  <c r="D102" i="7"/>
  <c r="D132" i="7" s="1"/>
  <c r="P102" i="7"/>
  <c r="N102" i="7"/>
  <c r="N132" i="7" s="1"/>
  <c r="N133" i="7" s="1"/>
  <c r="E102" i="7"/>
  <c r="E132" i="7" s="1"/>
  <c r="Q102" i="7"/>
  <c r="Q132" i="7" s="1"/>
  <c r="Y262" i="7"/>
  <c r="K184" i="7"/>
  <c r="Z246" i="7"/>
  <c r="Z237" i="7" s="1"/>
  <c r="F102" i="7"/>
  <c r="R102" i="7"/>
  <c r="R132" i="7" s="1"/>
  <c r="R133" i="7" s="1"/>
  <c r="Y28" i="7"/>
  <c r="Y33" i="7" s="1"/>
  <c r="F262" i="7"/>
  <c r="K262" i="7"/>
  <c r="W262" i="7"/>
  <c r="Z198" i="7"/>
  <c r="G102" i="7"/>
  <c r="G132" i="7" s="1"/>
  <c r="G133" i="7" s="1"/>
  <c r="S102" i="7"/>
  <c r="S132" i="7" s="1"/>
  <c r="S133" i="7" s="1"/>
  <c r="X114" i="7"/>
  <c r="T102" i="7"/>
  <c r="T132" i="7" s="1"/>
  <c r="T133" i="7" s="1"/>
  <c r="BA81" i="7"/>
  <c r="M244" i="7"/>
  <c r="AC204" i="7"/>
  <c r="Y19" i="7"/>
  <c r="Y23" i="7" s="1"/>
  <c r="H123" i="7"/>
  <c r="H128" i="7" s="1"/>
  <c r="Z19" i="7"/>
  <c r="V240" i="7"/>
  <c r="T81" i="7"/>
  <c r="K12" i="9"/>
  <c r="D192" i="7"/>
  <c r="D199" i="7"/>
  <c r="P200" i="7"/>
  <c r="D243" i="7"/>
  <c r="D244" i="7" s="1"/>
  <c r="R10" i="7"/>
  <c r="S64" i="7" s="1"/>
  <c r="F10" i="7"/>
  <c r="V184" i="7"/>
  <c r="N33" i="7"/>
  <c r="D247" i="7"/>
  <c r="G23" i="7"/>
  <c r="AD37" i="9"/>
  <c r="X184" i="7"/>
  <c r="BA123" i="7"/>
  <c r="BA119" i="7" s="1"/>
  <c r="N81" i="7"/>
  <c r="Z28" i="7"/>
  <c r="R35" i="7"/>
  <c r="AD204" i="7"/>
  <c r="T184" i="7"/>
  <c r="R5" i="9"/>
  <c r="D11" i="9"/>
  <c r="AA184" i="7"/>
  <c r="E247" i="7"/>
  <c r="Z22" i="7"/>
  <c r="L23" i="7"/>
  <c r="F192" i="7"/>
  <c r="AB246" i="7"/>
  <c r="AB237" i="7" s="1"/>
  <c r="G262" i="7"/>
  <c r="B149" i="7"/>
  <c r="B154" i="7" s="1"/>
  <c r="N149" i="7"/>
  <c r="N154" i="7" s="1"/>
  <c r="H184" i="7"/>
  <c r="Q243" i="7"/>
  <c r="Q244" i="7" s="1"/>
  <c r="E265" i="7"/>
  <c r="E266" i="7" s="1"/>
  <c r="B266" i="7"/>
  <c r="N266" i="7"/>
  <c r="J200" i="7"/>
  <c r="AZ188" i="7"/>
  <c r="U184" i="7"/>
  <c r="AA136" i="7"/>
  <c r="I33" i="7"/>
  <c r="F5" i="9"/>
  <c r="W184" i="7"/>
  <c r="X190" i="7"/>
  <c r="L33" i="7"/>
  <c r="O10" i="7"/>
  <c r="P64" i="7" s="1"/>
  <c r="C38" i="7"/>
  <c r="Q38" i="7"/>
  <c r="E38" i="7"/>
  <c r="N192" i="7"/>
  <c r="N199" i="7"/>
  <c r="H5" i="9"/>
  <c r="G149" i="7"/>
  <c r="G154" i="7" s="1"/>
  <c r="S149" i="7"/>
  <c r="S154" i="7" s="1"/>
  <c r="Y19" i="11"/>
  <c r="Y11" i="11"/>
  <c r="L35" i="7"/>
  <c r="B10" i="7"/>
  <c r="M123" i="7"/>
  <c r="N120" i="7" s="1"/>
  <c r="G192" i="7"/>
  <c r="S199" i="7"/>
  <c r="E262" i="7"/>
  <c r="Q262" i="7"/>
  <c r="Z144" i="7"/>
  <c r="AA262" i="7"/>
  <c r="AB158" i="7"/>
  <c r="AJ158" i="7" s="1"/>
  <c r="N10" i="7"/>
  <c r="O64" i="7" s="1"/>
  <c r="G81" i="7"/>
  <c r="T262" i="7"/>
  <c r="H262" i="7"/>
  <c r="AF120" i="7"/>
  <c r="AG120" i="7" s="1"/>
  <c r="AG119" i="7" s="1"/>
  <c r="Q265" i="7"/>
  <c r="Q266" i="7" s="1"/>
  <c r="Z21" i="7"/>
  <c r="X247" i="7"/>
  <c r="M184" i="7"/>
  <c r="M265" i="7"/>
  <c r="M266" i="7" s="1"/>
  <c r="AD18" i="7"/>
  <c r="AD39" i="9" s="1"/>
  <c r="W28" i="7"/>
  <c r="W33" i="7" s="1"/>
  <c r="X266" i="7"/>
  <c r="E244" i="7"/>
  <c r="O240" i="7"/>
  <c r="R240" i="7"/>
  <c r="U165" i="7"/>
  <c r="D5" i="9"/>
  <c r="AA158" i="7"/>
  <c r="AA210" i="7" s="1"/>
  <c r="F23" i="7"/>
  <c r="I38" i="7"/>
  <c r="AD81" i="7"/>
  <c r="X192" i="7"/>
  <c r="W190" i="7"/>
  <c r="O262" i="7"/>
  <c r="C262" i="7"/>
  <c r="E5" i="9"/>
  <c r="T128" i="7"/>
  <c r="T129" i="7" s="1"/>
  <c r="B240" i="7"/>
  <c r="D262" i="7"/>
  <c r="P5" i="9"/>
  <c r="AA12" i="9"/>
  <c r="M35" i="7"/>
  <c r="H38" i="7"/>
  <c r="O162" i="7"/>
  <c r="M246" i="7"/>
  <c r="M237" i="7" s="1"/>
  <c r="C11" i="9"/>
  <c r="AT200" i="7"/>
  <c r="M149" i="7"/>
  <c r="M154" i="7" s="1"/>
  <c r="AD17" i="7"/>
  <c r="AD40" i="9" s="1"/>
  <c r="P262" i="7"/>
  <c r="AT192" i="7"/>
  <c r="J149" i="7"/>
  <c r="J154" i="7" s="1"/>
  <c r="Y247" i="7"/>
  <c r="I162" i="7"/>
  <c r="Y114" i="7"/>
  <c r="G9" i="7"/>
  <c r="G161" i="7" s="1"/>
  <c r="L240" i="7"/>
  <c r="X262" i="7"/>
  <c r="T5" i="9"/>
  <c r="AA244" i="7"/>
  <c r="Y184" i="7"/>
  <c r="AF81" i="7"/>
  <c r="N246" i="7"/>
  <c r="U232" i="7"/>
  <c r="T240" i="7"/>
  <c r="H240" i="7"/>
  <c r="V81" i="7"/>
  <c r="T247" i="7"/>
  <c r="U114" i="7"/>
  <c r="M9" i="7"/>
  <c r="N60" i="7" s="1"/>
  <c r="K123" i="7"/>
  <c r="K128" i="7" s="1"/>
  <c r="P81" i="7"/>
  <c r="X243" i="7"/>
  <c r="X244" i="7" s="1"/>
  <c r="Q184" i="7"/>
  <c r="P199" i="7"/>
  <c r="P167" i="7"/>
  <c r="R243" i="7"/>
  <c r="R244" i="7" s="1"/>
  <c r="AF25" i="7"/>
  <c r="AF35" i="9" s="1"/>
  <c r="AF261" i="7" s="1"/>
  <c r="AB184" i="7"/>
  <c r="Y192" i="7"/>
  <c r="AE17" i="7"/>
  <c r="AE40" i="9" s="1"/>
  <c r="L9" i="7"/>
  <c r="L161" i="7" s="1"/>
  <c r="AB35" i="9"/>
  <c r="AB261" i="7" s="1"/>
  <c r="Z136" i="7"/>
  <c r="AB22" i="7"/>
  <c r="Q12" i="9"/>
  <c r="I184" i="7"/>
  <c r="L199" i="7"/>
  <c r="W199" i="7"/>
  <c r="G246" i="7"/>
  <c r="G237" i="7" s="1"/>
  <c r="T232" i="7"/>
  <c r="X233" i="7" s="1"/>
  <c r="B5" i="9"/>
  <c r="L5" i="9"/>
  <c r="X5" i="9"/>
  <c r="X128" i="7"/>
  <c r="X129" i="7" s="1"/>
  <c r="G167" i="7"/>
  <c r="Z5" i="9"/>
  <c r="U10" i="7"/>
  <c r="V64" i="7" s="1"/>
  <c r="I10" i="7"/>
  <c r="I56" i="7" s="1"/>
  <c r="E123" i="7"/>
  <c r="E128" i="7" s="1"/>
  <c r="E184" i="7"/>
  <c r="Y199" i="7"/>
  <c r="M5" i="9"/>
  <c r="H167" i="7"/>
  <c r="AJ160" i="7"/>
  <c r="D12" i="9"/>
  <c r="AG81" i="7"/>
  <c r="P265" i="7"/>
  <c r="P266" i="7" s="1"/>
  <c r="L114" i="7"/>
  <c r="Q10" i="7"/>
  <c r="R64" i="7" s="1"/>
  <c r="Q123" i="7"/>
  <c r="Q128" i="7" s="1"/>
  <c r="Q129" i="7" s="1"/>
  <c r="D123" i="7"/>
  <c r="D128" i="7" s="1"/>
  <c r="W123" i="7"/>
  <c r="W128" i="7" s="1"/>
  <c r="W129" i="7" s="1"/>
  <c r="AA30" i="7"/>
  <c r="F246" i="7"/>
  <c r="F237" i="7" s="1"/>
  <c r="M199" i="7"/>
  <c r="C5" i="9"/>
  <c r="Y144" i="7"/>
  <c r="P240" i="7"/>
  <c r="I5" i="9"/>
  <c r="AW123" i="7"/>
  <c r="AW119" i="7" s="1"/>
  <c r="AJ183" i="7"/>
  <c r="I23" i="7"/>
  <c r="P10" i="7"/>
  <c r="Q64" i="7" s="1"/>
  <c r="AE25" i="7"/>
  <c r="AE35" i="9" s="1"/>
  <c r="AE261" i="7" s="1"/>
  <c r="AB30" i="7"/>
  <c r="C192" i="7"/>
  <c r="Y266" i="7"/>
  <c r="Z164" i="7"/>
  <c r="Z11" i="9" s="1"/>
  <c r="X165" i="7"/>
  <c r="AB166" i="7" s="1"/>
  <c r="AA21" i="7"/>
  <c r="U5" i="9"/>
  <c r="P23" i="7"/>
  <c r="D9" i="7"/>
  <c r="D161" i="7" s="1"/>
  <c r="AA28" i="7"/>
  <c r="N128" i="7"/>
  <c r="N129" i="7" s="1"/>
  <c r="W38" i="7"/>
  <c r="M262" i="7"/>
  <c r="Z232" i="7"/>
  <c r="AD232" i="7" s="1"/>
  <c r="C162" i="7"/>
  <c r="AE204" i="7"/>
  <c r="F243" i="7"/>
  <c r="F244" i="7" s="1"/>
  <c r="AB189" i="7"/>
  <c r="AB191" i="7" s="1"/>
  <c r="AC192" i="7" s="1"/>
  <c r="O9" i="7"/>
  <c r="P60" i="7" s="1"/>
  <c r="N38" i="7"/>
  <c r="B38" i="7"/>
  <c r="P246" i="7"/>
  <c r="P237" i="7" s="1"/>
  <c r="P184" i="7"/>
  <c r="S262" i="7"/>
  <c r="T243" i="7"/>
  <c r="T244" i="7" s="1"/>
  <c r="D266" i="7"/>
  <c r="N35" i="7"/>
  <c r="R33" i="7"/>
  <c r="M10" i="7"/>
  <c r="N64" i="7" s="1"/>
  <c r="R262" i="7"/>
  <c r="AV192" i="7"/>
  <c r="Y162" i="7"/>
  <c r="P210" i="7"/>
  <c r="P213" i="7" s="1"/>
  <c r="P179" i="7"/>
  <c r="P162" i="7"/>
  <c r="B162" i="7"/>
  <c r="B179" i="7"/>
  <c r="B180" i="7" s="1"/>
  <c r="B210" i="7"/>
  <c r="B14" i="9" s="1"/>
  <c r="E4" i="7"/>
  <c r="E100" i="7" s="1"/>
  <c r="D100" i="7"/>
  <c r="M240" i="7"/>
  <c r="N262" i="7"/>
  <c r="J5" i="9"/>
  <c r="V5" i="9"/>
  <c r="BA200" i="7"/>
  <c r="AC30" i="7"/>
  <c r="AX123" i="7"/>
  <c r="AX119" i="7" s="1"/>
  <c r="AA19" i="7"/>
  <c r="G243" i="7"/>
  <c r="G244" i="7" s="1"/>
  <c r="G265" i="7"/>
  <c r="G266" i="7" s="1"/>
  <c r="AE18" i="7"/>
  <c r="X81" i="7"/>
  <c r="AB136" i="7"/>
  <c r="G162" i="7"/>
  <c r="BA192" i="7"/>
  <c r="V128" i="7"/>
  <c r="V129" i="7" s="1"/>
  <c r="W10" i="7"/>
  <c r="X64" i="7" s="1"/>
  <c r="BB1" i="7"/>
  <c r="Z10" i="7"/>
  <c r="AA64" i="7" s="1"/>
  <c r="Y164" i="7"/>
  <c r="Y11" i="9" s="1"/>
  <c r="G247" i="7"/>
  <c r="S247" i="7"/>
  <c r="N243" i="7"/>
  <c r="N244" i="7" s="1"/>
  <c r="G114" i="7"/>
  <c r="S114" i="7"/>
  <c r="R128" i="7"/>
  <c r="R129" i="7" s="1"/>
  <c r="E9" i="7"/>
  <c r="E7" i="7" s="1"/>
  <c r="E192" i="7"/>
  <c r="Q192" i="7"/>
  <c r="Q200" i="7"/>
  <c r="Z200" i="7"/>
  <c r="AA38" i="7"/>
  <c r="AC38" i="7"/>
  <c r="AA38" i="9"/>
  <c r="AA239" i="7" s="1"/>
  <c r="AA240" i="7" s="1"/>
  <c r="AG25" i="7"/>
  <c r="AG35" i="9" s="1"/>
  <c r="AG261" i="7" s="1"/>
  <c r="Z149" i="7"/>
  <c r="Z154" i="7" s="1"/>
  <c r="S243" i="7"/>
  <c r="S244" i="7" s="1"/>
  <c r="H265" i="7"/>
  <c r="H266" i="7" s="1"/>
  <c r="F81" i="7"/>
  <c r="C199" i="7"/>
  <c r="F200" i="7"/>
  <c r="R200" i="7"/>
  <c r="O5" i="9"/>
  <c r="AX200" i="7"/>
  <c r="AO144" i="7"/>
  <c r="K243" i="7"/>
  <c r="K244" i="7" s="1"/>
  <c r="O179" i="7"/>
  <c r="AB38" i="9"/>
  <c r="AB239" i="7" s="1"/>
  <c r="AB240" i="7" s="1"/>
  <c r="O33" i="7"/>
  <c r="J10" i="7"/>
  <c r="K64" i="7" s="1"/>
  <c r="R210" i="7"/>
  <c r="R14" i="9" s="1"/>
  <c r="AC35" i="9"/>
  <c r="AC261" i="7" s="1"/>
  <c r="AC262" i="7" s="1"/>
  <c r="W19" i="7"/>
  <c r="H246" i="7"/>
  <c r="H237" i="7" s="1"/>
  <c r="E246" i="7"/>
  <c r="R12" i="9"/>
  <c r="G200" i="7"/>
  <c r="AX192" i="7"/>
  <c r="U144" i="7"/>
  <c r="Y5" i="9"/>
  <c r="AE81" i="7"/>
  <c r="AB19" i="7"/>
  <c r="C247" i="7"/>
  <c r="F266" i="7"/>
  <c r="R114" i="7"/>
  <c r="J38" i="7"/>
  <c r="U23" i="7"/>
  <c r="R81" i="7"/>
  <c r="J184" i="7"/>
  <c r="H192" i="7"/>
  <c r="T192" i="7"/>
  <c r="L200" i="7"/>
  <c r="T200" i="7"/>
  <c r="Q5" i="9"/>
  <c r="Y81" i="7"/>
  <c r="AW200" i="7"/>
  <c r="AB81" i="7"/>
  <c r="F149" i="7"/>
  <c r="F154" i="7" s="1"/>
  <c r="R149" i="7"/>
  <c r="R154" i="7" s="1"/>
  <c r="V149" i="7"/>
  <c r="V154" i="7" s="1"/>
  <c r="AA22" i="7"/>
  <c r="R184" i="7"/>
  <c r="Z262" i="7"/>
  <c r="M247" i="7"/>
  <c r="M23" i="7"/>
  <c r="AQ144" i="7"/>
  <c r="L149" i="7"/>
  <c r="L154" i="7" s="1"/>
  <c r="L167" i="7"/>
  <c r="N167" i="7"/>
  <c r="AD28" i="7"/>
  <c r="R38" i="7"/>
  <c r="Z184" i="7"/>
  <c r="I175" i="7"/>
  <c r="Z114" i="7"/>
  <c r="S9" i="7"/>
  <c r="T60" i="7" s="1"/>
  <c r="F38" i="7"/>
  <c r="E210" i="7"/>
  <c r="E217" i="7" s="1"/>
  <c r="E20" i="9" s="1"/>
  <c r="E11" i="9"/>
  <c r="L246" i="7"/>
  <c r="L237" i="7" s="1"/>
  <c r="J246" i="7"/>
  <c r="J237" i="7" s="1"/>
  <c r="E149" i="7"/>
  <c r="E154" i="7" s="1"/>
  <c r="Q149" i="7"/>
  <c r="Q154" i="7" s="1"/>
  <c r="X149" i="7"/>
  <c r="X154" i="7" s="1"/>
  <c r="AF21" i="7"/>
  <c r="AG21" i="7" s="1"/>
  <c r="AG17" i="7" s="1"/>
  <c r="AG40" i="9" s="1"/>
  <c r="AS40" i="9" s="1"/>
  <c r="Y240" i="7"/>
  <c r="N9" i="7"/>
  <c r="T38" i="7"/>
  <c r="S266" i="7"/>
  <c r="W246" i="7"/>
  <c r="W237" i="7" s="1"/>
  <c r="U246" i="7"/>
  <c r="U237" i="7" s="1"/>
  <c r="AV200" i="7"/>
  <c r="V11" i="9"/>
  <c r="AM56" i="7"/>
  <c r="AM72" i="7" s="1"/>
  <c r="AE116" i="7"/>
  <c r="AF116" i="7" s="1"/>
  <c r="AD53" i="9"/>
  <c r="W162" i="7"/>
  <c r="O120" i="7"/>
  <c r="P120" i="7"/>
  <c r="S179" i="7"/>
  <c r="S208" i="7" s="1"/>
  <c r="S210" i="7"/>
  <c r="S162" i="7"/>
  <c r="AO4" i="7"/>
  <c r="AN100" i="7"/>
  <c r="G232" i="7"/>
  <c r="W11" i="11"/>
  <c r="AD198" i="7"/>
  <c r="Y73" i="7"/>
  <c r="V165" i="7"/>
  <c r="Z166" i="7" s="1"/>
  <c r="F247" i="7"/>
  <c r="O265" i="7"/>
  <c r="O266" i="7" s="1"/>
  <c r="H23" i="7"/>
  <c r="U35" i="7"/>
  <c r="O210" i="7"/>
  <c r="I73" i="7"/>
  <c r="K33" i="7"/>
  <c r="O81" i="7"/>
  <c r="C81" i="7"/>
  <c r="B246" i="7"/>
  <c r="B237" i="7" s="1"/>
  <c r="S246" i="7"/>
  <c r="O184" i="7"/>
  <c r="S200" i="7"/>
  <c r="Q199" i="7"/>
  <c r="I192" i="7"/>
  <c r="U192" i="7"/>
  <c r="T246" i="7"/>
  <c r="T237" i="7" s="1"/>
  <c r="AM100" i="7"/>
  <c r="N5" i="9"/>
  <c r="V144" i="7"/>
  <c r="AP144" i="7"/>
  <c r="U9" i="7"/>
  <c r="U70" i="7" s="1"/>
  <c r="X28" i="7"/>
  <c r="AB33" i="7" s="1"/>
  <c r="N232" i="7"/>
  <c r="AB21" i="7"/>
  <c r="U240" i="7"/>
  <c r="K246" i="7"/>
  <c r="K248" i="7" s="1"/>
  <c r="H199" i="7"/>
  <c r="J192" i="7"/>
  <c r="AY192" i="7"/>
  <c r="R208" i="7"/>
  <c r="G10" i="7"/>
  <c r="I246" i="7"/>
  <c r="I237" i="7" s="1"/>
  <c r="W200" i="7"/>
  <c r="V232" i="7"/>
  <c r="B262" i="7"/>
  <c r="P149" i="7"/>
  <c r="P154" i="7" s="1"/>
  <c r="Q167" i="7"/>
  <c r="AC42" i="9"/>
  <c r="C210" i="7"/>
  <c r="U123" i="7"/>
  <c r="U128" i="7" s="1"/>
  <c r="U129" i="7" s="1"/>
  <c r="AD35" i="9"/>
  <c r="AD261" i="7" s="1"/>
  <c r="N247" i="7"/>
  <c r="P243" i="7"/>
  <c r="P244" i="7" s="1"/>
  <c r="L243" i="7"/>
  <c r="L244" i="7" s="1"/>
  <c r="C10" i="7"/>
  <c r="C179" i="7"/>
  <c r="B9" i="7"/>
  <c r="B161" i="7" s="1"/>
  <c r="K10" i="7"/>
  <c r="L64" i="7" s="1"/>
  <c r="H162" i="7"/>
  <c r="V246" i="7"/>
  <c r="V237" i="7" s="1"/>
  <c r="C184" i="7"/>
  <c r="K199" i="7"/>
  <c r="W144" i="7"/>
  <c r="I149" i="7"/>
  <c r="I154" i="7" s="1"/>
  <c r="U149" i="7"/>
  <c r="U154" i="7" s="1"/>
  <c r="M167" i="7"/>
  <c r="G184" i="7"/>
  <c r="S184" i="7"/>
  <c r="AA144" i="7"/>
  <c r="U265" i="7"/>
  <c r="U266" i="7" s="1"/>
  <c r="C9" i="7"/>
  <c r="X19" i="7"/>
  <c r="AA32" i="7"/>
  <c r="AA34" i="9"/>
  <c r="M192" i="7"/>
  <c r="F240" i="7"/>
  <c r="Z81" i="7"/>
  <c r="AF202" i="7"/>
  <c r="AF204" i="7" s="1"/>
  <c r="Y243" i="7"/>
  <c r="Y244" i="7" s="1"/>
  <c r="Z38" i="7"/>
  <c r="S167" i="7"/>
  <c r="BB123" i="7"/>
  <c r="BB119" i="7" s="1"/>
  <c r="B243" i="7"/>
  <c r="B244" i="7" s="1"/>
  <c r="O243" i="7"/>
  <c r="O244" i="7" s="1"/>
  <c r="C265" i="7"/>
  <c r="C266" i="7" s="1"/>
  <c r="O38" i="7"/>
  <c r="I210" i="7"/>
  <c r="L10" i="7"/>
  <c r="M64" i="7" s="1"/>
  <c r="U38" i="7"/>
  <c r="I123" i="7"/>
  <c r="I128" i="7" s="1"/>
  <c r="W32" i="7"/>
  <c r="J240" i="7"/>
  <c r="T199" i="7"/>
  <c r="O192" i="7"/>
  <c r="O199" i="7"/>
  <c r="D246" i="7"/>
  <c r="Z123" i="7"/>
  <c r="Z128" i="7" s="1"/>
  <c r="Z129" i="7" s="1"/>
  <c r="Y128" i="7"/>
  <c r="Y129" i="7" s="1"/>
  <c r="B247" i="7"/>
  <c r="O247" i="7"/>
  <c r="F114" i="7"/>
  <c r="I9" i="7"/>
  <c r="J60" i="7" s="1"/>
  <c r="E179" i="7"/>
  <c r="E208" i="7" s="1"/>
  <c r="H9" i="7"/>
  <c r="H161" i="7" s="1"/>
  <c r="H10" i="7"/>
  <c r="U81" i="7"/>
  <c r="G9" i="9"/>
  <c r="Z199" i="7"/>
  <c r="M132" i="7"/>
  <c r="L132" i="7"/>
  <c r="L133" i="7" s="1"/>
  <c r="P38" i="7"/>
  <c r="AB5" i="9"/>
  <c r="AA52" i="9"/>
  <c r="AA51" i="9" s="1"/>
  <c r="AU81" i="7"/>
  <c r="U243" i="7"/>
  <c r="U244" i="7" s="1"/>
  <c r="Q114" i="7"/>
  <c r="Y120" i="7"/>
  <c r="S23" i="7"/>
  <c r="E162" i="7"/>
  <c r="X30" i="7"/>
  <c r="AA114" i="7"/>
  <c r="R246" i="7"/>
  <c r="P192" i="7"/>
  <c r="W266" i="7"/>
  <c r="J167" i="7"/>
  <c r="AA10" i="7"/>
  <c r="AB64" i="7" s="1"/>
  <c r="O114" i="7"/>
  <c r="H200" i="7"/>
  <c r="X246" i="7"/>
  <c r="AA123" i="7"/>
  <c r="AA128" i="7" s="1"/>
  <c r="AA129" i="7" s="1"/>
  <c r="AA130" i="7" s="1"/>
  <c r="AA132" i="7"/>
  <c r="S10" i="7"/>
  <c r="T64" i="7" s="1"/>
  <c r="Q23" i="7"/>
  <c r="N184" i="7"/>
  <c r="L262" i="7"/>
  <c r="AY188" i="7"/>
  <c r="C149" i="7"/>
  <c r="C154" i="7" s="1"/>
  <c r="O149" i="7"/>
  <c r="K149" i="7"/>
  <c r="K154" i="7" s="1"/>
  <c r="Z189" i="7"/>
  <c r="I167" i="7"/>
  <c r="AE169" i="7"/>
  <c r="AF169" i="7" s="1"/>
  <c r="AG169" i="7" s="1"/>
  <c r="AD171" i="7"/>
  <c r="J35" i="7"/>
  <c r="J23" i="7"/>
  <c r="J9" i="7"/>
  <c r="N23" i="7"/>
  <c r="P33" i="7"/>
  <c r="T33" i="7"/>
  <c r="P35" i="7"/>
  <c r="AA73" i="7"/>
  <c r="T9" i="7"/>
  <c r="U60" i="7" s="1"/>
  <c r="T35" i="7"/>
  <c r="T23" i="7"/>
  <c r="K38" i="7"/>
  <c r="Y149" i="7"/>
  <c r="AA9" i="9"/>
  <c r="O128" i="7"/>
  <c r="O129" i="7" s="1"/>
  <c r="P128" i="7"/>
  <c r="P129" i="7" s="1"/>
  <c r="H132" i="7"/>
  <c r="F128" i="7"/>
  <c r="K158" i="7"/>
  <c r="M114" i="7"/>
  <c r="I247" i="7"/>
  <c r="I114" i="7"/>
  <c r="I243" i="7"/>
  <c r="I244" i="7" s="1"/>
  <c r="I265" i="7"/>
  <c r="I266" i="7" s="1"/>
  <c r="J265" i="7"/>
  <c r="J266" i="7" s="1"/>
  <c r="N114" i="7"/>
  <c r="J243" i="7"/>
  <c r="J244" i="7" s="1"/>
  <c r="J114" i="7"/>
  <c r="V114" i="7"/>
  <c r="V247" i="7"/>
  <c r="V265" i="7"/>
  <c r="V266" i="7" s="1"/>
  <c r="V243" i="7"/>
  <c r="V244" i="7" s="1"/>
  <c r="O246" i="7"/>
  <c r="O237" i="7" s="1"/>
  <c r="C246" i="7"/>
  <c r="C244" i="7"/>
  <c r="P9" i="7"/>
  <c r="J247" i="7"/>
  <c r="D38" i="7"/>
  <c r="D10" i="7"/>
  <c r="M73" i="7"/>
  <c r="F9" i="7"/>
  <c r="J33" i="7"/>
  <c r="R213" i="7"/>
  <c r="U33" i="7"/>
  <c r="Q9" i="7"/>
  <c r="Q35" i="7"/>
  <c r="Q33" i="7"/>
  <c r="N179" i="7"/>
  <c r="N210" i="7"/>
  <c r="N162" i="7"/>
  <c r="K23" i="7"/>
  <c r="K9" i="7"/>
  <c r="L60" i="7" s="1"/>
  <c r="I200" i="7"/>
  <c r="I199" i="7"/>
  <c r="U200" i="7"/>
  <c r="U199" i="7"/>
  <c r="T114" i="7"/>
  <c r="K265" i="7"/>
  <c r="K266" i="7" s="1"/>
  <c r="K114" i="7"/>
  <c r="V21" i="7"/>
  <c r="V19" i="7"/>
  <c r="R23" i="7"/>
  <c r="R9" i="7"/>
  <c r="D179" i="7"/>
  <c r="D210" i="7"/>
  <c r="P114" i="7"/>
  <c r="J73" i="7"/>
  <c r="M158" i="7"/>
  <c r="H243" i="7"/>
  <c r="H244" i="7" s="1"/>
  <c r="Z31" i="7"/>
  <c r="V28" i="7"/>
  <c r="V38" i="7"/>
  <c r="L38" i="7"/>
  <c r="U73" i="7"/>
  <c r="H179" i="7"/>
  <c r="H210" i="7"/>
  <c r="V162" i="7"/>
  <c r="V179" i="7"/>
  <c r="V210" i="7"/>
  <c r="N240" i="7"/>
  <c r="H247" i="7"/>
  <c r="R265" i="7"/>
  <c r="R266" i="7" s="1"/>
  <c r="M38" i="7"/>
  <c r="AB52" i="9"/>
  <c r="AB51" i="9" s="1"/>
  <c r="L247" i="7"/>
  <c r="T265" i="7"/>
  <c r="T266" i="7" s="1"/>
  <c r="T10" i="7"/>
  <c r="U64" i="7" s="1"/>
  <c r="G179" i="7"/>
  <c r="G210" i="7"/>
  <c r="Q232" i="7"/>
  <c r="Q246" i="7"/>
  <c r="H114" i="7"/>
  <c r="F210" i="7"/>
  <c r="S33" i="7"/>
  <c r="S35" i="7"/>
  <c r="M33" i="7"/>
  <c r="I35" i="7"/>
  <c r="U179" i="7"/>
  <c r="U210" i="7"/>
  <c r="U162" i="7"/>
  <c r="X38" i="7"/>
  <c r="X10" i="7"/>
  <c r="Y64" i="7" s="1"/>
  <c r="K167" i="7"/>
  <c r="O167" i="7"/>
  <c r="K11" i="9"/>
  <c r="L265" i="7"/>
  <c r="L266" i="7" s="1"/>
  <c r="O23" i="7"/>
  <c r="V10" i="7"/>
  <c r="W64" i="7" s="1"/>
  <c r="F179" i="7"/>
  <c r="L158" i="7"/>
  <c r="X210" i="7"/>
  <c r="X162" i="7"/>
  <c r="X179" i="7"/>
  <c r="Y10" i="7"/>
  <c r="Z64" i="7" s="1"/>
  <c r="AD64" i="7" s="1"/>
  <c r="Y38" i="7"/>
  <c r="AB197" i="7"/>
  <c r="AA189" i="7"/>
  <c r="AA198" i="7"/>
  <c r="AA197" i="7"/>
  <c r="J199" i="7"/>
  <c r="V199" i="7"/>
  <c r="V200" i="7"/>
  <c r="H149" i="7"/>
  <c r="T149" i="7"/>
  <c r="T154" i="7" s="1"/>
  <c r="K192" i="7"/>
  <c r="X19" i="11"/>
  <c r="X11" i="11"/>
  <c r="Y232" i="7"/>
  <c r="AC233" i="7" s="1"/>
  <c r="Y246" i="7"/>
  <c r="B184" i="7"/>
  <c r="F184" i="7"/>
  <c r="B167" i="7"/>
  <c r="B11" i="9"/>
  <c r="T162" i="7"/>
  <c r="X199" i="7"/>
  <c r="U11" i="9"/>
  <c r="U167" i="7"/>
  <c r="AB260" i="7"/>
  <c r="AB164" i="7"/>
  <c r="K200" i="7"/>
  <c r="M200" i="7"/>
  <c r="K5" i="9"/>
  <c r="W5" i="9"/>
  <c r="AR144" i="7"/>
  <c r="AC114" i="7"/>
  <c r="J158" i="7"/>
  <c r="Q158" i="7"/>
  <c r="W243" i="7"/>
  <c r="W244" i="7" s="1"/>
  <c r="AC35" i="7"/>
  <c r="S240" i="7"/>
  <c r="W232" i="7"/>
  <c r="AA233" i="7" s="1"/>
  <c r="W165" i="7"/>
  <c r="AA166" i="7" s="1"/>
  <c r="W164" i="7"/>
  <c r="W179" i="7" s="1"/>
  <c r="R162" i="7"/>
  <c r="D240" i="7"/>
  <c r="E199" i="7"/>
  <c r="D200" i="7"/>
  <c r="F167" i="7"/>
  <c r="F11" i="9"/>
  <c r="V167" i="7"/>
  <c r="R167" i="7"/>
  <c r="R11" i="9"/>
  <c r="W247" i="7"/>
  <c r="R199" i="7"/>
  <c r="W149" i="7"/>
  <c r="W154" i="7" s="1"/>
  <c r="AB10" i="7"/>
  <c r="AC64" i="7" s="1"/>
  <c r="AB38" i="7"/>
  <c r="O200" i="7"/>
  <c r="R192" i="7"/>
  <c r="S192" i="7"/>
  <c r="F199" i="7"/>
  <c r="G199" i="7"/>
  <c r="AO3" i="7"/>
  <c r="D149" i="7"/>
  <c r="D154" i="7" s="1"/>
  <c r="AA246" i="7"/>
  <c r="AA248" i="7" s="1"/>
  <c r="W114" i="7"/>
  <c r="W240" i="7"/>
  <c r="L192" i="7"/>
  <c r="N200" i="7"/>
  <c r="B200" i="7"/>
  <c r="Z243" i="7"/>
  <c r="Z244" i="7" s="1"/>
  <c r="AB200" i="7"/>
  <c r="T164" i="7"/>
  <c r="Z265" i="7"/>
  <c r="Z266" i="7" s="1"/>
  <c r="X200" i="7"/>
  <c r="AB144" i="7"/>
  <c r="AB232" i="7"/>
  <c r="Y200" i="7"/>
  <c r="X144" i="7"/>
  <c r="AU192" i="7"/>
  <c r="AU200" i="7"/>
  <c r="AB265" i="7"/>
  <c r="AB266" i="7" s="1"/>
  <c r="AB243" i="7"/>
  <c r="AB244" i="7" s="1"/>
  <c r="AB247" i="7"/>
  <c r="AB132" i="7"/>
  <c r="AB133" i="7" s="1"/>
  <c r="AB128" i="7"/>
  <c r="AB129" i="7" s="1"/>
  <c r="AD129" i="7" s="1"/>
  <c r="AE129" i="7" s="1"/>
  <c r="AF129" i="7" s="1"/>
  <c r="AG129" i="7" s="1"/>
  <c r="AB114" i="7"/>
  <c r="AN150" i="7"/>
  <c r="AN149" i="7" s="1"/>
  <c r="AN154" i="7" s="1"/>
  <c r="AP69" i="9"/>
  <c r="AM150" i="7"/>
  <c r="AM149" i="7" s="1"/>
  <c r="AM154" i="7" s="1"/>
  <c r="AE37" i="9"/>
  <c r="AF27" i="7"/>
  <c r="AO150" i="7"/>
  <c r="AO149" i="7" s="1"/>
  <c r="AO154" i="7" s="1"/>
  <c r="AC9" i="7"/>
  <c r="AC70" i="7" s="1"/>
  <c r="AL150" i="7"/>
  <c r="AL149" i="7" s="1"/>
  <c r="AL154" i="7" s="1"/>
  <c r="AO69" i="9"/>
  <c r="AQ150" i="7"/>
  <c r="AQ149" i="7" s="1"/>
  <c r="AQ154" i="7" s="1"/>
  <c r="AP150" i="7"/>
  <c r="AP149" i="7" s="1"/>
  <c r="AP154" i="7" s="1"/>
  <c r="AQ69" i="9"/>
  <c r="AC38" i="9"/>
  <c r="AC239" i="7" s="1"/>
  <c r="AC240" i="7" s="1"/>
  <c r="AR40" i="9"/>
  <c r="AM69" i="9"/>
  <c r="AN69" i="9"/>
  <c r="AL69" i="9"/>
  <c r="V12" i="10"/>
  <c r="G50" i="10"/>
  <c r="G45" i="10"/>
  <c r="F45" i="10"/>
  <c r="E45" i="10"/>
  <c r="D45" i="10"/>
  <c r="C45" i="10"/>
  <c r="AY55" i="7" l="1"/>
  <c r="AX55" i="7"/>
  <c r="AX53" i="7"/>
  <c r="AY50" i="7"/>
  <c r="BB50" i="7" s="1"/>
  <c r="AZ50" i="7"/>
  <c r="BA50" i="7"/>
  <c r="AF53" i="7"/>
  <c r="AG53" i="7" s="1"/>
  <c r="T120" i="7"/>
  <c r="W192" i="7"/>
  <c r="S128" i="7"/>
  <c r="S129" i="7" s="1"/>
  <c r="S130" i="7" s="1"/>
  <c r="F38" i="10"/>
  <c r="G3" i="10"/>
  <c r="C7" i="7"/>
  <c r="E180" i="7"/>
  <c r="AD34" i="9"/>
  <c r="M128" i="7"/>
  <c r="I248" i="7"/>
  <c r="D248" i="7"/>
  <c r="Z248" i="7"/>
  <c r="AD33" i="7"/>
  <c r="AC23" i="7"/>
  <c r="X248" i="7"/>
  <c r="Y9" i="7"/>
  <c r="Y161" i="7" s="1"/>
  <c r="I72" i="7"/>
  <c r="AC237" i="7"/>
  <c r="AB23" i="7"/>
  <c r="R36" i="7"/>
  <c r="P248" i="7"/>
  <c r="P217" i="7"/>
  <c r="P20" i="9" s="1"/>
  <c r="S36" i="7"/>
  <c r="Z35" i="7"/>
  <c r="AD244" i="7"/>
  <c r="AE244" i="7" s="1"/>
  <c r="AF244" i="7" s="1"/>
  <c r="AG244" i="7" s="1"/>
  <c r="AD240" i="7"/>
  <c r="AE240" i="7" s="1"/>
  <c r="AF240" i="7" s="1"/>
  <c r="AG240" i="7" s="1"/>
  <c r="AC190" i="7"/>
  <c r="AR42" i="9"/>
  <c r="D237" i="7"/>
  <c r="J48" i="7"/>
  <c r="J56" i="7" s="1"/>
  <c r="AB162" i="7"/>
  <c r="AB179" i="7"/>
  <c r="AB175" i="7" s="1"/>
  <c r="Z233" i="7"/>
  <c r="S7" i="7"/>
  <c r="S5" i="7" s="1"/>
  <c r="E161" i="7"/>
  <c r="AC33" i="7"/>
  <c r="Y35" i="7"/>
  <c r="AC36" i="7" s="1"/>
  <c r="X33" i="7"/>
  <c r="B217" i="7"/>
  <c r="B20" i="9" s="1"/>
  <c r="B21" i="9" s="1"/>
  <c r="Z210" i="7"/>
  <c r="Z217" i="7" s="1"/>
  <c r="Z20" i="9" s="1"/>
  <c r="Z21" i="9" s="1"/>
  <c r="Z9" i="7"/>
  <c r="AA60" i="7" s="1"/>
  <c r="P36" i="7"/>
  <c r="P14" i="9"/>
  <c r="W120" i="7"/>
  <c r="N7" i="7"/>
  <c r="Z167" i="7"/>
  <c r="AS35" i="9"/>
  <c r="AS261" i="7" s="1"/>
  <c r="O7" i="7"/>
  <c r="O5" i="7" s="1"/>
  <c r="O115" i="7" s="1"/>
  <c r="AB248" i="7"/>
  <c r="AD248" i="7" s="1"/>
  <c r="AE248" i="7" s="1"/>
  <c r="AF248" i="7" s="1"/>
  <c r="AG248" i="7" s="1"/>
  <c r="H133" i="7"/>
  <c r="AD38" i="9"/>
  <c r="AD239" i="7" s="1"/>
  <c r="N248" i="7"/>
  <c r="AB120" i="7"/>
  <c r="AD66" i="7"/>
  <c r="AA33" i="7"/>
  <c r="X130" i="7"/>
  <c r="I7" i="7"/>
  <c r="J61" i="7" s="1"/>
  <c r="AA33" i="9"/>
  <c r="AA150" i="7" s="1"/>
  <c r="Q130" i="7"/>
  <c r="V248" i="7"/>
  <c r="R120" i="7"/>
  <c r="M133" i="7"/>
  <c r="E133" i="7"/>
  <c r="AA35" i="7"/>
  <c r="AF119" i="7"/>
  <c r="AE260" i="7"/>
  <c r="AE262" i="7" s="1"/>
  <c r="AB210" i="7"/>
  <c r="AB217" i="7" s="1"/>
  <c r="T130" i="7"/>
  <c r="Z179" i="7"/>
  <c r="Z180" i="7" s="1"/>
  <c r="G7" i="7"/>
  <c r="H61" i="7" s="1"/>
  <c r="AA23" i="7"/>
  <c r="AA217" i="7"/>
  <c r="AA20" i="9" s="1"/>
  <c r="AA14" i="9"/>
  <c r="AE53" i="9"/>
  <c r="Y248" i="7"/>
  <c r="M36" i="7"/>
  <c r="AD19" i="7"/>
  <c r="AD23" i="7" s="1"/>
  <c r="Q120" i="7"/>
  <c r="W133" i="7"/>
  <c r="D133" i="7"/>
  <c r="AB262" i="7"/>
  <c r="M142" i="7"/>
  <c r="O142" i="7"/>
  <c r="X120" i="7"/>
  <c r="T248" i="7"/>
  <c r="U248" i="7"/>
  <c r="Q133" i="7"/>
  <c r="AA162" i="7"/>
  <c r="AA179" i="7"/>
  <c r="AA208" i="7" s="1"/>
  <c r="AE208" i="7" s="1"/>
  <c r="K237" i="7"/>
  <c r="C161" i="7"/>
  <c r="AB34" i="9"/>
  <c r="AB33" i="9" s="1"/>
  <c r="AB150" i="7" s="1"/>
  <c r="W248" i="7"/>
  <c r="B175" i="7"/>
  <c r="F248" i="7"/>
  <c r="M248" i="7"/>
  <c r="M60" i="7"/>
  <c r="L7" i="7"/>
  <c r="L5" i="7" s="1"/>
  <c r="AC12" i="7"/>
  <c r="N237" i="7"/>
  <c r="O161" i="7"/>
  <c r="AN48" i="7"/>
  <c r="AE28" i="7"/>
  <c r="AE33" i="7" s="1"/>
  <c r="B208" i="7"/>
  <c r="AC34" i="9"/>
  <c r="AR34" i="9" s="1"/>
  <c r="I180" i="7"/>
  <c r="S180" i="7"/>
  <c r="N130" i="7"/>
  <c r="AA213" i="7"/>
  <c r="B248" i="7"/>
  <c r="G248" i="7"/>
  <c r="N142" i="7"/>
  <c r="W130" i="7"/>
  <c r="H142" i="7"/>
  <c r="E14" i="9"/>
  <c r="D7" i="7"/>
  <c r="D39" i="7" s="1"/>
  <c r="AA9" i="7"/>
  <c r="AA7" i="7" s="1"/>
  <c r="E175" i="7"/>
  <c r="AG18" i="7"/>
  <c r="S142" i="7"/>
  <c r="M161" i="7"/>
  <c r="H248" i="7"/>
  <c r="D185" i="7"/>
  <c r="N36" i="7"/>
  <c r="E213" i="7"/>
  <c r="Y210" i="7"/>
  <c r="Y213" i="7" s="1"/>
  <c r="L142" i="7"/>
  <c r="R217" i="7"/>
  <c r="R20" i="9" s="1"/>
  <c r="AE34" i="9"/>
  <c r="M7" i="7"/>
  <c r="B213" i="7"/>
  <c r="S161" i="7"/>
  <c r="E248" i="7"/>
  <c r="E237" i="7"/>
  <c r="P142" i="7"/>
  <c r="Y84" i="7"/>
  <c r="Y85" i="7" s="1"/>
  <c r="W9" i="7"/>
  <c r="W23" i="7"/>
  <c r="W35" i="7"/>
  <c r="W36" i="7" s="1"/>
  <c r="U7" i="7"/>
  <c r="V61" i="7" s="1"/>
  <c r="U120" i="7"/>
  <c r="AB9" i="7"/>
  <c r="AB35" i="7"/>
  <c r="O60" i="7"/>
  <c r="N161" i="7"/>
  <c r="Y167" i="7"/>
  <c r="AE171" i="7"/>
  <c r="AF171" i="7" s="1"/>
  <c r="AG171" i="7" s="1"/>
  <c r="BB188" i="7"/>
  <c r="BB192" i="7"/>
  <c r="BB200" i="7"/>
  <c r="S175" i="7"/>
  <c r="S70" i="7"/>
  <c r="AF17" i="7"/>
  <c r="AF40" i="9" s="1"/>
  <c r="AD196" i="7"/>
  <c r="X35" i="7"/>
  <c r="X36" i="7" s="1"/>
  <c r="R142" i="7"/>
  <c r="L248" i="7"/>
  <c r="X9" i="7"/>
  <c r="X70" i="7" s="1"/>
  <c r="C248" i="7"/>
  <c r="I161" i="7"/>
  <c r="U133" i="7"/>
  <c r="Y179" i="7"/>
  <c r="AR35" i="9"/>
  <c r="AR261" i="7" s="1"/>
  <c r="X23" i="7"/>
  <c r="Z213" i="7"/>
  <c r="F4" i="7"/>
  <c r="AM123" i="7" s="1"/>
  <c r="O175" i="7"/>
  <c r="O208" i="7"/>
  <c r="P208" i="7"/>
  <c r="P175" i="7"/>
  <c r="H154" i="7"/>
  <c r="J248" i="7"/>
  <c r="C14" i="9"/>
  <c r="C217" i="7"/>
  <c r="C20" i="9" s="1"/>
  <c r="C213" i="7"/>
  <c r="AB130" i="7"/>
  <c r="C180" i="7"/>
  <c r="C175" i="7"/>
  <c r="C208" i="7"/>
  <c r="F61" i="7"/>
  <c r="E5" i="7"/>
  <c r="E57" i="7" s="1"/>
  <c r="AG202" i="7"/>
  <c r="AG204" i="7" s="1"/>
  <c r="X237" i="7"/>
  <c r="U161" i="7"/>
  <c r="T36" i="7"/>
  <c r="AG198" i="7"/>
  <c r="AG199" i="7" s="1"/>
  <c r="V60" i="7"/>
  <c r="AO100" i="7"/>
  <c r="AP4" i="7"/>
  <c r="U142" i="7"/>
  <c r="P130" i="7"/>
  <c r="C237" i="7"/>
  <c r="H7" i="7"/>
  <c r="R130" i="7"/>
  <c r="S237" i="7"/>
  <c r="S248" i="7"/>
  <c r="O217" i="7"/>
  <c r="O20" i="9" s="1"/>
  <c r="O21" i="9" s="1"/>
  <c r="O213" i="7"/>
  <c r="O14" i="9"/>
  <c r="K142" i="7"/>
  <c r="Z191" i="7"/>
  <c r="Z192" i="7" s="1"/>
  <c r="Z190" i="7"/>
  <c r="Y237" i="7"/>
  <c r="O248" i="7"/>
  <c r="AA133" i="7"/>
  <c r="R237" i="7"/>
  <c r="R248" i="7"/>
  <c r="AA120" i="7"/>
  <c r="Z120" i="7"/>
  <c r="I217" i="7"/>
  <c r="I213" i="7"/>
  <c r="I14" i="9"/>
  <c r="U130" i="7"/>
  <c r="AD199" i="7"/>
  <c r="O154" i="7"/>
  <c r="Q142" i="7"/>
  <c r="B7" i="7"/>
  <c r="C39" i="7" s="1"/>
  <c r="V120" i="7"/>
  <c r="S14" i="9"/>
  <c r="S213" i="7"/>
  <c r="S217" i="7"/>
  <c r="N14" i="9"/>
  <c r="N217" i="7"/>
  <c r="N213" i="7"/>
  <c r="AD59" i="7"/>
  <c r="AD49" i="7" s="1"/>
  <c r="G142" i="7"/>
  <c r="E142" i="7"/>
  <c r="F14" i="9"/>
  <c r="F217" i="7"/>
  <c r="F213" i="7"/>
  <c r="H175" i="7"/>
  <c r="H180" i="7"/>
  <c r="H208" i="7"/>
  <c r="V23" i="7"/>
  <c r="V9" i="7"/>
  <c r="Z23" i="7"/>
  <c r="Z132" i="7"/>
  <c r="Z133" i="7" s="1"/>
  <c r="W167" i="7"/>
  <c r="W11" i="9"/>
  <c r="W210" i="7"/>
  <c r="AA200" i="7"/>
  <c r="AA199" i="7"/>
  <c r="AE198" i="7"/>
  <c r="AB199" i="7"/>
  <c r="Q237" i="7"/>
  <c r="Q248" i="7"/>
  <c r="AF18" i="7"/>
  <c r="AD191" i="7"/>
  <c r="T7" i="7"/>
  <c r="T70" i="7"/>
  <c r="T161" i="7"/>
  <c r="L179" i="7"/>
  <c r="L210" i="7"/>
  <c r="L162" i="7"/>
  <c r="Q162" i="7"/>
  <c r="Q179" i="7"/>
  <c r="U180" i="7" s="1"/>
  <c r="Q210" i="7"/>
  <c r="Z130" i="7"/>
  <c r="AA190" i="7"/>
  <c r="AA191" i="7"/>
  <c r="AB190" i="7"/>
  <c r="AE39" i="9"/>
  <c r="AE38" i="9" s="1"/>
  <c r="AE239" i="7" s="1"/>
  <c r="AE19" i="7"/>
  <c r="AE23" i="7" s="1"/>
  <c r="J132" i="7"/>
  <c r="J133" i="7" s="1"/>
  <c r="Y154" i="7"/>
  <c r="P161" i="7"/>
  <c r="Q60" i="7"/>
  <c r="P7" i="7"/>
  <c r="T11" i="9"/>
  <c r="T167" i="7"/>
  <c r="X167" i="7"/>
  <c r="T179" i="7"/>
  <c r="X180" i="7" s="1"/>
  <c r="T210" i="7"/>
  <c r="J162" i="7"/>
  <c r="J179" i="7"/>
  <c r="J185" i="7" s="1"/>
  <c r="J210" i="7"/>
  <c r="Y132" i="7"/>
  <c r="Y133" i="7" s="1"/>
  <c r="H185" i="7"/>
  <c r="D142" i="7"/>
  <c r="V33" i="7"/>
  <c r="V35" i="7"/>
  <c r="Z33" i="7"/>
  <c r="I132" i="7"/>
  <c r="I133" i="7" s="1"/>
  <c r="W180" i="7"/>
  <c r="W175" i="7"/>
  <c r="W208" i="7"/>
  <c r="N175" i="7"/>
  <c r="N208" i="7"/>
  <c r="AB233" i="7"/>
  <c r="AF232" i="7"/>
  <c r="AP3" i="7"/>
  <c r="F175" i="7"/>
  <c r="F180" i="7"/>
  <c r="I185" i="7"/>
  <c r="F208" i="7"/>
  <c r="U14" i="9"/>
  <c r="U213" i="7"/>
  <c r="U217" i="7"/>
  <c r="D14" i="9"/>
  <c r="D213" i="7"/>
  <c r="D217" i="7"/>
  <c r="D20" i="9" s="1"/>
  <c r="Q36" i="7"/>
  <c r="U36" i="7"/>
  <c r="F142" i="7"/>
  <c r="F7" i="7"/>
  <c r="F161" i="7"/>
  <c r="W142" i="7"/>
  <c r="V142" i="7"/>
  <c r="X185" i="7"/>
  <c r="U175" i="7"/>
  <c r="U208" i="7"/>
  <c r="G14" i="9"/>
  <c r="G217" i="7"/>
  <c r="G213" i="7"/>
  <c r="V14" i="9"/>
  <c r="V213" i="7"/>
  <c r="V217" i="7"/>
  <c r="R180" i="7"/>
  <c r="D208" i="7"/>
  <c r="D180" i="7"/>
  <c r="G185" i="7"/>
  <c r="F185" i="7"/>
  <c r="D175" i="7"/>
  <c r="K7" i="7"/>
  <c r="K161" i="7"/>
  <c r="R60" i="7"/>
  <c r="Q7" i="7"/>
  <c r="Q161" i="7"/>
  <c r="Q70" i="7"/>
  <c r="T142" i="7"/>
  <c r="V132" i="7"/>
  <c r="V133" i="7" s="1"/>
  <c r="E21" i="9"/>
  <c r="AA167" i="7"/>
  <c r="X175" i="7"/>
  <c r="X208" i="7"/>
  <c r="G180" i="7"/>
  <c r="G175" i="7"/>
  <c r="G208" i="7"/>
  <c r="V208" i="7"/>
  <c r="V175" i="7"/>
  <c r="V180" i="7"/>
  <c r="Y130" i="7"/>
  <c r="AA237" i="7"/>
  <c r="I142" i="7"/>
  <c r="J142" i="7"/>
  <c r="K132" i="7"/>
  <c r="K133" i="7" s="1"/>
  <c r="D61" i="7"/>
  <c r="C5" i="7"/>
  <c r="C57" i="7" s="1"/>
  <c r="M61" i="7"/>
  <c r="O130" i="7"/>
  <c r="P132" i="7"/>
  <c r="P133" i="7" s="1"/>
  <c r="V130" i="7"/>
  <c r="X142" i="7"/>
  <c r="Y142" i="7"/>
  <c r="Z142" i="7"/>
  <c r="AB11" i="9"/>
  <c r="AB167" i="7"/>
  <c r="AJ164" i="7"/>
  <c r="X14" i="9"/>
  <c r="X213" i="7"/>
  <c r="X217" i="7"/>
  <c r="R161" i="7"/>
  <c r="S60" i="7"/>
  <c r="R7" i="7"/>
  <c r="R70" i="7"/>
  <c r="E185" i="7"/>
  <c r="K179" i="7"/>
  <c r="K210" i="7"/>
  <c r="K162" i="7"/>
  <c r="O132" i="7"/>
  <c r="O133" i="7" s="1"/>
  <c r="AG232" i="7"/>
  <c r="Y233" i="7"/>
  <c r="F132" i="7"/>
  <c r="F133" i="7" s="1"/>
  <c r="H217" i="7"/>
  <c r="H14" i="9"/>
  <c r="H213" i="7"/>
  <c r="M179" i="7"/>
  <c r="M210" i="7"/>
  <c r="M162" i="7"/>
  <c r="J161" i="7"/>
  <c r="J7" i="7"/>
  <c r="K60" i="7"/>
  <c r="AJ102" i="7"/>
  <c r="AG116" i="7"/>
  <c r="AF53" i="9"/>
  <c r="AG27" i="7"/>
  <c r="AF37" i="9"/>
  <c r="AF34" i="9" s="1"/>
  <c r="AF28" i="7"/>
  <c r="AC161" i="7"/>
  <c r="AR38" i="9"/>
  <c r="AR239" i="7" s="1"/>
  <c r="AZ55" i="7" l="1"/>
  <c r="BB55" i="7" s="1"/>
  <c r="BA55" i="7"/>
  <c r="AZ53" i="7"/>
  <c r="BA53" i="7" s="1"/>
  <c r="AY53" i="7"/>
  <c r="BB53" i="7" s="1"/>
  <c r="T61" i="7"/>
  <c r="AB208" i="7"/>
  <c r="G5" i="7"/>
  <c r="I8" i="7"/>
  <c r="I5" i="7"/>
  <c r="I115" i="7" s="1"/>
  <c r="T39" i="7"/>
  <c r="Z175" i="7"/>
  <c r="AA175" i="7"/>
  <c r="Y7" i="7"/>
  <c r="Y5" i="7" s="1"/>
  <c r="Y103" i="7" s="1"/>
  <c r="AJ179" i="7"/>
  <c r="U145" i="7"/>
  <c r="U146" i="7" s="1"/>
  <c r="H3" i="10"/>
  <c r="G38" i="10"/>
  <c r="Y70" i="7"/>
  <c r="AE238" i="7"/>
  <c r="Z60" i="7"/>
  <c r="Z14" i="9"/>
  <c r="O39" i="7"/>
  <c r="S8" i="7"/>
  <c r="N5" i="7"/>
  <c r="O80" i="7" s="1"/>
  <c r="O82" i="7" s="1"/>
  <c r="Y36" i="7"/>
  <c r="AB180" i="7"/>
  <c r="I57" i="7"/>
  <c r="Z70" i="7"/>
  <c r="AD9" i="7"/>
  <c r="AE59" i="7" s="1"/>
  <c r="AE49" i="7" s="1"/>
  <c r="J72" i="7"/>
  <c r="G103" i="7"/>
  <c r="G57" i="7"/>
  <c r="Z161" i="7"/>
  <c r="AD238" i="7"/>
  <c r="O61" i="7"/>
  <c r="AJ210" i="7"/>
  <c r="AB7" i="7"/>
  <c r="AC60" i="7"/>
  <c r="Z7" i="7"/>
  <c r="Z5" i="7" s="1"/>
  <c r="Z103" i="7" s="1"/>
  <c r="M39" i="7"/>
  <c r="P61" i="7"/>
  <c r="AD33" i="9"/>
  <c r="AD260" i="7"/>
  <c r="AD262" i="7" s="1"/>
  <c r="Z208" i="7"/>
  <c r="AD208" i="7" s="1"/>
  <c r="K48" i="7"/>
  <c r="K56" i="7" s="1"/>
  <c r="O103" i="7"/>
  <c r="H39" i="7"/>
  <c r="L8" i="7"/>
  <c r="AC33" i="9"/>
  <c r="AC150" i="7" s="1"/>
  <c r="U8" i="7"/>
  <c r="AB36" i="7"/>
  <c r="R218" i="7"/>
  <c r="G8" i="7"/>
  <c r="AA185" i="7"/>
  <c r="E39" i="7"/>
  <c r="AD35" i="7"/>
  <c r="AD36" i="7" s="1"/>
  <c r="AE35" i="7"/>
  <c r="AE36" i="7" s="1"/>
  <c r="D5" i="7"/>
  <c r="E138" i="7" s="1"/>
  <c r="E140" i="7" s="1"/>
  <c r="AB14" i="9"/>
  <c r="AB185" i="7"/>
  <c r="AB213" i="7"/>
  <c r="Y14" i="9"/>
  <c r="E61" i="7"/>
  <c r="AA180" i="7"/>
  <c r="Z185" i="7"/>
  <c r="Y180" i="7"/>
  <c r="Y185" i="7"/>
  <c r="AE9" i="7"/>
  <c r="AF59" i="7" s="1"/>
  <c r="H8" i="7"/>
  <c r="Z145" i="7"/>
  <c r="Z146" i="7" s="1"/>
  <c r="AA70" i="7"/>
  <c r="AA161" i="7"/>
  <c r="AB60" i="7"/>
  <c r="M5" i="7"/>
  <c r="M138" i="7" s="1"/>
  <c r="M140" i="7" s="1"/>
  <c r="N61" i="7"/>
  <c r="M8" i="7"/>
  <c r="Y217" i="7"/>
  <c r="Y20" i="9" s="1"/>
  <c r="Q185" i="7"/>
  <c r="N39" i="7"/>
  <c r="Y145" i="7"/>
  <c r="Y146" i="7" s="1"/>
  <c r="F100" i="7"/>
  <c r="G4" i="7"/>
  <c r="X60" i="7"/>
  <c r="W70" i="7"/>
  <c r="W7" i="7"/>
  <c r="W161" i="7"/>
  <c r="X7" i="7"/>
  <c r="Y60" i="7"/>
  <c r="AM128" i="7"/>
  <c r="AA36" i="7"/>
  <c r="AD189" i="7"/>
  <c r="AD190" i="7" s="1"/>
  <c r="AE196" i="7"/>
  <c r="AE195" i="7" s="1"/>
  <c r="AM81" i="7"/>
  <c r="G115" i="7"/>
  <c r="X161" i="7"/>
  <c r="Y208" i="7"/>
  <c r="Y175" i="7"/>
  <c r="AD195" i="7"/>
  <c r="U5" i="7"/>
  <c r="U115" i="7" s="1"/>
  <c r="AB161" i="7"/>
  <c r="AB70" i="7"/>
  <c r="AE33" i="9"/>
  <c r="E103" i="7"/>
  <c r="E115" i="7"/>
  <c r="S20" i="9"/>
  <c r="S218" i="7"/>
  <c r="AA5" i="7"/>
  <c r="AB61" i="7"/>
  <c r="AD67" i="7"/>
  <c r="AD70" i="7" s="1"/>
  <c r="N180" i="7"/>
  <c r="K185" i="7"/>
  <c r="AP100" i="7"/>
  <c r="AQ4" i="7"/>
  <c r="I20" i="9"/>
  <c r="I218" i="7"/>
  <c r="B5" i="7"/>
  <c r="B57" i="7" s="1"/>
  <c r="C61" i="7"/>
  <c r="B39" i="7"/>
  <c r="X145" i="7"/>
  <c r="X146" i="7" s="1"/>
  <c r="C73" i="9"/>
  <c r="C21" i="9"/>
  <c r="V145" i="7"/>
  <c r="V146" i="7" s="1"/>
  <c r="H5" i="7"/>
  <c r="H57" i="7" s="1"/>
  <c r="I39" i="7"/>
  <c r="I61" i="7"/>
  <c r="J8" i="7"/>
  <c r="K61" i="7"/>
  <c r="J5" i="7"/>
  <c r="J57" i="7" s="1"/>
  <c r="J39" i="7"/>
  <c r="V36" i="7"/>
  <c r="Z36" i="7"/>
  <c r="Q61" i="7"/>
  <c r="P8" i="7"/>
  <c r="P5" i="7"/>
  <c r="Q39" i="7"/>
  <c r="P39" i="7"/>
  <c r="U39" i="7"/>
  <c r="T8" i="7"/>
  <c r="U61" i="7"/>
  <c r="T5" i="7"/>
  <c r="T80" i="7" s="1"/>
  <c r="T82" i="7" s="1"/>
  <c r="Y115" i="7"/>
  <c r="Z80" i="7"/>
  <c r="Z82" i="7" s="1"/>
  <c r="AE191" i="7"/>
  <c r="W14" i="9"/>
  <c r="W213" i="7"/>
  <c r="W217" i="7"/>
  <c r="K8" i="7"/>
  <c r="L61" i="7"/>
  <c r="K5" i="7"/>
  <c r="O8" i="7"/>
  <c r="T14" i="9"/>
  <c r="T213" i="7"/>
  <c r="T217" i="7"/>
  <c r="X218" i="7" s="1"/>
  <c r="AG19" i="7"/>
  <c r="AG23" i="7" s="1"/>
  <c r="AG39" i="9"/>
  <c r="L103" i="7"/>
  <c r="L115" i="7"/>
  <c r="W185" i="7"/>
  <c r="T175" i="7"/>
  <c r="T208" i="7"/>
  <c r="T180" i="7"/>
  <c r="U185" i="7"/>
  <c r="V185" i="7"/>
  <c r="AA192" i="7"/>
  <c r="AB192" i="7"/>
  <c r="AF39" i="9"/>
  <c r="AF38" i="9" s="1"/>
  <c r="AF239" i="7" s="1"/>
  <c r="AF238" i="7" s="1"/>
  <c r="AF19" i="7"/>
  <c r="AF23" i="7" s="1"/>
  <c r="F218" i="7"/>
  <c r="F20" i="9"/>
  <c r="F75" i="9" s="1"/>
  <c r="H218" i="7"/>
  <c r="H20" i="9"/>
  <c r="G218" i="7"/>
  <c r="G20" i="9"/>
  <c r="D138" i="7"/>
  <c r="D140" i="7" s="1"/>
  <c r="D80" i="7"/>
  <c r="D82" i="7" s="1"/>
  <c r="C115" i="7"/>
  <c r="C103" i="7"/>
  <c r="N8" i="7"/>
  <c r="AA21" i="9"/>
  <c r="L39" i="7"/>
  <c r="R21" i="9"/>
  <c r="S61" i="7"/>
  <c r="R5" i="7"/>
  <c r="R8" i="7"/>
  <c r="S39" i="7"/>
  <c r="X20" i="9"/>
  <c r="AQ3" i="7"/>
  <c r="K217" i="7"/>
  <c r="K213" i="7"/>
  <c r="K14" i="9"/>
  <c r="L213" i="7"/>
  <c r="L14" i="9"/>
  <c r="L217" i="7"/>
  <c r="AB20" i="9"/>
  <c r="AJ217" i="7"/>
  <c r="AB218" i="7"/>
  <c r="N20" i="9"/>
  <c r="R22" i="9" s="1"/>
  <c r="U20" i="9"/>
  <c r="AF208" i="7"/>
  <c r="P21" i="9"/>
  <c r="N185" i="7"/>
  <c r="K175" i="7"/>
  <c r="K180" i="7"/>
  <c r="K208" i="7"/>
  <c r="O180" i="7"/>
  <c r="J217" i="7"/>
  <c r="N218" i="7" s="1"/>
  <c r="J14" i="9"/>
  <c r="J213" i="7"/>
  <c r="Q217" i="7"/>
  <c r="U218" i="7" s="1"/>
  <c r="Q213" i="7"/>
  <c r="Q14" i="9"/>
  <c r="P180" i="7"/>
  <c r="O185" i="7"/>
  <c r="L208" i="7"/>
  <c r="L175" i="7"/>
  <c r="L180" i="7"/>
  <c r="M14" i="9"/>
  <c r="M217" i="7"/>
  <c r="M213" i="7"/>
  <c r="G61" i="7"/>
  <c r="F5" i="7"/>
  <c r="F57" i="7" s="1"/>
  <c r="F8" i="7"/>
  <c r="G39" i="7"/>
  <c r="F39" i="7"/>
  <c r="D21" i="9"/>
  <c r="M185" i="7"/>
  <c r="J175" i="7"/>
  <c r="J180" i="7"/>
  <c r="J208" i="7"/>
  <c r="L185" i="7"/>
  <c r="Q208" i="7"/>
  <c r="Q175" i="7"/>
  <c r="Q180" i="7"/>
  <c r="T185" i="7"/>
  <c r="R185" i="7"/>
  <c r="S185" i="7"/>
  <c r="AE199" i="7"/>
  <c r="AF199" i="7"/>
  <c r="W60" i="7"/>
  <c r="V7" i="7"/>
  <c r="V70" i="7"/>
  <c r="V161" i="7"/>
  <c r="R61" i="7"/>
  <c r="Q5" i="7"/>
  <c r="Q8" i="7"/>
  <c r="R39" i="7"/>
  <c r="K39" i="7"/>
  <c r="M180" i="7"/>
  <c r="M175" i="7"/>
  <c r="P185" i="7"/>
  <c r="M208" i="7"/>
  <c r="S115" i="7"/>
  <c r="S103" i="7"/>
  <c r="V20" i="9"/>
  <c r="V218" i="7"/>
  <c r="Z218" i="7"/>
  <c r="W145" i="7"/>
  <c r="W146" i="7" s="1"/>
  <c r="Y21" i="9"/>
  <c r="AG53" i="9"/>
  <c r="AS53" i="9" s="1"/>
  <c r="AG37" i="9"/>
  <c r="AG28" i="7"/>
  <c r="AF33" i="7"/>
  <c r="Z139" i="7" l="1"/>
  <c r="Y8" i="7"/>
  <c r="O139" i="7"/>
  <c r="O138" i="7"/>
  <c r="O140" i="7" s="1"/>
  <c r="N103" i="7"/>
  <c r="E80" i="7"/>
  <c r="E82" i="7" s="1"/>
  <c r="Y39" i="7"/>
  <c r="N115" i="7"/>
  <c r="E139" i="7"/>
  <c r="Z61" i="7"/>
  <c r="I103" i="7"/>
  <c r="H38" i="10"/>
  <c r="I3" i="10"/>
  <c r="Z138" i="7"/>
  <c r="Z140" i="7" s="1"/>
  <c r="AA80" i="7"/>
  <c r="AA82" i="7" s="1"/>
  <c r="AE67" i="7"/>
  <c r="AE160" i="7" s="1"/>
  <c r="AE9" i="9" s="1"/>
  <c r="AA61" i="7"/>
  <c r="AA39" i="7"/>
  <c r="AD160" i="7"/>
  <c r="AD9" i="9" s="1"/>
  <c r="Z39" i="7"/>
  <c r="Z115" i="7"/>
  <c r="AR33" i="9"/>
  <c r="AR150" i="7" s="1"/>
  <c r="AA139" i="7"/>
  <c r="AA138" i="7"/>
  <c r="AA140" i="7" s="1"/>
  <c r="K72" i="7"/>
  <c r="K57" i="7"/>
  <c r="D139" i="7"/>
  <c r="D57" i="7"/>
  <c r="AJ7" i="7"/>
  <c r="AC61" i="7"/>
  <c r="AB5" i="7"/>
  <c r="AJ5" i="7" s="1"/>
  <c r="L48" i="7"/>
  <c r="L56" i="7" s="1"/>
  <c r="AB39" i="7"/>
  <c r="M139" i="7"/>
  <c r="D103" i="7"/>
  <c r="Y218" i="7"/>
  <c r="D115" i="7"/>
  <c r="Y22" i="9"/>
  <c r="M80" i="7"/>
  <c r="M82" i="7" s="1"/>
  <c r="X8" i="7"/>
  <c r="Y61" i="7"/>
  <c r="G75" i="9"/>
  <c r="T138" i="7"/>
  <c r="T140" i="7" s="1"/>
  <c r="AB8" i="7"/>
  <c r="T139" i="7"/>
  <c r="N139" i="7"/>
  <c r="X5" i="7"/>
  <c r="X115" i="7" s="1"/>
  <c r="U103" i="7"/>
  <c r="N138" i="7"/>
  <c r="N140" i="7" s="1"/>
  <c r="N80" i="7"/>
  <c r="N82" i="7" s="1"/>
  <c r="AD186" i="7"/>
  <c r="AD188" i="7" s="1"/>
  <c r="M115" i="7"/>
  <c r="M103" i="7"/>
  <c r="AF196" i="7"/>
  <c r="AE189" i="7"/>
  <c r="AE190" i="7" s="1"/>
  <c r="AA8" i="7"/>
  <c r="X61" i="7"/>
  <c r="W5" i="7"/>
  <c r="X139" i="7" s="1"/>
  <c r="X39" i="7"/>
  <c r="W8" i="7"/>
  <c r="AF35" i="7"/>
  <c r="AF36" i="7" s="1"/>
  <c r="H4" i="7"/>
  <c r="G100" i="7"/>
  <c r="AF9" i="7"/>
  <c r="AG59" i="7" s="1"/>
  <c r="AG49" i="7" s="1"/>
  <c r="I21" i="9"/>
  <c r="I22" i="9"/>
  <c r="AA103" i="7"/>
  <c r="AA115" i="7"/>
  <c r="AR4" i="7"/>
  <c r="AQ100" i="7"/>
  <c r="B138" i="7"/>
  <c r="B140" i="7" s="1"/>
  <c r="B139" i="7"/>
  <c r="B115" i="7"/>
  <c r="C139" i="7"/>
  <c r="B103" i="7"/>
  <c r="C80" i="7"/>
  <c r="C82" i="7" s="1"/>
  <c r="S22" i="9"/>
  <c r="S21" i="9"/>
  <c r="C138" i="7"/>
  <c r="C140" i="7" s="1"/>
  <c r="I80" i="7"/>
  <c r="I82" i="7" s="1"/>
  <c r="I139" i="7"/>
  <c r="I138" i="7"/>
  <c r="I140" i="7" s="1"/>
  <c r="H115" i="7"/>
  <c r="H103" i="7"/>
  <c r="H80" i="7"/>
  <c r="H82" i="7" s="1"/>
  <c r="H138" i="7"/>
  <c r="H140" i="7" s="1"/>
  <c r="H139" i="7"/>
  <c r="U21" i="9"/>
  <c r="S139" i="7"/>
  <c r="R115" i="7"/>
  <c r="R103" i="7"/>
  <c r="S80" i="7"/>
  <c r="S82" i="7" s="1"/>
  <c r="S138" i="7"/>
  <c r="S140" i="7" s="1"/>
  <c r="T218" i="7"/>
  <c r="T20" i="9"/>
  <c r="X22" i="9" s="1"/>
  <c r="AF260" i="7"/>
  <c r="AF262" i="7" s="1"/>
  <c r="AG260" i="7"/>
  <c r="AG262" i="7" s="1"/>
  <c r="G22" i="9"/>
  <c r="G21" i="9"/>
  <c r="L80" i="7"/>
  <c r="L82" i="7" s="1"/>
  <c r="K115" i="7"/>
  <c r="L139" i="7"/>
  <c r="L138" i="7"/>
  <c r="L140" i="7" s="1"/>
  <c r="K103" i="7"/>
  <c r="M20" i="9"/>
  <c r="M218" i="7"/>
  <c r="AF191" i="7"/>
  <c r="G138" i="7"/>
  <c r="G140" i="7" s="1"/>
  <c r="F138" i="7"/>
  <c r="F140" i="7" s="1"/>
  <c r="G139" i="7"/>
  <c r="F115" i="7"/>
  <c r="G80" i="7"/>
  <c r="G82" i="7" s="1"/>
  <c r="F139" i="7"/>
  <c r="F80" i="7"/>
  <c r="F82" i="7" s="1"/>
  <c r="F103" i="7"/>
  <c r="AF33" i="9"/>
  <c r="H21" i="9"/>
  <c r="H22" i="9"/>
  <c r="U80" i="7"/>
  <c r="U82" i="7" s="1"/>
  <c r="U138" i="7"/>
  <c r="U140" i="7" s="1"/>
  <c r="U139" i="7"/>
  <c r="T103" i="7"/>
  <c r="T115" i="7"/>
  <c r="K20" i="9"/>
  <c r="K218" i="7"/>
  <c r="O218" i="7"/>
  <c r="AB21" i="9"/>
  <c r="AB22" i="9"/>
  <c r="X21" i="9"/>
  <c r="N21" i="9"/>
  <c r="V22" i="9"/>
  <c r="V21" i="9"/>
  <c r="Z22" i="9"/>
  <c r="AS39" i="9"/>
  <c r="AG38" i="9"/>
  <c r="K80" i="7"/>
  <c r="K82" i="7" s="1"/>
  <c r="J138" i="7"/>
  <c r="J140" i="7" s="1"/>
  <c r="K139" i="7"/>
  <c r="J139" i="7"/>
  <c r="J80" i="7"/>
  <c r="J82" i="7" s="1"/>
  <c r="K138" i="7"/>
  <c r="K140" i="7" s="1"/>
  <c r="J115" i="7"/>
  <c r="J103" i="7"/>
  <c r="Q20" i="9"/>
  <c r="Q75" i="9" s="1"/>
  <c r="Q218" i="7"/>
  <c r="L20" i="9"/>
  <c r="L218" i="7"/>
  <c r="P218" i="7"/>
  <c r="W20" i="9"/>
  <c r="Y75" i="9" s="1"/>
  <c r="W218" i="7"/>
  <c r="AA218" i="7"/>
  <c r="Q115" i="7"/>
  <c r="R139" i="7"/>
  <c r="R80" i="7"/>
  <c r="R82" i="7" s="1"/>
  <c r="R138" i="7"/>
  <c r="R140" i="7" s="1"/>
  <c r="Q103" i="7"/>
  <c r="J218" i="7"/>
  <c r="J20" i="9"/>
  <c r="J75" i="9" s="1"/>
  <c r="AR3" i="7"/>
  <c r="F21" i="9"/>
  <c r="F22" i="9"/>
  <c r="I75" i="9"/>
  <c r="K73" i="9"/>
  <c r="H75" i="9"/>
  <c r="P115" i="7"/>
  <c r="Q139" i="7"/>
  <c r="Q138" i="7"/>
  <c r="Q140" i="7" s="1"/>
  <c r="Q80" i="7"/>
  <c r="Q82" i="7" s="1"/>
  <c r="P139" i="7"/>
  <c r="P138" i="7"/>
  <c r="P140" i="7" s="1"/>
  <c r="P80" i="7"/>
  <c r="P82" i="7" s="1"/>
  <c r="P103" i="7"/>
  <c r="V5" i="7"/>
  <c r="V8" i="7"/>
  <c r="W39" i="7"/>
  <c r="W61" i="7"/>
  <c r="V39" i="7"/>
  <c r="Z8" i="7"/>
  <c r="AG33" i="7"/>
  <c r="AG35" i="7"/>
  <c r="AG9" i="7"/>
  <c r="AF67" i="7"/>
  <c r="AF49" i="7"/>
  <c r="AS37" i="9"/>
  <c r="AG34" i="9"/>
  <c r="AD161" i="7" l="1"/>
  <c r="AE70" i="7"/>
  <c r="J3" i="10"/>
  <c r="I38" i="10"/>
  <c r="X103" i="7"/>
  <c r="Y138" i="7"/>
  <c r="Y140" i="7" s="1"/>
  <c r="AE161" i="7"/>
  <c r="Y80" i="7"/>
  <c r="Y82" i="7" s="1"/>
  <c r="Y139" i="7"/>
  <c r="AB80" i="7"/>
  <c r="AB82" i="7" s="1"/>
  <c r="AJ82" i="7" s="1"/>
  <c r="AB139" i="7"/>
  <c r="AB115" i="7"/>
  <c r="M48" i="7"/>
  <c r="M56" i="7" s="1"/>
  <c r="L57" i="7"/>
  <c r="AB138" i="7"/>
  <c r="AB140" i="7" s="1"/>
  <c r="AB103" i="7"/>
  <c r="L72" i="7"/>
  <c r="X80" i="7"/>
  <c r="X82" i="7" s="1"/>
  <c r="X138" i="7"/>
  <c r="X140" i="7" s="1"/>
  <c r="AD187" i="7"/>
  <c r="AG67" i="7"/>
  <c r="AG160" i="7" s="1"/>
  <c r="AG9" i="9" s="1"/>
  <c r="I4" i="7"/>
  <c r="H100" i="7"/>
  <c r="K75" i="9"/>
  <c r="AE186" i="7"/>
  <c r="AE188" i="7" s="1"/>
  <c r="W115" i="7"/>
  <c r="W103" i="7"/>
  <c r="AF195" i="7"/>
  <c r="AG196" i="7"/>
  <c r="AF189" i="7"/>
  <c r="AF190" i="7" s="1"/>
  <c r="AA72" i="9"/>
  <c r="AR72" i="9" s="1"/>
  <c r="AS4" i="7"/>
  <c r="AR100" i="7"/>
  <c r="T21" i="9"/>
  <c r="W75" i="9"/>
  <c r="T22" i="9"/>
  <c r="V75" i="9"/>
  <c r="U75" i="9"/>
  <c r="W73" i="9"/>
  <c r="W139" i="7"/>
  <c r="W80" i="7"/>
  <c r="W82" i="7" s="1"/>
  <c r="W138" i="7"/>
  <c r="W140" i="7" s="1"/>
  <c r="V115" i="7"/>
  <c r="V103" i="7"/>
  <c r="V80" i="7"/>
  <c r="V82" i="7" s="1"/>
  <c r="V139" i="7"/>
  <c r="V138" i="7"/>
  <c r="V140" i="7" s="1"/>
  <c r="AG191" i="7"/>
  <c r="W21" i="9"/>
  <c r="W22" i="9"/>
  <c r="Z75" i="9"/>
  <c r="AA22" i="9"/>
  <c r="L21" i="9"/>
  <c r="L22" i="9"/>
  <c r="O75" i="9"/>
  <c r="P22" i="9"/>
  <c r="AS38" i="9"/>
  <c r="AS239" i="7" s="1"/>
  <c r="AG239" i="7"/>
  <c r="AG238" i="7" s="1"/>
  <c r="K22" i="9"/>
  <c r="N75" i="9"/>
  <c r="K21" i="9"/>
  <c r="O22" i="9"/>
  <c r="X75" i="9"/>
  <c r="AS3" i="7"/>
  <c r="T75" i="9"/>
  <c r="Q21" i="9"/>
  <c r="Q22" i="9"/>
  <c r="R75" i="9"/>
  <c r="S75" i="9"/>
  <c r="S73" i="9"/>
  <c r="M22" i="9"/>
  <c r="P75" i="9"/>
  <c r="M21" i="9"/>
  <c r="U22" i="9"/>
  <c r="M75" i="9"/>
  <c r="J22" i="9"/>
  <c r="O73" i="9"/>
  <c r="L75" i="9"/>
  <c r="J21" i="9"/>
  <c r="N22" i="9"/>
  <c r="AF70" i="7"/>
  <c r="AF160" i="7"/>
  <c r="AG36" i="7"/>
  <c r="AS34" i="9"/>
  <c r="AG33" i="9"/>
  <c r="AS33" i="9" s="1"/>
  <c r="AC54" i="9"/>
  <c r="K3" i="10" l="1"/>
  <c r="J38" i="10"/>
  <c r="AJ80" i="7"/>
  <c r="AG70" i="7"/>
  <c r="M57" i="7"/>
  <c r="M72" i="7"/>
  <c r="N48" i="7"/>
  <c r="N56" i="7" s="1"/>
  <c r="AE187" i="7"/>
  <c r="AG195" i="7"/>
  <c r="AG189" i="7"/>
  <c r="AG190" i="7" s="1"/>
  <c r="AA67" i="9"/>
  <c r="AB67" i="9" s="1"/>
  <c r="AA30" i="9"/>
  <c r="AA151" i="7" s="1"/>
  <c r="AF186" i="7"/>
  <c r="AF187" i="7" s="1"/>
  <c r="J4" i="7"/>
  <c r="I100" i="7"/>
  <c r="AS100" i="7"/>
  <c r="AT4" i="7"/>
  <c r="H50" i="10"/>
  <c r="AF9" i="9"/>
  <c r="AG161" i="7"/>
  <c r="AF161" i="7"/>
  <c r="AR54" i="9"/>
  <c r="AC52" i="9"/>
  <c r="AG186" i="7" l="1"/>
  <c r="AG188" i="7" s="1"/>
  <c r="K38" i="10"/>
  <c r="L3" i="10"/>
  <c r="N57" i="7"/>
  <c r="N72" i="7"/>
  <c r="O48" i="7"/>
  <c r="O56" i="7" s="1"/>
  <c r="AA75" i="9"/>
  <c r="AA29" i="9"/>
  <c r="AA28" i="9" s="1"/>
  <c r="AA69" i="9" s="1"/>
  <c r="AB30" i="9"/>
  <c r="AB29" i="9" s="1"/>
  <c r="AA254" i="7"/>
  <c r="AA256" i="7" s="1"/>
  <c r="AF188" i="7"/>
  <c r="J100" i="7"/>
  <c r="K4" i="7"/>
  <c r="AN128" i="7"/>
  <c r="AT100" i="7"/>
  <c r="AU4" i="7"/>
  <c r="AB75" i="9"/>
  <c r="AR52" i="9"/>
  <c r="AC51" i="9"/>
  <c r="AR51" i="9" s="1"/>
  <c r="AC7" i="9"/>
  <c r="AC5" i="9" s="1"/>
  <c r="AG187" i="7" l="1"/>
  <c r="L38" i="10"/>
  <c r="M3" i="10"/>
  <c r="O57" i="7"/>
  <c r="P48" i="7"/>
  <c r="P56" i="7" s="1"/>
  <c r="O72" i="7"/>
  <c r="AA152" i="7"/>
  <c r="AA149" i="7" s="1"/>
  <c r="AA142" i="7" s="1"/>
  <c r="AA145" i="7" s="1"/>
  <c r="AA146" i="7" s="1"/>
  <c r="AB254" i="7"/>
  <c r="AB256" i="7" s="1"/>
  <c r="AB151" i="7"/>
  <c r="L4" i="7"/>
  <c r="K100" i="7"/>
  <c r="AU100" i="7"/>
  <c r="AV4" i="7"/>
  <c r="AB152" i="7"/>
  <c r="AB28" i="9"/>
  <c r="AB69" i="9" s="1"/>
  <c r="AC165" i="7"/>
  <c r="AC166" i="7" s="1"/>
  <c r="AB149" i="7" l="1"/>
  <c r="AB154" i="7" s="1"/>
  <c r="N3" i="10"/>
  <c r="M38" i="10"/>
  <c r="AB142" i="7"/>
  <c r="AB145" i="7" s="1"/>
  <c r="AB146" i="7" s="1"/>
  <c r="AA154" i="7"/>
  <c r="P57" i="7"/>
  <c r="Q48" i="7"/>
  <c r="Q56" i="7" s="1"/>
  <c r="P72" i="7"/>
  <c r="M4" i="7"/>
  <c r="L100" i="7"/>
  <c r="AW4" i="7"/>
  <c r="AV100" i="7"/>
  <c r="AC162" i="7"/>
  <c r="AC179" i="7"/>
  <c r="AC11" i="9"/>
  <c r="AC167" i="7"/>
  <c r="O3" i="10" l="1"/>
  <c r="N38" i="10"/>
  <c r="Q57" i="7"/>
  <c r="Q72" i="7"/>
  <c r="R48" i="7"/>
  <c r="R56" i="7" s="1"/>
  <c r="AC208" i="7"/>
  <c r="AG208" i="7" s="1"/>
  <c r="AC175" i="7"/>
  <c r="AD175" i="7" s="1"/>
  <c r="AE175" i="7" s="1"/>
  <c r="AF175" i="7" s="1"/>
  <c r="AG175" i="7" s="1"/>
  <c r="M100" i="7"/>
  <c r="N4" i="7"/>
  <c r="AX4" i="7"/>
  <c r="AW100" i="7"/>
  <c r="AC180" i="7"/>
  <c r="O38" i="10" l="1"/>
  <c r="P3" i="10"/>
  <c r="R57" i="7"/>
  <c r="R72" i="7"/>
  <c r="S48" i="7"/>
  <c r="S56" i="7" s="1"/>
  <c r="O4" i="7"/>
  <c r="N100" i="7"/>
  <c r="AY4" i="7"/>
  <c r="AX100" i="7"/>
  <c r="AC183" i="7"/>
  <c r="Q3" i="10" l="1"/>
  <c r="P38" i="10"/>
  <c r="S57" i="7"/>
  <c r="S72" i="7"/>
  <c r="T48" i="7"/>
  <c r="T56" i="7" s="1"/>
  <c r="P4" i="7"/>
  <c r="O100" i="7"/>
  <c r="AZ4" i="7"/>
  <c r="AY100" i="7"/>
  <c r="AC12" i="9"/>
  <c r="AC184" i="7"/>
  <c r="AC185" i="7"/>
  <c r="AC210" i="7"/>
  <c r="R3" i="10" l="1"/>
  <c r="R38" i="10" s="1"/>
  <c r="Q38" i="10"/>
  <c r="T57" i="7"/>
  <c r="T72" i="7"/>
  <c r="U48" i="7"/>
  <c r="U56" i="7" s="1"/>
  <c r="AC217" i="7"/>
  <c r="AC218" i="7" s="1"/>
  <c r="AC213" i="7"/>
  <c r="P100" i="7"/>
  <c r="Q4" i="7"/>
  <c r="AZ100" i="7"/>
  <c r="BA4" i="7"/>
  <c r="AC14" i="9"/>
  <c r="U57" i="7" l="1"/>
  <c r="U72" i="7"/>
  <c r="V48" i="7"/>
  <c r="V56" i="7" s="1"/>
  <c r="R4" i="7"/>
  <c r="Q100" i="7"/>
  <c r="BB4" i="7"/>
  <c r="BB100" i="7" s="1"/>
  <c r="BA100" i="7"/>
  <c r="AC16" i="9"/>
  <c r="V57" i="7" l="1"/>
  <c r="W48" i="7"/>
  <c r="W56" i="7" s="1"/>
  <c r="V72" i="7"/>
  <c r="S4" i="7"/>
  <c r="R100" i="7"/>
  <c r="AC20" i="9"/>
  <c r="W57" i="7" l="1"/>
  <c r="X48" i="7"/>
  <c r="X56" i="7" s="1"/>
  <c r="W72" i="7"/>
  <c r="T4" i="7"/>
  <c r="S100" i="7"/>
  <c r="AC30" i="9"/>
  <c r="AC22" i="9"/>
  <c r="AC21" i="9"/>
  <c r="AC67" i="9"/>
  <c r="AC75" i="9" s="1"/>
  <c r="AE72" i="9"/>
  <c r="AS72" i="9" s="1"/>
  <c r="X57" i="7" l="1"/>
  <c r="Y48" i="7"/>
  <c r="Y56" i="7" s="1"/>
  <c r="X72" i="7"/>
  <c r="AC151" i="7"/>
  <c r="AC254" i="7"/>
  <c r="AC256" i="7" s="1"/>
  <c r="U4" i="7"/>
  <c r="T100" i="7"/>
  <c r="I50" i="10"/>
  <c r="AR30" i="9"/>
  <c r="AR151" i="7" s="1"/>
  <c r="AR67" i="9"/>
  <c r="H45" i="10" s="1"/>
  <c r="AC29" i="9"/>
  <c r="AC152" i="7" s="1"/>
  <c r="Y57" i="7" l="1"/>
  <c r="Z48" i="7"/>
  <c r="Z56" i="7" s="1"/>
  <c r="Y72" i="7"/>
  <c r="AC149" i="7"/>
  <c r="AC154" i="7"/>
  <c r="AC142" i="7"/>
  <c r="AC145" i="7" s="1"/>
  <c r="AC146" i="7" s="1"/>
  <c r="V4" i="7"/>
  <c r="U100" i="7"/>
  <c r="AC28" i="9"/>
  <c r="AR29" i="9"/>
  <c r="AR152" i="7" s="1"/>
  <c r="AR149" i="7" s="1"/>
  <c r="AR154" i="7" s="1"/>
  <c r="Z57" i="7" l="1"/>
  <c r="AA48" i="7"/>
  <c r="AA56" i="7" s="1"/>
  <c r="Z72" i="7"/>
  <c r="W4" i="7"/>
  <c r="V100" i="7"/>
  <c r="AC105" i="7"/>
  <c r="AR28" i="9"/>
  <c r="AR69" i="9" s="1"/>
  <c r="AC69" i="9"/>
  <c r="AA57" i="7" l="1"/>
  <c r="AA72" i="7"/>
  <c r="AB48" i="7"/>
  <c r="AB56" i="7" s="1"/>
  <c r="X4" i="7"/>
  <c r="W100" i="7"/>
  <c r="AR143" i="7"/>
  <c r="AB57" i="7" l="1"/>
  <c r="AC48" i="7"/>
  <c r="AC56" i="7" s="1"/>
  <c r="AB72" i="7"/>
  <c r="AJ56" i="7"/>
  <c r="Y4" i="7"/>
  <c r="X100" i="7"/>
  <c r="AC72" i="7" l="1"/>
  <c r="AD48" i="7"/>
  <c r="AC10" i="7"/>
  <c r="Z4" i="7"/>
  <c r="Y100" i="7"/>
  <c r="AD54" i="7" l="1"/>
  <c r="AC7" i="7"/>
  <c r="AA4" i="7"/>
  <c r="Z100" i="7"/>
  <c r="AC39" i="7" l="1"/>
  <c r="AC8" i="7"/>
  <c r="AC5" i="7"/>
  <c r="AD61" i="7"/>
  <c r="AD68" i="7"/>
  <c r="AD69" i="7" s="1"/>
  <c r="AD56" i="7"/>
  <c r="AB4" i="7"/>
  <c r="AA100" i="7"/>
  <c r="AD10" i="7" l="1"/>
  <c r="AD38" i="7"/>
  <c r="AE48" i="7"/>
  <c r="AD12" i="7"/>
  <c r="AE66" i="7"/>
  <c r="AD42" i="9"/>
  <c r="AD150" i="7" s="1"/>
  <c r="AD72" i="7"/>
  <c r="AC57" i="7"/>
  <c r="AC139" i="7"/>
  <c r="AC138" i="7"/>
  <c r="AC140" i="7" s="1"/>
  <c r="AC80" i="7"/>
  <c r="AC82" i="7" s="1"/>
  <c r="AC115" i="7"/>
  <c r="AC103" i="7"/>
  <c r="AB100" i="7"/>
  <c r="AC4" i="7"/>
  <c r="AE82" i="7" l="1"/>
  <c r="AD80" i="7"/>
  <c r="AD7" i="7"/>
  <c r="AE54" i="7"/>
  <c r="AE68" i="7" s="1"/>
  <c r="AE69" i="7" s="1"/>
  <c r="AC100" i="7"/>
  <c r="AD4" i="7"/>
  <c r="AF82" i="7" l="1"/>
  <c r="AE80" i="7"/>
  <c r="AF66" i="7"/>
  <c r="AE42" i="9"/>
  <c r="AE150" i="7" s="1"/>
  <c r="AE12" i="7"/>
  <c r="AE61" i="7"/>
  <c r="AD8" i="7"/>
  <c r="AD5" i="7"/>
  <c r="AD39" i="7"/>
  <c r="AE56" i="7"/>
  <c r="AE4" i="7"/>
  <c r="AD100" i="7"/>
  <c r="AG82" i="7" l="1"/>
  <c r="AG80" i="7" s="1"/>
  <c r="AF80" i="7"/>
  <c r="AE38" i="7"/>
  <c r="AE10" i="7"/>
  <c r="AF48" i="7"/>
  <c r="AD113" i="7"/>
  <c r="AD79" i="7"/>
  <c r="AD6" i="9" s="1"/>
  <c r="AE72" i="7"/>
  <c r="AE100" i="7"/>
  <c r="AF4" i="7"/>
  <c r="AD265" i="7" l="1"/>
  <c r="AD266" i="7" s="1"/>
  <c r="AD114" i="7"/>
  <c r="AD118" i="7"/>
  <c r="AD243" i="7"/>
  <c r="AD242" i="7" s="1"/>
  <c r="AD247" i="7"/>
  <c r="AD246" i="7" s="1"/>
  <c r="AE7" i="7"/>
  <c r="AF54" i="7"/>
  <c r="AF68" i="7" s="1"/>
  <c r="AF69" i="7" s="1"/>
  <c r="AL118" i="7"/>
  <c r="AL243" i="7"/>
  <c r="AL189" i="7"/>
  <c r="AL26" i="7"/>
  <c r="AL260" i="7"/>
  <c r="AL262" i="7" s="1"/>
  <c r="AL10" i="7"/>
  <c r="AL253" i="7"/>
  <c r="AL228" i="7"/>
  <c r="AL25" i="7"/>
  <c r="AL195" i="7"/>
  <c r="AL212" i="7"/>
  <c r="AL13" i="7"/>
  <c r="AL207" i="7"/>
  <c r="AL168" i="7"/>
  <c r="AL230" i="7"/>
  <c r="AL247" i="7"/>
  <c r="AL202" i="7"/>
  <c r="AL204" i="7" s="1"/>
  <c r="AL19" i="7"/>
  <c r="AL226" i="7"/>
  <c r="AL238" i="7"/>
  <c r="AL240" i="7" s="1"/>
  <c r="AL102" i="7"/>
  <c r="AL223" i="7"/>
  <c r="AL27" i="7"/>
  <c r="AL14" i="7"/>
  <c r="AL196" i="7"/>
  <c r="AL197" i="7" s="1"/>
  <c r="AL116" i="7"/>
  <c r="AL229" i="7"/>
  <c r="AL217" i="7"/>
  <c r="AL20" i="9" s="1"/>
  <c r="AL75" i="9" s="1"/>
  <c r="AL12" i="7"/>
  <c r="AL237" i="7"/>
  <c r="AL128" i="7"/>
  <c r="AL35" i="7"/>
  <c r="AL174" i="7"/>
  <c r="AL107" i="7"/>
  <c r="AL105" i="7" s="1"/>
  <c r="AL109" i="7"/>
  <c r="AL225" i="7"/>
  <c r="AL18" i="7"/>
  <c r="AG4" i="7"/>
  <c r="AL186" i="7"/>
  <c r="AL113" i="7"/>
  <c r="AL265" i="7" s="1"/>
  <c r="AL224" i="7"/>
  <c r="AL28" i="7"/>
  <c r="AL9" i="7"/>
  <c r="AL210" i="7"/>
  <c r="AL14" i="9" s="1"/>
  <c r="AL254" i="7"/>
  <c r="AL256" i="7" s="1"/>
  <c r="AF100" i="7"/>
  <c r="AL122" i="7"/>
  <c r="AL242" i="7"/>
  <c r="AL127" i="7"/>
  <c r="AL17" i="7"/>
  <c r="AL215" i="7"/>
  <c r="AL18" i="9" s="1"/>
  <c r="AL246" i="7"/>
  <c r="AL264" i="7"/>
  <c r="AL108" i="7"/>
  <c r="AL172" i="7"/>
  <c r="AL227" i="7"/>
  <c r="AL7" i="7" l="1"/>
  <c r="AL5" i="7" s="1"/>
  <c r="AL115" i="7" s="1"/>
  <c r="AF56" i="7"/>
  <c r="AF10" i="7" s="1"/>
  <c r="AF42" i="9"/>
  <c r="AF150" i="7" s="1"/>
  <c r="AF12" i="7"/>
  <c r="AG66" i="7"/>
  <c r="AF72" i="7"/>
  <c r="AE39" i="7"/>
  <c r="AE5" i="7"/>
  <c r="AF61" i="7"/>
  <c r="AE8" i="7"/>
  <c r="AD237" i="7"/>
  <c r="AD54" i="9"/>
  <c r="AD52" i="9" s="1"/>
  <c r="AD51" i="9" s="1"/>
  <c r="AD128" i="7"/>
  <c r="AD127" i="7" s="1"/>
  <c r="AL198" i="7"/>
  <c r="AF38" i="7"/>
  <c r="AG48" i="7"/>
  <c r="AL248" i="7"/>
  <c r="AL244" i="7"/>
  <c r="AL16" i="9"/>
  <c r="AL213" i="7"/>
  <c r="AL257" i="7"/>
  <c r="AL266" i="7"/>
  <c r="AL183" i="7"/>
  <c r="AL12" i="9" s="1"/>
  <c r="AL191" i="7"/>
  <c r="AL190" i="7"/>
  <c r="AL193" i="7"/>
  <c r="AM195" i="7"/>
  <c r="AM113" i="7"/>
  <c r="AM116" i="7"/>
  <c r="AN42" i="7"/>
  <c r="AM102" i="7"/>
  <c r="AR81" i="7"/>
  <c r="AN54" i="7"/>
  <c r="AN12" i="7"/>
  <c r="AP25" i="7"/>
  <c r="AO128" i="7"/>
  <c r="AP113" i="7"/>
  <c r="AN202" i="7"/>
  <c r="AN204" i="7" s="1"/>
  <c r="AN246" i="7"/>
  <c r="AN169" i="7"/>
  <c r="AR27" i="7"/>
  <c r="AP45" i="7"/>
  <c r="AN174" i="7"/>
  <c r="AP228" i="7"/>
  <c r="AP9" i="7"/>
  <c r="AO225" i="7"/>
  <c r="AM109" i="7"/>
  <c r="AN217" i="7"/>
  <c r="AO242" i="7"/>
  <c r="AP41" i="7"/>
  <c r="AO172" i="7"/>
  <c r="AO19" i="7"/>
  <c r="AN223" i="7"/>
  <c r="AR108" i="7"/>
  <c r="AQ54" i="7"/>
  <c r="AQ25" i="7"/>
  <c r="AR229" i="7"/>
  <c r="AQ40" i="7"/>
  <c r="AQ169" i="7"/>
  <c r="AQ50" i="7"/>
  <c r="AQ195" i="7"/>
  <c r="AR119" i="7"/>
  <c r="AR123" i="7"/>
  <c r="AS53" i="7"/>
  <c r="AS253" i="7"/>
  <c r="AS40" i="7"/>
  <c r="AS117" i="7"/>
  <c r="AR223" i="7"/>
  <c r="AR254" i="7"/>
  <c r="AR256" i="7" s="1"/>
  <c r="AS41" i="7"/>
  <c r="AS264" i="7"/>
  <c r="AR107" i="7"/>
  <c r="AR105" i="7" s="1"/>
  <c r="AR102" i="7"/>
  <c r="X16" i="11" s="1"/>
  <c r="AN171" i="7"/>
  <c r="AO107" i="7"/>
  <c r="AO105" i="7" s="1"/>
  <c r="AQ42" i="7"/>
  <c r="AR224" i="7"/>
  <c r="AG100" i="7"/>
  <c r="AN253" i="7"/>
  <c r="AM17" i="7"/>
  <c r="AM21" i="7" s="1"/>
  <c r="AM45" i="7"/>
  <c r="AP227" i="7"/>
  <c r="AP108" i="7"/>
  <c r="AM253" i="7"/>
  <c r="AN35" i="7"/>
  <c r="AN170" i="7"/>
  <c r="AO212" i="7"/>
  <c r="AP109" i="7"/>
  <c r="AM229" i="7"/>
  <c r="AN127" i="7"/>
  <c r="AP226" i="7"/>
  <c r="AM119" i="7"/>
  <c r="AM120" i="7" s="1"/>
  <c r="AP237" i="7"/>
  <c r="AO45" i="7"/>
  <c r="AP44" i="7"/>
  <c r="AR10" i="7"/>
  <c r="H8" i="10" s="1"/>
  <c r="AO81" i="7"/>
  <c r="AM243" i="7"/>
  <c r="AN10" i="7"/>
  <c r="D8" i="10" s="1"/>
  <c r="AP247" i="7"/>
  <c r="AN237" i="7"/>
  <c r="AO108" i="7"/>
  <c r="AN215" i="7"/>
  <c r="AN18" i="9" s="1"/>
  <c r="AP55" i="7"/>
  <c r="AR109" i="7"/>
  <c r="AR198" i="7"/>
  <c r="AR9" i="7"/>
  <c r="AR247" i="7"/>
  <c r="AQ237" i="7"/>
  <c r="AQ226" i="7"/>
  <c r="AQ246" i="7"/>
  <c r="AQ14" i="7"/>
  <c r="AQ128" i="7"/>
  <c r="AR18" i="7"/>
  <c r="AR79" i="7"/>
  <c r="AS18" i="7"/>
  <c r="AS170" i="7"/>
  <c r="AS225" i="7"/>
  <c r="AM107" i="7"/>
  <c r="AM105" i="7" s="1"/>
  <c r="AP118" i="7"/>
  <c r="AP260" i="7"/>
  <c r="AP262" i="7" s="1"/>
  <c r="AS50" i="7"/>
  <c r="AN226" i="7"/>
  <c r="AM169" i="7"/>
  <c r="AM27" i="7"/>
  <c r="AM32" i="7" s="1"/>
  <c r="AN117" i="7"/>
  <c r="AP40" i="7"/>
  <c r="AP225" i="7"/>
  <c r="AP264" i="7"/>
  <c r="AN212" i="7"/>
  <c r="AP170" i="7"/>
  <c r="AM224" i="7"/>
  <c r="AP102" i="7"/>
  <c r="AN26" i="7"/>
  <c r="AN242" i="7"/>
  <c r="AP212" i="7"/>
  <c r="AN50" i="7"/>
  <c r="AR53" i="7"/>
  <c r="AM28" i="7"/>
  <c r="AM33" i="7" s="1"/>
  <c r="AO228" i="7"/>
  <c r="AO42" i="7"/>
  <c r="AM198" i="7"/>
  <c r="AO229" i="7"/>
  <c r="AO17" i="7"/>
  <c r="AO54" i="7"/>
  <c r="AO127" i="7"/>
  <c r="AN196" i="7"/>
  <c r="AR226" i="7"/>
  <c r="AM264" i="7"/>
  <c r="AR59" i="7"/>
  <c r="AR60" i="7" s="1"/>
  <c r="AQ17" i="7"/>
  <c r="AQ224" i="7"/>
  <c r="AR171" i="7"/>
  <c r="AQ9" i="7"/>
  <c r="AQ41" i="7"/>
  <c r="AQ171" i="7"/>
  <c r="AQ198" i="7"/>
  <c r="AQ123" i="7"/>
  <c r="AR40" i="7"/>
  <c r="AQ227" i="7"/>
  <c r="AS55" i="7"/>
  <c r="AS195" i="7"/>
  <c r="AS43" i="7"/>
  <c r="AS122" i="7"/>
  <c r="AR242" i="7"/>
  <c r="AS227" i="7"/>
  <c r="AS229" i="7"/>
  <c r="AM227" i="7"/>
  <c r="AR28" i="7"/>
  <c r="AN44" i="7"/>
  <c r="AR243" i="7"/>
  <c r="AS67" i="7"/>
  <c r="AM13" i="7"/>
  <c r="AM189" i="7"/>
  <c r="AN55" i="7"/>
  <c r="AN41" i="7"/>
  <c r="AP224" i="7"/>
  <c r="AP230" i="7"/>
  <c r="AM215" i="7"/>
  <c r="AM18" i="9" s="1"/>
  <c r="AP50" i="7"/>
  <c r="AP171" i="7"/>
  <c r="AO43" i="7"/>
  <c r="AN116" i="7"/>
  <c r="AO238" i="7"/>
  <c r="AO240" i="7" s="1"/>
  <c r="AM10" i="7"/>
  <c r="C8" i="10" s="1"/>
  <c r="AM254" i="7"/>
  <c r="AM256" i="7" s="1"/>
  <c r="AP43" i="7"/>
  <c r="AR264" i="7"/>
  <c r="AP117" i="7"/>
  <c r="AO26" i="7"/>
  <c r="AR45" i="7"/>
  <c r="AP18" i="7"/>
  <c r="AO227" i="7"/>
  <c r="AN102" i="7"/>
  <c r="AM242" i="7"/>
  <c r="AO237" i="7"/>
  <c r="AN254" i="7"/>
  <c r="AN256" i="7" s="1"/>
  <c r="AO119" i="7"/>
  <c r="AO223" i="7"/>
  <c r="AO25" i="7"/>
  <c r="AR253" i="7"/>
  <c r="AR49" i="7"/>
  <c r="AQ202" i="7"/>
  <c r="AQ204" i="7" s="1"/>
  <c r="AQ67" i="7"/>
  <c r="AQ210" i="7"/>
  <c r="AR169" i="7"/>
  <c r="AQ26" i="7"/>
  <c r="AR13" i="7"/>
  <c r="AQ102" i="7"/>
  <c r="W16" i="11" s="1"/>
  <c r="AQ174" i="7"/>
  <c r="AS202" i="7"/>
  <c r="AS204" i="7" s="1"/>
  <c r="AR118" i="7"/>
  <c r="AS45" i="7"/>
  <c r="AS26" i="7"/>
  <c r="AR237" i="7"/>
  <c r="AS123" i="7"/>
  <c r="AR174" i="7"/>
  <c r="AS44" i="7"/>
  <c r="AN9" i="7"/>
  <c r="AM59" i="7"/>
  <c r="AM60" i="7" s="1"/>
  <c r="AO168" i="7"/>
  <c r="AR113" i="7"/>
  <c r="AN225" i="7"/>
  <c r="AN81" i="7"/>
  <c r="AM196" i="7"/>
  <c r="AM197" i="7" s="1"/>
  <c r="AN53" i="7"/>
  <c r="AM108" i="7"/>
  <c r="AM202" i="7"/>
  <c r="AM204" i="7" s="1"/>
  <c r="AM43" i="7"/>
  <c r="AN25" i="7"/>
  <c r="AM9" i="7"/>
  <c r="AN264" i="7"/>
  <c r="AM122" i="7"/>
  <c r="AM12" i="7"/>
  <c r="AM44" i="7"/>
  <c r="AO230" i="7"/>
  <c r="AN186" i="7"/>
  <c r="AP217" i="7"/>
  <c r="AP79" i="7"/>
  <c r="AO44" i="7"/>
  <c r="AO254" i="7"/>
  <c r="AO256" i="7" s="1"/>
  <c r="AP122" i="7"/>
  <c r="AP215" i="7"/>
  <c r="AP18" i="9" s="1"/>
  <c r="AO264" i="7"/>
  <c r="AO18" i="7"/>
  <c r="AM174" i="7"/>
  <c r="AO243" i="7"/>
  <c r="AP10" i="7"/>
  <c r="F8" i="10" s="1"/>
  <c r="AR116" i="7"/>
  <c r="AO195" i="7"/>
  <c r="AQ170" i="7"/>
  <c r="AQ13" i="7"/>
  <c r="AR228" i="7"/>
  <c r="AQ264" i="7"/>
  <c r="AQ35" i="7"/>
  <c r="AQ12" i="7"/>
  <c r="AR41" i="7"/>
  <c r="AQ242" i="7"/>
  <c r="AQ79" i="7"/>
  <c r="AQ254" i="7"/>
  <c r="AQ256" i="7" s="1"/>
  <c r="AS189" i="7"/>
  <c r="AS186" i="7"/>
  <c r="AS191" i="7" s="1"/>
  <c r="AS226" i="7"/>
  <c r="AS198" i="7"/>
  <c r="AR127" i="7"/>
  <c r="AS260" i="7"/>
  <c r="AS262" i="7" s="1"/>
  <c r="AT262" i="7" s="1"/>
  <c r="AU262" i="7" s="1"/>
  <c r="AV262" i="7" s="1"/>
  <c r="AW262" i="7" s="1"/>
  <c r="AX262" i="7" s="1"/>
  <c r="AY262" i="7" s="1"/>
  <c r="AZ262" i="7" s="1"/>
  <c r="BA262" i="7" s="1"/>
  <c r="BB262" i="7" s="1"/>
  <c r="AS230" i="7"/>
  <c r="AS25" i="7"/>
  <c r="AR210" i="7"/>
  <c r="AM55" i="7"/>
  <c r="AR44" i="7"/>
  <c r="AQ10" i="7"/>
  <c r="G8" i="10" s="1"/>
  <c r="AS81" i="7"/>
  <c r="AM170" i="7"/>
  <c r="AN195" i="7"/>
  <c r="AM54" i="7"/>
  <c r="AN67" i="7"/>
  <c r="AP54" i="7"/>
  <c r="AN27" i="7"/>
  <c r="AM212" i="7"/>
  <c r="AO49" i="7"/>
  <c r="AM53" i="7"/>
  <c r="AO9" i="7"/>
  <c r="AM50" i="7"/>
  <c r="AP53" i="7"/>
  <c r="AM228" i="7"/>
  <c r="AP196" i="7"/>
  <c r="AP195" i="7"/>
  <c r="AO202" i="7"/>
  <c r="AO204" i="7" s="1"/>
  <c r="AM41" i="7"/>
  <c r="AP238" i="7"/>
  <c r="AP240" i="7" s="1"/>
  <c r="AP42" i="7"/>
  <c r="AP107" i="7"/>
  <c r="AP105" i="7" s="1"/>
  <c r="AO226" i="7"/>
  <c r="AO169" i="7"/>
  <c r="AP243" i="7"/>
  <c r="AN122" i="7"/>
  <c r="AP59" i="7"/>
  <c r="AP60" i="7" s="1"/>
  <c r="AO109" i="7"/>
  <c r="AO35" i="7"/>
  <c r="AO36" i="7" s="1"/>
  <c r="AO198" i="7"/>
  <c r="AQ118" i="7"/>
  <c r="AR225" i="7"/>
  <c r="AQ186" i="7"/>
  <c r="AQ229" i="7"/>
  <c r="AR117" i="7"/>
  <c r="AQ217" i="7"/>
  <c r="AQ230" i="7"/>
  <c r="AQ196" i="7"/>
  <c r="AQ215" i="7"/>
  <c r="AQ18" i="9" s="1"/>
  <c r="AR202" i="7"/>
  <c r="AS109" i="7"/>
  <c r="AS196" i="7"/>
  <c r="AS238" i="7"/>
  <c r="AS240" i="7" s="1"/>
  <c r="AT240" i="7" s="1"/>
  <c r="AU240" i="7" s="1"/>
  <c r="AV240" i="7" s="1"/>
  <c r="AW240" i="7" s="1"/>
  <c r="AX240" i="7" s="1"/>
  <c r="AY240" i="7" s="1"/>
  <c r="AZ240" i="7" s="1"/>
  <c r="BA240" i="7" s="1"/>
  <c r="BB240" i="7" s="1"/>
  <c r="AR168" i="7"/>
  <c r="AQ122" i="7"/>
  <c r="AS13" i="7"/>
  <c r="AS172" i="7"/>
  <c r="AO12" i="7"/>
  <c r="AN109" i="7"/>
  <c r="AP253" i="7"/>
  <c r="AQ109" i="7"/>
  <c r="AS27" i="7"/>
  <c r="AM225" i="7"/>
  <c r="AN108" i="7"/>
  <c r="AN59" i="7"/>
  <c r="AN60" i="7" s="1"/>
  <c r="AM260" i="7"/>
  <c r="AM262" i="7" s="1"/>
  <c r="AP189" i="7"/>
  <c r="AM67" i="7"/>
  <c r="AM19" i="7"/>
  <c r="AM23" i="7" s="1"/>
  <c r="AM127" i="7"/>
  <c r="AM207" i="7"/>
  <c r="AN79" i="7"/>
  <c r="AO53" i="7"/>
  <c r="AN28" i="7"/>
  <c r="AN33" i="7" s="1"/>
  <c r="AP127" i="7"/>
  <c r="AN168" i="7"/>
  <c r="AN198" i="7"/>
  <c r="AO189" i="7"/>
  <c r="AP229" i="7"/>
  <c r="AP68" i="7"/>
  <c r="AM247" i="7"/>
  <c r="AP119" i="7"/>
  <c r="AO67" i="7"/>
  <c r="AO215" i="7"/>
  <c r="AO18" i="9" s="1"/>
  <c r="AN260" i="7"/>
  <c r="AN262" i="7" s="1"/>
  <c r="AN238" i="7"/>
  <c r="AN240" i="7" s="1"/>
  <c r="AO171" i="7"/>
  <c r="AP210" i="7"/>
  <c r="AN49" i="7"/>
  <c r="AP168" i="7"/>
  <c r="AS9" i="7"/>
  <c r="I7" i="10" s="1"/>
  <c r="AR227" i="7"/>
  <c r="AQ117" i="7"/>
  <c r="AR19" i="7"/>
  <c r="AQ19" i="7"/>
  <c r="AQ59" i="7"/>
  <c r="AQ60" i="7" s="1"/>
  <c r="AQ225" i="7"/>
  <c r="AQ260" i="7"/>
  <c r="AQ262" i="7" s="1"/>
  <c r="AQ81" i="7"/>
  <c r="AQ228" i="7"/>
  <c r="AS169" i="7"/>
  <c r="AS108" i="7"/>
  <c r="AS28" i="7"/>
  <c r="AS49" i="7"/>
  <c r="AS119" i="7"/>
  <c r="AM14" i="7"/>
  <c r="AM118" i="7"/>
  <c r="AR215" i="7"/>
  <c r="AR18" i="9" s="1"/>
  <c r="AR186" i="7"/>
  <c r="AR191" i="7" s="1"/>
  <c r="AO217" i="7"/>
  <c r="AM210" i="7"/>
  <c r="AP14" i="7"/>
  <c r="AM217" i="7"/>
  <c r="AM172" i="7"/>
  <c r="AO102" i="7"/>
  <c r="AP186" i="7"/>
  <c r="AP191" i="7" s="1"/>
  <c r="AN13" i="7"/>
  <c r="AP12" i="7"/>
  <c r="AN118" i="7"/>
  <c r="AP13" i="7"/>
  <c r="AM35" i="7"/>
  <c r="AM36" i="7" s="1"/>
  <c r="AO68" i="7"/>
  <c r="AN17" i="7"/>
  <c r="AN189" i="7"/>
  <c r="AP242" i="7"/>
  <c r="AP123" i="7"/>
  <c r="AO247" i="7"/>
  <c r="AM168" i="7"/>
  <c r="AN107" i="7"/>
  <c r="AN105" i="7" s="1"/>
  <c r="AO38" i="7"/>
  <c r="AO39" i="7" s="1"/>
  <c r="AP81" i="7"/>
  <c r="AP246" i="7"/>
  <c r="AO207" i="7"/>
  <c r="AN123" i="7"/>
  <c r="AP38" i="7"/>
  <c r="AP39" i="7" s="1"/>
  <c r="AO122" i="7"/>
  <c r="AR12" i="7"/>
  <c r="AR189" i="7"/>
  <c r="AQ238" i="7"/>
  <c r="AQ240" i="7" s="1"/>
  <c r="AR196" i="7"/>
  <c r="AQ49" i="7"/>
  <c r="AQ44" i="7"/>
  <c r="AQ38" i="7"/>
  <c r="AQ39" i="7" s="1"/>
  <c r="AQ253" i="7"/>
  <c r="AQ127" i="7"/>
  <c r="AS14" i="7"/>
  <c r="AR207" i="7"/>
  <c r="AM230" i="7"/>
  <c r="AR238" i="7"/>
  <c r="AR240" i="7" s="1"/>
  <c r="AQ189" i="7"/>
  <c r="AM18" i="7"/>
  <c r="AM22" i="7" s="1"/>
  <c r="AN119" i="7"/>
  <c r="AO27" i="7"/>
  <c r="AP202" i="7"/>
  <c r="AP204" i="7" s="1"/>
  <c r="AO170" i="7"/>
  <c r="AN228" i="7"/>
  <c r="AN207" i="7"/>
  <c r="AP28" i="7"/>
  <c r="AN224" i="7"/>
  <c r="AO79" i="7"/>
  <c r="AN68" i="7"/>
  <c r="AM171" i="7"/>
  <c r="AN38" i="7"/>
  <c r="AN39" i="7" s="1"/>
  <c r="AM186" i="7"/>
  <c r="AO40" i="7"/>
  <c r="AR50" i="7"/>
  <c r="AO123" i="7"/>
  <c r="AR14" i="7"/>
  <c r="AP254" i="7"/>
  <c r="AP256" i="7" s="1"/>
  <c r="AP172" i="7"/>
  <c r="AN210" i="7"/>
  <c r="AN45" i="7"/>
  <c r="AP26" i="7"/>
  <c r="AO260" i="7"/>
  <c r="AO262" i="7" s="1"/>
  <c r="AP35" i="7"/>
  <c r="AO196" i="7"/>
  <c r="AR26" i="7"/>
  <c r="AR170" i="7"/>
  <c r="AQ27" i="7"/>
  <c r="AR260" i="7"/>
  <c r="AR262" i="7" s="1"/>
  <c r="AQ53" i="7"/>
  <c r="AR68" i="7"/>
  <c r="AS35" i="7"/>
  <c r="AQ116" i="7"/>
  <c r="AQ55" i="7"/>
  <c r="AQ45" i="7"/>
  <c r="AQ119" i="7"/>
  <c r="AO210" i="7"/>
  <c r="AR55" i="7"/>
  <c r="AM237" i="7"/>
  <c r="AN172" i="7"/>
  <c r="AN18" i="7"/>
  <c r="AO41" i="7"/>
  <c r="AM226" i="7"/>
  <c r="AO10" i="7"/>
  <c r="E8" i="10" s="1"/>
  <c r="AN19" i="7"/>
  <c r="AP174" i="7"/>
  <c r="AM246" i="7"/>
  <c r="AN243" i="7"/>
  <c r="AN40" i="7"/>
  <c r="AO113" i="7"/>
  <c r="AO116" i="7"/>
  <c r="AO14" i="7"/>
  <c r="AN247" i="7"/>
  <c r="AO118" i="7"/>
  <c r="AO13" i="7"/>
  <c r="AO186" i="7"/>
  <c r="AO191" i="7" s="1"/>
  <c r="AR17" i="7"/>
  <c r="AR21" i="7" s="1"/>
  <c r="AO246" i="7"/>
  <c r="AP17" i="7"/>
  <c r="AM68" i="7"/>
  <c r="AP19" i="7"/>
  <c r="AM26" i="7"/>
  <c r="AM31" i="7" s="1"/>
  <c r="AP223" i="7"/>
  <c r="AO28" i="7"/>
  <c r="AO59" i="7"/>
  <c r="AO60" i="7" s="1"/>
  <c r="AR172" i="7"/>
  <c r="AQ113" i="7"/>
  <c r="AQ108" i="7"/>
  <c r="AQ172" i="7"/>
  <c r="AQ68" i="7"/>
  <c r="AR54" i="7"/>
  <c r="AR43" i="7"/>
  <c r="AR42" i="7"/>
  <c r="AQ207" i="7"/>
  <c r="AQ43" i="7"/>
  <c r="AS116" i="7"/>
  <c r="AT116" i="7" s="1"/>
  <c r="AS19" i="7"/>
  <c r="AS23" i="7" s="1"/>
  <c r="AS228" i="7"/>
  <c r="AP67" i="7"/>
  <c r="AM238" i="7"/>
  <c r="AM240" i="7" s="1"/>
  <c r="AR35" i="7"/>
  <c r="AM79" i="7"/>
  <c r="AN14" i="7"/>
  <c r="AM49" i="7"/>
  <c r="AN229" i="7"/>
  <c r="AO253" i="7"/>
  <c r="AP27" i="7"/>
  <c r="AM40" i="7"/>
  <c r="AN230" i="7"/>
  <c r="AM38" i="7"/>
  <c r="AM39" i="7" s="1"/>
  <c r="AM25" i="7"/>
  <c r="AM30" i="7" s="1"/>
  <c r="AN227" i="7"/>
  <c r="AP207" i="7"/>
  <c r="AP198" i="7"/>
  <c r="AP200" i="7" s="1"/>
  <c r="AP128" i="7"/>
  <c r="AM223" i="7"/>
  <c r="AR38" i="7"/>
  <c r="AR39" i="7" s="1"/>
  <c r="AR122" i="7"/>
  <c r="AR25" i="7"/>
  <c r="AR30" i="7" s="1"/>
  <c r="AM117" i="7"/>
  <c r="AO50" i="7"/>
  <c r="AO174" i="7"/>
  <c r="AP49" i="7"/>
  <c r="AP169" i="7"/>
  <c r="AO117" i="7"/>
  <c r="AO224" i="7"/>
  <c r="AP116" i="7"/>
  <c r="AN113" i="7"/>
  <c r="AQ28" i="7"/>
  <c r="AQ107" i="7"/>
  <c r="AQ105" i="7" s="1"/>
  <c r="AQ212" i="7"/>
  <c r="AR230" i="7"/>
  <c r="AQ223" i="7"/>
  <c r="AR195" i="7"/>
  <c r="AQ18" i="7"/>
  <c r="AQ22" i="7" s="1"/>
  <c r="AQ168" i="7"/>
  <c r="AQ247" i="7"/>
  <c r="AQ243" i="7"/>
  <c r="AS17" i="7"/>
  <c r="AS42" i="7"/>
  <c r="AR246" i="7"/>
  <c r="AS224" i="7"/>
  <c r="AS215" i="7"/>
  <c r="AS18" i="9" s="1"/>
  <c r="AR217" i="7"/>
  <c r="AR128" i="7"/>
  <c r="AS171" i="7"/>
  <c r="AM42" i="7"/>
  <c r="AN43" i="7"/>
  <c r="AO55" i="7"/>
  <c r="AR67" i="7"/>
  <c r="AR212" i="7"/>
  <c r="AL232" i="7"/>
  <c r="AL164" i="7"/>
  <c r="AL11" i="9" s="1"/>
  <c r="AL7" i="9"/>
  <c r="AL5" i="9" s="1"/>
  <c r="AL137" i="7"/>
  <c r="AL129" i="7"/>
  <c r="AT117" i="7" l="1"/>
  <c r="AU117" i="7" s="1"/>
  <c r="AV117" i="7" s="1"/>
  <c r="AQ191" i="7"/>
  <c r="AN32" i="7"/>
  <c r="AD223" i="7"/>
  <c r="AD168" i="7"/>
  <c r="AD164" i="7" s="1"/>
  <c r="AE113" i="7"/>
  <c r="AE79" i="7"/>
  <c r="AE6" i="9" s="1"/>
  <c r="AM200" i="7"/>
  <c r="AD7" i="9"/>
  <c r="AD5" i="9" s="1"/>
  <c r="AD137" i="7"/>
  <c r="AQ85" i="7"/>
  <c r="AF7" i="7"/>
  <c r="AF39" i="7" s="1"/>
  <c r="AG54" i="7"/>
  <c r="AG56" i="7" s="1"/>
  <c r="AL103" i="7"/>
  <c r="AN23" i="7"/>
  <c r="AO33" i="7"/>
  <c r="AP85" i="7"/>
  <c r="AP31" i="7"/>
  <c r="AN56" i="7"/>
  <c r="AN200" i="7"/>
  <c r="AN197" i="7"/>
  <c r="AT170" i="7"/>
  <c r="AU170" i="7" s="1"/>
  <c r="AR257" i="7"/>
  <c r="AS120" i="7"/>
  <c r="AN22" i="7"/>
  <c r="AP32" i="7"/>
  <c r="AP21" i="7"/>
  <c r="AN30" i="7"/>
  <c r="AM248" i="7"/>
  <c r="AP244" i="7"/>
  <c r="AO248" i="7"/>
  <c r="AM244" i="7"/>
  <c r="AN244" i="7"/>
  <c r="AQ248" i="7"/>
  <c r="AN248" i="7"/>
  <c r="AS33" i="7"/>
  <c r="AR248" i="7"/>
  <c r="AQ120" i="7"/>
  <c r="AO176" i="7"/>
  <c r="AN21" i="7"/>
  <c r="AQ33" i="7"/>
  <c r="AR197" i="7"/>
  <c r="AP36" i="7"/>
  <c r="AQ257" i="7"/>
  <c r="AO257" i="7"/>
  <c r="AM176" i="7"/>
  <c r="AQ176" i="7"/>
  <c r="AN176" i="7"/>
  <c r="AR36" i="7"/>
  <c r="AP33" i="7"/>
  <c r="AP248" i="7"/>
  <c r="AQ30" i="7"/>
  <c r="AO32" i="7"/>
  <c r="AP23" i="7"/>
  <c r="AR16" i="9"/>
  <c r="AR213" i="7"/>
  <c r="X32" i="11" s="1"/>
  <c r="H32" i="10"/>
  <c r="AT17" i="7"/>
  <c r="AS21" i="7"/>
  <c r="AR64" i="7"/>
  <c r="AR77" i="7"/>
  <c r="AQ193" i="7"/>
  <c r="AQ190" i="7"/>
  <c r="AR190" i="7"/>
  <c r="AR193" i="7"/>
  <c r="AP232" i="7"/>
  <c r="AP164" i="7"/>
  <c r="AO190" i="7"/>
  <c r="AO193" i="7"/>
  <c r="AR164" i="7"/>
  <c r="AR232" i="7"/>
  <c r="AQ36" i="7"/>
  <c r="AM7" i="7"/>
  <c r="C7" i="10"/>
  <c r="D7" i="10"/>
  <c r="AN7" i="7"/>
  <c r="AS70" i="7"/>
  <c r="AS160" i="7"/>
  <c r="F32" i="10"/>
  <c r="AP213" i="7"/>
  <c r="AP16" i="9"/>
  <c r="AO23" i="7"/>
  <c r="AM114" i="7"/>
  <c r="AM265" i="7"/>
  <c r="AM266" i="7" s="1"/>
  <c r="AR160" i="7"/>
  <c r="AR73" i="7"/>
  <c r="AR70" i="7"/>
  <c r="AO137" i="7"/>
  <c r="AO6" i="9"/>
  <c r="AN193" i="7"/>
  <c r="AN190" i="7"/>
  <c r="AP14" i="9"/>
  <c r="F30" i="10"/>
  <c r="AN164" i="7"/>
  <c r="AN232" i="7"/>
  <c r="AT196" i="7"/>
  <c r="AS197" i="7"/>
  <c r="AO200" i="7"/>
  <c r="AN160" i="7"/>
  <c r="AN69" i="7"/>
  <c r="AN73" i="7"/>
  <c r="AN70" i="7"/>
  <c r="AR132" i="7"/>
  <c r="AR133" i="7" s="1"/>
  <c r="X20" i="11" s="1"/>
  <c r="X18" i="11" s="1"/>
  <c r="X17" i="11" s="1"/>
  <c r="AR7" i="9"/>
  <c r="AR129" i="7"/>
  <c r="AR130" i="7" s="1"/>
  <c r="AT169" i="7"/>
  <c r="AU169" i="7" s="1"/>
  <c r="AO132" i="7"/>
  <c r="AO133" i="7" s="1"/>
  <c r="AO7" i="9"/>
  <c r="AO129" i="7"/>
  <c r="AO130" i="7" s="1"/>
  <c r="AN31" i="7"/>
  <c r="AR120" i="7"/>
  <c r="AQ164" i="7"/>
  <c r="AQ232" i="7"/>
  <c r="AO187" i="7"/>
  <c r="AO188" i="7"/>
  <c r="AO183" i="7"/>
  <c r="AS36" i="7"/>
  <c r="D30" i="10"/>
  <c r="AN14" i="9"/>
  <c r="AM14" i="9"/>
  <c r="C30" i="10"/>
  <c r="AP129" i="7"/>
  <c r="AP130" i="7" s="1"/>
  <c r="AP7" i="9"/>
  <c r="AP132" i="7"/>
  <c r="AP133" i="7" s="1"/>
  <c r="AM77" i="7"/>
  <c r="AM64" i="7"/>
  <c r="AT198" i="7"/>
  <c r="AU198" i="7" s="1"/>
  <c r="AV198" i="7" s="1"/>
  <c r="AW198" i="7" s="1"/>
  <c r="AX198" i="7" s="1"/>
  <c r="AY198" i="7" s="1"/>
  <c r="AZ198" i="7" s="1"/>
  <c r="BA198" i="7" s="1"/>
  <c r="BB198" i="7" s="1"/>
  <c r="AS200" i="7"/>
  <c r="G30" i="10"/>
  <c r="AQ14" i="9"/>
  <c r="AR33" i="7"/>
  <c r="AQ200" i="7"/>
  <c r="AO77" i="7"/>
  <c r="AO64" i="7"/>
  <c r="AO85" i="7"/>
  <c r="AN36" i="7"/>
  <c r="AO244" i="7"/>
  <c r="AP265" i="7"/>
  <c r="AP266" i="7" s="1"/>
  <c r="AP114" i="7"/>
  <c r="AP70" i="7"/>
  <c r="AP73" i="7"/>
  <c r="AP160" i="7"/>
  <c r="AQ265" i="7"/>
  <c r="AQ266" i="7" s="1"/>
  <c r="AQ114" i="7"/>
  <c r="AP176" i="7"/>
  <c r="AN120" i="7"/>
  <c r="AO218" i="7"/>
  <c r="E35" i="10"/>
  <c r="AO20" i="9"/>
  <c r="AT27" i="7"/>
  <c r="AS32" i="7"/>
  <c r="AR204" i="7"/>
  <c r="AT202" i="7"/>
  <c r="AP197" i="7"/>
  <c r="AP6" i="9"/>
  <c r="AP137" i="7"/>
  <c r="AQ160" i="7"/>
  <c r="AQ73" i="7"/>
  <c r="AQ70" i="7"/>
  <c r="AP22" i="7"/>
  <c r="AO21" i="7"/>
  <c r="AM257" i="7"/>
  <c r="D35" i="10"/>
  <c r="AN218" i="7"/>
  <c r="AN20" i="9"/>
  <c r="AM6" i="9"/>
  <c r="AM137" i="7"/>
  <c r="AQ31" i="7"/>
  <c r="AT172" i="7"/>
  <c r="AR176" i="7"/>
  <c r="AQ129" i="7"/>
  <c r="AQ130" i="7" s="1"/>
  <c r="W17" i="11"/>
  <c r="AQ7" i="9"/>
  <c r="AQ132" i="7"/>
  <c r="AQ133" i="7" s="1"/>
  <c r="AR188" i="7"/>
  <c r="AR187" i="7"/>
  <c r="AR183" i="7"/>
  <c r="AS188" i="7"/>
  <c r="AS187" i="7"/>
  <c r="F35" i="10"/>
  <c r="AP20" i="9"/>
  <c r="AP218" i="7"/>
  <c r="AR7" i="7"/>
  <c r="H7" i="10"/>
  <c r="AP30" i="7"/>
  <c r="C35" i="10"/>
  <c r="AM218" i="7"/>
  <c r="AM20" i="9"/>
  <c r="AN6" i="9"/>
  <c r="AN137" i="7"/>
  <c r="AP257" i="7"/>
  <c r="AQ197" i="7"/>
  <c r="AT85" i="7"/>
  <c r="AS85" i="7"/>
  <c r="AS190" i="7"/>
  <c r="AS193" i="7"/>
  <c r="AT193" i="7" s="1"/>
  <c r="AN188" i="7"/>
  <c r="AN183" i="7"/>
  <c r="AN191" i="7"/>
  <c r="AN187" i="7"/>
  <c r="AS31" i="7"/>
  <c r="AT26" i="7"/>
  <c r="AO31" i="7"/>
  <c r="G7" i="10"/>
  <c r="AQ7" i="7"/>
  <c r="AN16" i="9"/>
  <c r="D32" i="10"/>
  <c r="AN213" i="7"/>
  <c r="AR200" i="7"/>
  <c r="H35" i="10"/>
  <c r="AR20" i="9"/>
  <c r="AR218" i="7"/>
  <c r="AU116" i="7"/>
  <c r="AT53" i="9"/>
  <c r="AQ32" i="7"/>
  <c r="AQ23" i="7"/>
  <c r="AO160" i="7"/>
  <c r="AO70" i="7"/>
  <c r="AO73" i="7"/>
  <c r="AR244" i="7"/>
  <c r="AT171" i="7"/>
  <c r="F7" i="10"/>
  <c r="AP7" i="7"/>
  <c r="AN64" i="7"/>
  <c r="AN77" i="7"/>
  <c r="AL142" i="7"/>
  <c r="AL139" i="7"/>
  <c r="AL158" i="7"/>
  <c r="AL179" i="7" s="1"/>
  <c r="AL138" i="7"/>
  <c r="AL140" i="7" s="1"/>
  <c r="AQ16" i="9"/>
  <c r="G32" i="10"/>
  <c r="AQ213" i="7"/>
  <c r="AR23" i="7"/>
  <c r="AP120" i="7"/>
  <c r="AM129" i="7"/>
  <c r="AM7" i="9"/>
  <c r="AM132" i="7"/>
  <c r="AM133" i="7" s="1"/>
  <c r="AQ218" i="7"/>
  <c r="AQ20" i="9"/>
  <c r="G35" i="10"/>
  <c r="E7" i="10"/>
  <c r="AO7" i="7"/>
  <c r="AQ6" i="9"/>
  <c r="AQ137" i="7"/>
  <c r="AO30" i="7"/>
  <c r="AS22" i="7"/>
  <c r="AT22" i="7" s="1"/>
  <c r="AR85" i="7"/>
  <c r="AO213" i="7"/>
  <c r="AO16" i="9"/>
  <c r="E32" i="10"/>
  <c r="AO114" i="7"/>
  <c r="AO265" i="7"/>
  <c r="AO266" i="7" s="1"/>
  <c r="AR31" i="7"/>
  <c r="AQ244" i="7"/>
  <c r="AR114" i="7"/>
  <c r="AR265" i="7"/>
  <c r="AR266" i="7" s="1"/>
  <c r="AQ21" i="7"/>
  <c r="AR6" i="9"/>
  <c r="AR78" i="7"/>
  <c r="AR137" i="7"/>
  <c r="AN257" i="7"/>
  <c r="AQ64" i="7"/>
  <c r="AQ77" i="7"/>
  <c r="AP77" i="7"/>
  <c r="AP64" i="7"/>
  <c r="AO14" i="9"/>
  <c r="E30" i="10"/>
  <c r="AO197" i="7"/>
  <c r="AM187" i="7"/>
  <c r="AM183" i="7"/>
  <c r="AM191" i="7"/>
  <c r="AM192" i="7" s="1"/>
  <c r="AM188" i="7"/>
  <c r="AM164" i="7"/>
  <c r="AM232" i="7"/>
  <c r="AP188" i="7"/>
  <c r="AP183" i="7"/>
  <c r="AP187" i="7"/>
  <c r="AM160" i="7"/>
  <c r="AM73" i="7"/>
  <c r="AM70" i="7"/>
  <c r="AR14" i="9"/>
  <c r="H30" i="10"/>
  <c r="AO22" i="7"/>
  <c r="AO232" i="7"/>
  <c r="AO164" i="7"/>
  <c r="AO120" i="7"/>
  <c r="AM190" i="7"/>
  <c r="AM193" i="7"/>
  <c r="AR22" i="7"/>
  <c r="AN132" i="7"/>
  <c r="AN133" i="7" s="1"/>
  <c r="AN129" i="7"/>
  <c r="AN7" i="9"/>
  <c r="AN265" i="7"/>
  <c r="AN266" i="7" s="1"/>
  <c r="AN114" i="7"/>
  <c r="AP190" i="7"/>
  <c r="AP193" i="7"/>
  <c r="AQ187" i="7"/>
  <c r="AQ188" i="7"/>
  <c r="AQ183" i="7"/>
  <c r="AM16" i="9"/>
  <c r="AM213" i="7"/>
  <c r="C32" i="10"/>
  <c r="AT25" i="7"/>
  <c r="AS30" i="7"/>
  <c r="AR32" i="7"/>
  <c r="AW117" i="7"/>
  <c r="AO48" i="7" l="1"/>
  <c r="AO56" i="7" s="1"/>
  <c r="AG38" i="7"/>
  <c r="AS38" i="7" s="1"/>
  <c r="AG10" i="7"/>
  <c r="AF5" i="7"/>
  <c r="AG61" i="7"/>
  <c r="AF8" i="7"/>
  <c r="AG68" i="7"/>
  <c r="AS54" i="7"/>
  <c r="AD158" i="7"/>
  <c r="AD138" i="7"/>
  <c r="AD140" i="7" s="1"/>
  <c r="AD139" i="7"/>
  <c r="AD136" i="7"/>
  <c r="AE247" i="7"/>
  <c r="AE246" i="7" s="1"/>
  <c r="AE243" i="7"/>
  <c r="AE242" i="7" s="1"/>
  <c r="AE114" i="7"/>
  <c r="AE265" i="7"/>
  <c r="AE266" i="7" s="1"/>
  <c r="AE118" i="7"/>
  <c r="AD167" i="7"/>
  <c r="AD11" i="9"/>
  <c r="AV170" i="7"/>
  <c r="AW170" i="7" s="1"/>
  <c r="C33" i="10"/>
  <c r="AN192" i="7"/>
  <c r="D33" i="10"/>
  <c r="AR5" i="9"/>
  <c r="AR192" i="7"/>
  <c r="AT60" i="7"/>
  <c r="AS73" i="7"/>
  <c r="AP192" i="7"/>
  <c r="E33" i="10"/>
  <c r="AP5" i="9"/>
  <c r="AM5" i="9"/>
  <c r="AV169" i="7"/>
  <c r="AT35" i="9"/>
  <c r="AT28" i="7"/>
  <c r="AU25" i="7"/>
  <c r="AQ192" i="7"/>
  <c r="G46" i="10"/>
  <c r="G36" i="10"/>
  <c r="G43" i="10"/>
  <c r="AL175" i="7"/>
  <c r="AL208" i="7"/>
  <c r="G5" i="10"/>
  <c r="AQ8" i="7"/>
  <c r="AQ5" i="7"/>
  <c r="AP75" i="9"/>
  <c r="F48" i="10" s="1"/>
  <c r="AP22" i="9"/>
  <c r="AQ73" i="9"/>
  <c r="G20" i="10"/>
  <c r="AQ11" i="9"/>
  <c r="AQ167" i="7"/>
  <c r="AN72" i="7"/>
  <c r="AO66" i="7"/>
  <c r="AO69" i="7" s="1"/>
  <c r="AO142" i="7"/>
  <c r="AO158" i="7"/>
  <c r="AO179" i="7" s="1"/>
  <c r="E11" i="10"/>
  <c r="AQ75" i="9"/>
  <c r="G48" i="10" s="1"/>
  <c r="AQ22" i="9"/>
  <c r="AR73" i="9"/>
  <c r="F36" i="10"/>
  <c r="F43" i="10"/>
  <c r="F46" i="10"/>
  <c r="D23" i="10"/>
  <c r="AN9" i="9"/>
  <c r="AN161" i="7"/>
  <c r="AN5" i="7"/>
  <c r="AN57" i="7" s="1"/>
  <c r="D5" i="10"/>
  <c r="AN8" i="7"/>
  <c r="AO11" i="9"/>
  <c r="E20" i="10"/>
  <c r="AO167" i="7"/>
  <c r="AU172" i="7"/>
  <c r="AV172" i="7" s="1"/>
  <c r="AQ9" i="9"/>
  <c r="G23" i="10"/>
  <c r="AQ161" i="7"/>
  <c r="AV116" i="7"/>
  <c r="AU53" i="9"/>
  <c r="AU26" i="7"/>
  <c r="AT36" i="9"/>
  <c r="D11" i="10"/>
  <c r="AN158" i="7"/>
  <c r="AN179" i="7" s="1"/>
  <c r="AN142" i="7"/>
  <c r="D13" i="10" s="1"/>
  <c r="AP158" i="7"/>
  <c r="AP179" i="7" s="1"/>
  <c r="AP142" i="7"/>
  <c r="F11" i="10"/>
  <c r="C20" i="10"/>
  <c r="AM167" i="7"/>
  <c r="AM11" i="9"/>
  <c r="AR158" i="7"/>
  <c r="H11" i="10"/>
  <c r="AR142" i="7"/>
  <c r="AN5" i="9"/>
  <c r="AS192" i="7"/>
  <c r="AT191" i="7"/>
  <c r="AU191" i="7" s="1"/>
  <c r="AV191" i="7" s="1"/>
  <c r="AW191" i="7" s="1"/>
  <c r="AX191" i="7" s="1"/>
  <c r="AY191" i="7" s="1"/>
  <c r="AZ191" i="7" s="1"/>
  <c r="BA191" i="7" s="1"/>
  <c r="BB191" i="7" s="1"/>
  <c r="AM158" i="7"/>
  <c r="AM142" i="7"/>
  <c r="C13" i="10" s="1"/>
  <c r="C11" i="10"/>
  <c r="AU196" i="7"/>
  <c r="AT195" i="7"/>
  <c r="H23" i="10"/>
  <c r="AR9" i="9"/>
  <c r="X25" i="11"/>
  <c r="AR161" i="7"/>
  <c r="AM8" i="7"/>
  <c r="C5" i="10"/>
  <c r="AM5" i="7"/>
  <c r="AP5" i="7"/>
  <c r="AP8" i="7"/>
  <c r="F5" i="10"/>
  <c r="AS73" i="9"/>
  <c r="AR75" i="9"/>
  <c r="H48" i="10" s="1"/>
  <c r="AR22" i="9"/>
  <c r="AM75" i="9"/>
  <c r="C48" i="10" s="1"/>
  <c r="AN73" i="9"/>
  <c r="AR184" i="7"/>
  <c r="AR12" i="9"/>
  <c r="H26" i="10"/>
  <c r="AP9" i="9"/>
  <c r="F23" i="10"/>
  <c r="AP161" i="7"/>
  <c r="AN75" i="9"/>
  <c r="D48" i="10" s="1"/>
  <c r="AN22" i="9"/>
  <c r="AO73" i="9"/>
  <c r="AU202" i="7"/>
  <c r="AV202" i="7" s="1"/>
  <c r="AT204" i="7"/>
  <c r="D20" i="10"/>
  <c r="AN11" i="9"/>
  <c r="AN167" i="7"/>
  <c r="D26" i="10"/>
  <c r="AN184" i="7"/>
  <c r="AN12" i="9"/>
  <c r="C43" i="10"/>
  <c r="C46" i="10"/>
  <c r="E26" i="10"/>
  <c r="AO184" i="7"/>
  <c r="AO12" i="9"/>
  <c r="F33" i="10"/>
  <c r="H20" i="10"/>
  <c r="AR167" i="7"/>
  <c r="X27" i="11"/>
  <c r="AR11" i="9"/>
  <c r="AT40" i="9"/>
  <c r="AU17" i="7"/>
  <c r="D46" i="10"/>
  <c r="D36" i="10"/>
  <c r="D43" i="10"/>
  <c r="AO192" i="7"/>
  <c r="H33" i="10"/>
  <c r="AM12" i="9"/>
  <c r="AM184" i="7"/>
  <c r="C26" i="10"/>
  <c r="AU22" i="7"/>
  <c r="AV22" i="7" s="1"/>
  <c r="AW22" i="7" s="1"/>
  <c r="AX22" i="7" s="1"/>
  <c r="AY22" i="7" s="1"/>
  <c r="AZ22" i="7" s="1"/>
  <c r="BA22" i="7" s="1"/>
  <c r="BB22" i="7" s="1"/>
  <c r="AT18" i="7"/>
  <c r="AU171" i="7"/>
  <c r="AV171" i="7" s="1"/>
  <c r="AQ142" i="7"/>
  <c r="AQ158" i="7"/>
  <c r="G11" i="10"/>
  <c r="C23" i="10"/>
  <c r="AM9" i="9"/>
  <c r="AM161" i="7"/>
  <c r="AQ5" i="9"/>
  <c r="G33" i="10"/>
  <c r="AU193" i="7"/>
  <c r="AT189" i="7"/>
  <c r="AT37" i="9"/>
  <c r="AT32" i="7"/>
  <c r="AU27" i="7"/>
  <c r="E5" i="10"/>
  <c r="AO8" i="7"/>
  <c r="AO5" i="7"/>
  <c r="AR5" i="7"/>
  <c r="H5" i="10"/>
  <c r="AR8" i="7"/>
  <c r="AP73" i="9"/>
  <c r="AO75" i="9"/>
  <c r="E48" i="10" s="1"/>
  <c r="AO22" i="9"/>
  <c r="AP11" i="9"/>
  <c r="F20" i="10"/>
  <c r="AP167" i="7"/>
  <c r="H43" i="10"/>
  <c r="U13" i="10"/>
  <c r="H36" i="10"/>
  <c r="H46" i="10"/>
  <c r="G26" i="10"/>
  <c r="AQ184" i="7"/>
  <c r="AQ12" i="9"/>
  <c r="AP184" i="7"/>
  <c r="F26" i="10"/>
  <c r="AP12" i="9"/>
  <c r="AO9" i="9"/>
  <c r="AO161" i="7"/>
  <c r="E23" i="10"/>
  <c r="E36" i="10"/>
  <c r="E43" i="10"/>
  <c r="E46" i="10"/>
  <c r="AO5" i="9"/>
  <c r="Y25" i="11"/>
  <c r="AS161" i="7"/>
  <c r="I23" i="10"/>
  <c r="AS9" i="9"/>
  <c r="AX170" i="7"/>
  <c r="AY170" i="7" s="1"/>
  <c r="AX117" i="7"/>
  <c r="AP180" i="7" l="1"/>
  <c r="AP48" i="7"/>
  <c r="AP56" i="7" s="1"/>
  <c r="AO57" i="7"/>
  <c r="AD162" i="7"/>
  <c r="AD179" i="7"/>
  <c r="AS64" i="7"/>
  <c r="AT64" i="7" s="1"/>
  <c r="AU64" i="7" s="1"/>
  <c r="AV64" i="7" s="1"/>
  <c r="AG69" i="7"/>
  <c r="AS68" i="7"/>
  <c r="AS77" i="7" s="1"/>
  <c r="AE128" i="7"/>
  <c r="AE127" i="7" s="1"/>
  <c r="AE54" i="9"/>
  <c r="AE52" i="9" s="1"/>
  <c r="AE51" i="9" s="1"/>
  <c r="AF113" i="7"/>
  <c r="AF79" i="7"/>
  <c r="AF6" i="9" s="1"/>
  <c r="AE237" i="7"/>
  <c r="AS10" i="7"/>
  <c r="AG7" i="7"/>
  <c r="AR21" i="9"/>
  <c r="H21" i="10"/>
  <c r="AM21" i="9"/>
  <c r="AQ21" i="9"/>
  <c r="AN21" i="9"/>
  <c r="AW169" i="7"/>
  <c r="AX169" i="7" s="1"/>
  <c r="E24" i="10"/>
  <c r="H6" i="10"/>
  <c r="D28" i="10"/>
  <c r="D15" i="10"/>
  <c r="D18" i="10" s="1"/>
  <c r="AP21" i="9"/>
  <c r="AO162" i="7"/>
  <c r="G28" i="10"/>
  <c r="AN162" i="7"/>
  <c r="C24" i="10"/>
  <c r="E28" i="10"/>
  <c r="F21" i="10"/>
  <c r="G24" i="10"/>
  <c r="D24" i="10"/>
  <c r="AP162" i="7"/>
  <c r="AU60" i="7"/>
  <c r="AV60" i="7" s="1"/>
  <c r="AW60" i="7" s="1"/>
  <c r="AX60" i="7" s="1"/>
  <c r="AT59" i="7"/>
  <c r="F24" i="10"/>
  <c r="AV204" i="7"/>
  <c r="AP139" i="7"/>
  <c r="AO115" i="7"/>
  <c r="AO103" i="7"/>
  <c r="AP80" i="7"/>
  <c r="AV17" i="7"/>
  <c r="AU40" i="9"/>
  <c r="AU195" i="7"/>
  <c r="AV196" i="7"/>
  <c r="F6" i="10"/>
  <c r="G9" i="10"/>
  <c r="F12" i="10"/>
  <c r="I4" i="12"/>
  <c r="C28" i="10"/>
  <c r="AP145" i="7"/>
  <c r="AP146" i="7" s="1"/>
  <c r="F13" i="10"/>
  <c r="AU18" i="7"/>
  <c r="AU19" i="7" s="1"/>
  <c r="AT39" i="9"/>
  <c r="AT38" i="9" s="1"/>
  <c r="AT239" i="7" s="1"/>
  <c r="AT238" i="7" s="1"/>
  <c r="AR15" i="7"/>
  <c r="X7" i="11" s="1"/>
  <c r="AR115" i="7"/>
  <c r="AR103" i="7"/>
  <c r="AQ138" i="7"/>
  <c r="AQ140" i="7" s="1"/>
  <c r="AP103" i="7"/>
  <c r="AQ80" i="7"/>
  <c r="AP115" i="7"/>
  <c r="AM179" i="7"/>
  <c r="AM162" i="7"/>
  <c r="AP175" i="7"/>
  <c r="AP208" i="7"/>
  <c r="AW172" i="7"/>
  <c r="G21" i="10"/>
  <c r="AU28" i="7"/>
  <c r="AV25" i="7"/>
  <c r="AU35" i="9"/>
  <c r="AN139" i="7"/>
  <c r="AN80" i="7"/>
  <c r="AN82" i="7" s="1"/>
  <c r="AM115" i="7"/>
  <c r="AM80" i="7"/>
  <c r="AM82" i="7" s="1"/>
  <c r="AN138" i="7"/>
  <c r="AN140" i="7" s="1"/>
  <c r="AM103" i="7"/>
  <c r="AM139" i="7"/>
  <c r="AM138" i="7"/>
  <c r="AM140" i="7" s="1"/>
  <c r="AP138" i="7"/>
  <c r="AP140" i="7" s="1"/>
  <c r="D21" i="10"/>
  <c r="H28" i="10"/>
  <c r="C9" i="10"/>
  <c r="D9" i="10"/>
  <c r="AN175" i="7"/>
  <c r="AN208" i="7"/>
  <c r="AT33" i="7"/>
  <c r="E6" i="10"/>
  <c r="F9" i="10"/>
  <c r="AR138" i="7"/>
  <c r="D12" i="10"/>
  <c r="E21" i="10"/>
  <c r="AT261" i="7"/>
  <c r="AT260" i="7" s="1"/>
  <c r="AT34" i="9"/>
  <c r="AP185" i="7"/>
  <c r="AU37" i="9"/>
  <c r="AU32" i="7"/>
  <c r="AV27" i="7"/>
  <c r="J4" i="12"/>
  <c r="G12" i="10"/>
  <c r="H13" i="10"/>
  <c r="AR145" i="7"/>
  <c r="AR146" i="7" s="1"/>
  <c r="AO21" i="9"/>
  <c r="AQ139" i="7"/>
  <c r="AQ115" i="7"/>
  <c r="AR80" i="7"/>
  <c r="AR139" i="7"/>
  <c r="AQ103" i="7"/>
  <c r="W6" i="11"/>
  <c r="AQ15" i="7"/>
  <c r="H12" i="10"/>
  <c r="AV26" i="7"/>
  <c r="AU36" i="9"/>
  <c r="E12" i="10"/>
  <c r="AN185" i="7"/>
  <c r="AQ179" i="7"/>
  <c r="AQ180" i="7" s="1"/>
  <c r="AQ162" i="7"/>
  <c r="AU204" i="7"/>
  <c r="AW202" i="7"/>
  <c r="AW204" i="7" s="1"/>
  <c r="F28" i="10"/>
  <c r="AQ145" i="7"/>
  <c r="AQ146" i="7" s="1"/>
  <c r="G13" i="10"/>
  <c r="AR179" i="7"/>
  <c r="AR162" i="7"/>
  <c r="D6" i="10"/>
  <c r="E9" i="10"/>
  <c r="AO185" i="7"/>
  <c r="AO175" i="7"/>
  <c r="AO208" i="7"/>
  <c r="G6" i="10"/>
  <c r="H9" i="10"/>
  <c r="AT186" i="7"/>
  <c r="AT187" i="7" s="1"/>
  <c r="AW171" i="7"/>
  <c r="AX171" i="7" s="1"/>
  <c r="H24" i="10"/>
  <c r="AW116" i="7"/>
  <c r="AV53" i="9"/>
  <c r="AO80" i="7"/>
  <c r="AN115" i="7"/>
  <c r="AN103" i="7"/>
  <c r="AO138" i="7"/>
  <c r="AO140" i="7" s="1"/>
  <c r="AO139" i="7"/>
  <c r="AO145" i="7"/>
  <c r="AO146" i="7" s="1"/>
  <c r="E13" i="10"/>
  <c r="E15" i="10" s="1"/>
  <c r="E18" i="10" s="1"/>
  <c r="AU189" i="7"/>
  <c r="AU186" i="7" s="1"/>
  <c r="AV193" i="7"/>
  <c r="AT19" i="7"/>
  <c r="AP66" i="7"/>
  <c r="AP69" i="7" s="1"/>
  <c r="AO72" i="7"/>
  <c r="AY117" i="7"/>
  <c r="AZ117" i="7" s="1"/>
  <c r="BA117" i="7" s="1"/>
  <c r="BB117" i="7" s="1"/>
  <c r="AZ170" i="7"/>
  <c r="BA170" i="7" s="1"/>
  <c r="AR180" i="7" l="1"/>
  <c r="AW64" i="7"/>
  <c r="AX64" i="7" s="1"/>
  <c r="AY64" i="7" s="1"/>
  <c r="AT54" i="7"/>
  <c r="AT68" i="7" s="1"/>
  <c r="AQ48" i="7"/>
  <c r="AQ56" i="7" s="1"/>
  <c r="AP57" i="7"/>
  <c r="AG42" i="9"/>
  <c r="AG72" i="7"/>
  <c r="AG12" i="7"/>
  <c r="AS12" i="7" s="1"/>
  <c r="AE168" i="7"/>
  <c r="AE164" i="7" s="1"/>
  <c r="AE223" i="7"/>
  <c r="AF265" i="7"/>
  <c r="AF266" i="7" s="1"/>
  <c r="AF247" i="7"/>
  <c r="AF246" i="7" s="1"/>
  <c r="AF114" i="7"/>
  <c r="AF118" i="7"/>
  <c r="AF128" i="7" s="1"/>
  <c r="AF243" i="7"/>
  <c r="AF242" i="7" s="1"/>
  <c r="AE137" i="7"/>
  <c r="AE7" i="9"/>
  <c r="AE5" i="9" s="1"/>
  <c r="AD207" i="7"/>
  <c r="AD183" i="7" s="1"/>
  <c r="AD174" i="7"/>
  <c r="AD176" i="7" s="1"/>
  <c r="AD180" i="7"/>
  <c r="AS7" i="7"/>
  <c r="I8" i="10"/>
  <c r="AS39" i="7"/>
  <c r="AG5" i="7"/>
  <c r="AG8" i="7"/>
  <c r="AG39" i="7"/>
  <c r="AY169" i="7"/>
  <c r="AZ169" i="7" s="1"/>
  <c r="H15" i="10"/>
  <c r="H18" i="10" s="1"/>
  <c r="AU187" i="7"/>
  <c r="AT49" i="7"/>
  <c r="AT67" i="7"/>
  <c r="AT160" i="7" s="1"/>
  <c r="G15" i="10"/>
  <c r="G18" i="10" s="1"/>
  <c r="AX202" i="7"/>
  <c r="AW25" i="7"/>
  <c r="AV35" i="9"/>
  <c r="AV28" i="7"/>
  <c r="AW196" i="7"/>
  <c r="AV195" i="7"/>
  <c r="AR140" i="7"/>
  <c r="AU23" i="7"/>
  <c r="AU9" i="7"/>
  <c r="AV18" i="7"/>
  <c r="AU39" i="9"/>
  <c r="AU38" i="9" s="1"/>
  <c r="AU239" i="7" s="1"/>
  <c r="AU238" i="7" s="1"/>
  <c r="AV40" i="9"/>
  <c r="AW17" i="7"/>
  <c r="AW193" i="7"/>
  <c r="AV189" i="7"/>
  <c r="AV186" i="7" s="1"/>
  <c r="AV187" i="7" s="1"/>
  <c r="AW27" i="7"/>
  <c r="AV32" i="7"/>
  <c r="AV37" i="9"/>
  <c r="F15" i="10"/>
  <c r="F18" i="10" s="1"/>
  <c r="AP82" i="7"/>
  <c r="AP84" i="7"/>
  <c r="AU33" i="7"/>
  <c r="AU35" i="7"/>
  <c r="J8" i="12"/>
  <c r="D4" i="12" s="1"/>
  <c r="J12" i="12"/>
  <c r="D5" i="12" s="1"/>
  <c r="AY171" i="7"/>
  <c r="AZ171" i="7" s="1"/>
  <c r="X6" i="11"/>
  <c r="AM208" i="7"/>
  <c r="AM175" i="7"/>
  <c r="AM185" i="7"/>
  <c r="I8" i="12"/>
  <c r="I12" i="12"/>
  <c r="AO84" i="7"/>
  <c r="AO82" i="7"/>
  <c r="AT9" i="7"/>
  <c r="AT23" i="7"/>
  <c r="AR185" i="7"/>
  <c r="AR175" i="7"/>
  <c r="AR208" i="7"/>
  <c r="AT35" i="7"/>
  <c r="AT36" i="7" s="1"/>
  <c r="AR82" i="7"/>
  <c r="X12" i="11" s="1"/>
  <c r="X10" i="11" s="1"/>
  <c r="AR84" i="7"/>
  <c r="AR87" i="7" s="1"/>
  <c r="AQ82" i="7"/>
  <c r="W12" i="11" s="1"/>
  <c r="W10" i="11"/>
  <c r="W14" i="11" s="1"/>
  <c r="W22" i="11" s="1"/>
  <c r="W23" i="11" s="1"/>
  <c r="AQ84" i="7"/>
  <c r="AQ87" i="7" s="1"/>
  <c r="AX172" i="7"/>
  <c r="AY172" i="7" s="1"/>
  <c r="AW53" i="9"/>
  <c r="AX116" i="7"/>
  <c r="AP72" i="7"/>
  <c r="AQ66" i="7"/>
  <c r="AQ69" i="7" s="1"/>
  <c r="AV36" i="9"/>
  <c r="AW26" i="7"/>
  <c r="AT33" i="9"/>
  <c r="AQ185" i="7"/>
  <c r="AQ175" i="7"/>
  <c r="AQ208" i="7"/>
  <c r="AU261" i="7"/>
  <c r="AU260" i="7" s="1"/>
  <c r="AU34" i="9"/>
  <c r="AY60" i="7"/>
  <c r="BB170" i="7"/>
  <c r="AD185" i="7"/>
  <c r="AD12" i="9"/>
  <c r="AD184" i="7"/>
  <c r="AD210" i="7"/>
  <c r="AZ64" i="7" l="1"/>
  <c r="BA64" i="7" s="1"/>
  <c r="BB64" i="7" s="1"/>
  <c r="AR48" i="7"/>
  <c r="AR56" i="7" s="1"/>
  <c r="AQ57" i="7"/>
  <c r="AF237" i="7"/>
  <c r="AF168" i="7" s="1"/>
  <c r="AF164" i="7" s="1"/>
  <c r="AG79" i="7"/>
  <c r="AG113" i="7"/>
  <c r="AF223" i="7"/>
  <c r="AE139" i="7"/>
  <c r="AE138" i="7"/>
  <c r="AE140" i="7" s="1"/>
  <c r="AE158" i="7"/>
  <c r="AE167" i="7"/>
  <c r="AE11" i="9"/>
  <c r="AF127" i="7"/>
  <c r="AF54" i="9"/>
  <c r="AF52" i="9" s="1"/>
  <c r="AF51" i="9" s="1"/>
  <c r="AS8" i="7"/>
  <c r="AS5" i="7"/>
  <c r="AS15" i="7" s="1"/>
  <c r="Y7" i="11" s="1"/>
  <c r="Y6" i="11" s="1"/>
  <c r="I5" i="10"/>
  <c r="AG150" i="7"/>
  <c r="AS42" i="9"/>
  <c r="AS150" i="7" s="1"/>
  <c r="AU33" i="9"/>
  <c r="BA169" i="7"/>
  <c r="BB169" i="7" s="1"/>
  <c r="X14" i="11"/>
  <c r="X22" i="11" s="1"/>
  <c r="X23" i="11" s="1"/>
  <c r="K6" i="11" s="1"/>
  <c r="AY202" i="7"/>
  <c r="AZ202" i="7" s="1"/>
  <c r="AZ204" i="7" s="1"/>
  <c r="AX204" i="7"/>
  <c r="AT9" i="9"/>
  <c r="J23" i="10"/>
  <c r="AW18" i="7"/>
  <c r="AW19" i="7" s="1"/>
  <c r="AV39" i="9"/>
  <c r="AV38" i="9" s="1"/>
  <c r="AV239" i="7" s="1"/>
  <c r="AV238" i="7" s="1"/>
  <c r="K7" i="10"/>
  <c r="AV59" i="7"/>
  <c r="AW32" i="7"/>
  <c r="AW37" i="9"/>
  <c r="AX27" i="7"/>
  <c r="AQ72" i="7"/>
  <c r="AR66" i="7"/>
  <c r="AR69" i="7" s="1"/>
  <c r="BA171" i="7"/>
  <c r="BB171" i="7" s="1"/>
  <c r="AW189" i="7"/>
  <c r="AW186" i="7" s="1"/>
  <c r="AW187" i="7" s="1"/>
  <c r="AX193" i="7"/>
  <c r="AW36" i="9"/>
  <c r="AX26" i="7"/>
  <c r="AY116" i="7"/>
  <c r="AX53" i="9"/>
  <c r="AW40" i="9"/>
  <c r="AX17" i="7"/>
  <c r="AX196" i="7"/>
  <c r="AW195" i="7"/>
  <c r="AU59" i="7"/>
  <c r="AT161" i="7"/>
  <c r="J7" i="10"/>
  <c r="AU36" i="7"/>
  <c r="AV19" i="7"/>
  <c r="AV35" i="7" s="1"/>
  <c r="AV36" i="7" s="1"/>
  <c r="AV33" i="7"/>
  <c r="AV261" i="7"/>
  <c r="AV260" i="7" s="1"/>
  <c r="AV34" i="9"/>
  <c r="AZ172" i="7"/>
  <c r="AW28" i="7"/>
  <c r="AW35" i="9"/>
  <c r="AX25" i="7"/>
  <c r="AD14" i="9"/>
  <c r="AD212" i="7"/>
  <c r="AZ60" i="7"/>
  <c r="AS48" i="7" l="1"/>
  <c r="AS56" i="7" s="1"/>
  <c r="AR57" i="7"/>
  <c r="AF7" i="9"/>
  <c r="AF5" i="9" s="1"/>
  <c r="AF137" i="7"/>
  <c r="AE179" i="7"/>
  <c r="AE162" i="7"/>
  <c r="I6" i="10"/>
  <c r="I9" i="10"/>
  <c r="I24" i="10"/>
  <c r="AG118" i="7"/>
  <c r="AG247" i="7"/>
  <c r="AS113" i="7"/>
  <c r="AG243" i="7"/>
  <c r="AG114" i="7"/>
  <c r="AG265" i="7"/>
  <c r="AG266" i="7" s="1"/>
  <c r="AF167" i="7"/>
  <c r="AF11" i="9"/>
  <c r="AS79" i="7"/>
  <c r="AG6" i="9"/>
  <c r="X29" i="11"/>
  <c r="X31" i="11" s="1"/>
  <c r="X34" i="11" s="1"/>
  <c r="AV33" i="9"/>
  <c r="AY204" i="7"/>
  <c r="BA202" i="7"/>
  <c r="AW33" i="7"/>
  <c r="AW35" i="7"/>
  <c r="AW36" i="7" s="1"/>
  <c r="AU49" i="7"/>
  <c r="AU67" i="7"/>
  <c r="AU160" i="7" s="1"/>
  <c r="AY196" i="7"/>
  <c r="AX195" i="7"/>
  <c r="AX32" i="7"/>
  <c r="AY27" i="7"/>
  <c r="AX37" i="9"/>
  <c r="AX40" i="9"/>
  <c r="AY17" i="7"/>
  <c r="AW23" i="7"/>
  <c r="AW9" i="7"/>
  <c r="AS66" i="7"/>
  <c r="AS69" i="7" s="1"/>
  <c r="AR72" i="7"/>
  <c r="AY53" i="9"/>
  <c r="AZ116" i="7"/>
  <c r="AV67" i="7"/>
  <c r="AV160" i="7" s="1"/>
  <c r="AV49" i="7"/>
  <c r="AV9" i="7"/>
  <c r="AV23" i="7"/>
  <c r="AY26" i="7"/>
  <c r="AX36" i="9"/>
  <c r="BA172" i="7"/>
  <c r="BB172" i="7" s="1"/>
  <c r="AX28" i="7"/>
  <c r="AY25" i="7"/>
  <c r="AX35" i="9"/>
  <c r="AY193" i="7"/>
  <c r="AX189" i="7"/>
  <c r="AX186" i="7" s="1"/>
  <c r="AX187" i="7" s="1"/>
  <c r="AW261" i="7"/>
  <c r="AW260" i="7" s="1"/>
  <c r="AW34" i="9"/>
  <c r="AW39" i="9"/>
  <c r="AW38" i="9" s="1"/>
  <c r="AW239" i="7" s="1"/>
  <c r="AW238" i="7" s="1"/>
  <c r="AX18" i="7"/>
  <c r="AX19" i="7" s="1"/>
  <c r="AD217" i="7"/>
  <c r="AD16" i="9"/>
  <c r="BA60" i="7"/>
  <c r="AT48" i="7" l="1"/>
  <c r="AT56" i="7" s="1"/>
  <c r="AS57" i="7"/>
  <c r="AG128" i="7"/>
  <c r="AG54" i="9"/>
  <c r="AS118" i="7"/>
  <c r="AS115" i="7"/>
  <c r="AT115" i="7" s="1"/>
  <c r="AU115" i="7" s="1"/>
  <c r="AV115" i="7" s="1"/>
  <c r="AW115" i="7" s="1"/>
  <c r="AS114" i="7"/>
  <c r="AS265" i="7"/>
  <c r="AS266" i="7" s="1"/>
  <c r="AT266" i="7" s="1"/>
  <c r="AU266" i="7" s="1"/>
  <c r="AV266" i="7" s="1"/>
  <c r="AW266" i="7" s="1"/>
  <c r="AX266" i="7" s="1"/>
  <c r="AY266" i="7" s="1"/>
  <c r="AZ266" i="7" s="1"/>
  <c r="BA266" i="7" s="1"/>
  <c r="BB266" i="7" s="1"/>
  <c r="AG246" i="7"/>
  <c r="AS246" i="7" s="1"/>
  <c r="AS247" i="7"/>
  <c r="AS243" i="7"/>
  <c r="AG242" i="7"/>
  <c r="AE174" i="7"/>
  <c r="AE176" i="7" s="1"/>
  <c r="AE207" i="7"/>
  <c r="AE183" i="7" s="1"/>
  <c r="AE180" i="7"/>
  <c r="AS6" i="9"/>
  <c r="AS80" i="7"/>
  <c r="AF139" i="7"/>
  <c r="AF138" i="7"/>
  <c r="AF140" i="7" s="1"/>
  <c r="AF158" i="7"/>
  <c r="BA204" i="7"/>
  <c r="BB202" i="7"/>
  <c r="BB204" i="7" s="1"/>
  <c r="AX9" i="7"/>
  <c r="AX23" i="7"/>
  <c r="AY40" i="9"/>
  <c r="AZ17" i="7"/>
  <c r="AZ26" i="7"/>
  <c r="AY36" i="9"/>
  <c r="AW59" i="7"/>
  <c r="L7" i="10"/>
  <c r="AV161" i="7"/>
  <c r="L23" i="10"/>
  <c r="AV9" i="9"/>
  <c r="AX39" i="9"/>
  <c r="AX38" i="9" s="1"/>
  <c r="AX239" i="7" s="1"/>
  <c r="AX238" i="7" s="1"/>
  <c r="AY18" i="7"/>
  <c r="AY19" i="7" s="1"/>
  <c r="AZ193" i="7"/>
  <c r="AY189" i="7"/>
  <c r="AY186" i="7" s="1"/>
  <c r="AY187" i="7" s="1"/>
  <c r="BA116" i="7"/>
  <c r="AZ53" i="9"/>
  <c r="AW33" i="9"/>
  <c r="AX261" i="7"/>
  <c r="AX260" i="7" s="1"/>
  <c r="AX34" i="9"/>
  <c r="AY195" i="7"/>
  <c r="AZ196" i="7"/>
  <c r="AY32" i="7"/>
  <c r="AZ27" i="7"/>
  <c r="AY37" i="9"/>
  <c r="AY28" i="7"/>
  <c r="AZ25" i="7"/>
  <c r="AY35" i="9"/>
  <c r="AU161" i="7"/>
  <c r="K23" i="10"/>
  <c r="AU9" i="9"/>
  <c r="AX35" i="7"/>
  <c r="AX36" i="7" s="1"/>
  <c r="AX33" i="7"/>
  <c r="AS72" i="7"/>
  <c r="AT66" i="7"/>
  <c r="AT69" i="7" s="1"/>
  <c r="AX59" i="7"/>
  <c r="M7" i="10"/>
  <c r="AD218" i="7"/>
  <c r="AD20" i="9"/>
  <c r="BB60" i="7"/>
  <c r="AS248" i="7" l="1"/>
  <c r="AT248" i="7" s="1"/>
  <c r="AU248" i="7" s="1"/>
  <c r="AV248" i="7" s="1"/>
  <c r="AW248" i="7" s="1"/>
  <c r="AX248" i="7" s="1"/>
  <c r="AY248" i="7" s="1"/>
  <c r="AZ248" i="7" s="1"/>
  <c r="BA248" i="7" s="1"/>
  <c r="BB248" i="7" s="1"/>
  <c r="AT10" i="7"/>
  <c r="AU48" i="7"/>
  <c r="AE12" i="9"/>
  <c r="AE184" i="7"/>
  <c r="AE185" i="7"/>
  <c r="AE210" i="7"/>
  <c r="AF179" i="7"/>
  <c r="AF162" i="7"/>
  <c r="AS54" i="9"/>
  <c r="AG52" i="9"/>
  <c r="AG237" i="7"/>
  <c r="AS242" i="7"/>
  <c r="AS244" i="7" s="1"/>
  <c r="AT244" i="7" s="1"/>
  <c r="AU244" i="7" s="1"/>
  <c r="AV244" i="7" s="1"/>
  <c r="AW244" i="7" s="1"/>
  <c r="AX244" i="7" s="1"/>
  <c r="AY244" i="7" s="1"/>
  <c r="AZ244" i="7" s="1"/>
  <c r="BA244" i="7" s="1"/>
  <c r="BB244" i="7" s="1"/>
  <c r="AS82" i="7"/>
  <c r="AS84" i="7"/>
  <c r="AS87" i="7" s="1"/>
  <c r="AG127" i="7"/>
  <c r="AG137" i="7" s="1"/>
  <c r="AS128" i="7"/>
  <c r="AX33" i="9"/>
  <c r="AY23" i="7"/>
  <c r="AY9" i="7"/>
  <c r="AW67" i="7"/>
  <c r="AW160" i="7" s="1"/>
  <c r="AW49" i="7"/>
  <c r="AZ36" i="9"/>
  <c r="BA26" i="7"/>
  <c r="AT72" i="7"/>
  <c r="AT42" i="9"/>
  <c r="AT150" i="7" s="1"/>
  <c r="AT12" i="7"/>
  <c r="AU66" i="7"/>
  <c r="AY261" i="7"/>
  <c r="AY260" i="7" s="1"/>
  <c r="AY34" i="9"/>
  <c r="BB116" i="7"/>
  <c r="BB53" i="9" s="1"/>
  <c r="BA53" i="9"/>
  <c r="AZ40" i="9"/>
  <c r="BA17" i="7"/>
  <c r="AZ195" i="7"/>
  <c r="BA196" i="7"/>
  <c r="BA25" i="7"/>
  <c r="AZ35" i="9"/>
  <c r="AZ28" i="7"/>
  <c r="AY33" i="7"/>
  <c r="AY35" i="7"/>
  <c r="AY36" i="7" s="1"/>
  <c r="BA193" i="7"/>
  <c r="AZ189" i="7"/>
  <c r="AZ186" i="7" s="1"/>
  <c r="AZ187" i="7" s="1"/>
  <c r="AY39" i="9"/>
  <c r="AY38" i="9" s="1"/>
  <c r="AY239" i="7" s="1"/>
  <c r="AY238" i="7" s="1"/>
  <c r="AZ18" i="7"/>
  <c r="AZ19" i="7" s="1"/>
  <c r="AX67" i="7"/>
  <c r="AX160" i="7" s="1"/>
  <c r="AX49" i="7"/>
  <c r="AZ37" i="9"/>
  <c r="AZ32" i="7"/>
  <c r="BA27" i="7"/>
  <c r="AY59" i="7"/>
  <c r="N7" i="10"/>
  <c r="AX115" i="7"/>
  <c r="AD21" i="9"/>
  <c r="AD22" i="9"/>
  <c r="AD67" i="9"/>
  <c r="AD75" i="9" s="1"/>
  <c r="AD30" i="9"/>
  <c r="AT7" i="7" l="1"/>
  <c r="AU54" i="7"/>
  <c r="AU68" i="7" s="1"/>
  <c r="AU69" i="7" s="1"/>
  <c r="J8" i="10"/>
  <c r="AF207" i="7"/>
  <c r="AF183" i="7" s="1"/>
  <c r="AF180" i="7"/>
  <c r="AF174" i="7"/>
  <c r="AF176" i="7" s="1"/>
  <c r="AS237" i="7"/>
  <c r="AG168" i="7"/>
  <c r="AG223" i="7"/>
  <c r="AS223" i="7" s="1"/>
  <c r="AS52" i="9"/>
  <c r="AG51" i="9"/>
  <c r="AS51" i="9" s="1"/>
  <c r="AE14" i="9"/>
  <c r="AE212" i="7"/>
  <c r="AG7" i="9"/>
  <c r="AG5" i="9" s="1"/>
  <c r="AS127" i="7"/>
  <c r="AT82" i="7"/>
  <c r="Y12" i="11"/>
  <c r="Y10" i="11" s="1"/>
  <c r="Y14" i="11" s="1"/>
  <c r="AY33" i="9"/>
  <c r="AZ23" i="7"/>
  <c r="AZ9" i="7"/>
  <c r="BB26" i="7"/>
  <c r="BB36" i="9" s="1"/>
  <c r="BA36" i="9"/>
  <c r="AX9" i="9"/>
  <c r="N23" i="10"/>
  <c r="AX161" i="7"/>
  <c r="BA195" i="7"/>
  <c r="BB196" i="7"/>
  <c r="BB195" i="7" s="1"/>
  <c r="AZ39" i="9"/>
  <c r="AZ38" i="9" s="1"/>
  <c r="AZ239" i="7" s="1"/>
  <c r="AZ238" i="7" s="1"/>
  <c r="BA18" i="7"/>
  <c r="BB17" i="7"/>
  <c r="BA19" i="7"/>
  <c r="BA40" i="9"/>
  <c r="AY67" i="7"/>
  <c r="AY160" i="7" s="1"/>
  <c r="AY49" i="7"/>
  <c r="AZ35" i="7"/>
  <c r="AZ36" i="7" s="1"/>
  <c r="AZ33" i="7"/>
  <c r="BA37" i="9"/>
  <c r="BB27" i="7"/>
  <c r="BA32" i="7"/>
  <c r="BA35" i="9"/>
  <c r="BA28" i="7"/>
  <c r="BB25" i="7"/>
  <c r="M23" i="10"/>
  <c r="AW9" i="9"/>
  <c r="AW161" i="7"/>
  <c r="AZ261" i="7"/>
  <c r="AZ260" i="7" s="1"/>
  <c r="AZ34" i="9"/>
  <c r="AZ59" i="7"/>
  <c r="O7" i="10"/>
  <c r="BB193" i="7"/>
  <c r="BA189" i="7"/>
  <c r="BA186" i="7" s="1"/>
  <c r="BA187" i="7" s="1"/>
  <c r="AY115" i="7"/>
  <c r="AD254" i="7"/>
  <c r="AD256" i="7" s="1"/>
  <c r="AD151" i="7"/>
  <c r="AD29" i="9"/>
  <c r="BB189" i="7" l="1"/>
  <c r="BB186" i="7" s="1"/>
  <c r="BB187" i="7" s="1"/>
  <c r="AV66" i="7"/>
  <c r="AU12" i="7"/>
  <c r="AU42" i="9"/>
  <c r="AU150" i="7" s="1"/>
  <c r="J5" i="10"/>
  <c r="J9" i="10" s="1"/>
  <c r="AT8" i="7"/>
  <c r="AU56" i="7"/>
  <c r="AT5" i="7"/>
  <c r="AG139" i="7"/>
  <c r="AG138" i="7"/>
  <c r="AG140" i="7" s="1"/>
  <c r="AG158" i="7"/>
  <c r="AE217" i="7"/>
  <c r="AE16" i="9"/>
  <c r="AG164" i="7"/>
  <c r="AS168" i="7"/>
  <c r="AT80" i="7"/>
  <c r="AU82" i="7"/>
  <c r="AS137" i="7"/>
  <c r="AS158" i="7" s="1"/>
  <c r="AS129" i="7"/>
  <c r="AT129" i="7" s="1"/>
  <c r="AU129" i="7" s="1"/>
  <c r="AS7" i="9"/>
  <c r="AS5" i="9" s="1"/>
  <c r="AF185" i="7"/>
  <c r="AF184" i="7"/>
  <c r="AF12" i="9"/>
  <c r="AF210" i="7"/>
  <c r="AZ33" i="9"/>
  <c r="O23" i="10"/>
  <c r="AY161" i="7"/>
  <c r="AY9" i="9"/>
  <c r="BA23" i="7"/>
  <c r="BA9" i="7"/>
  <c r="BB28" i="7"/>
  <c r="BB35" i="9"/>
  <c r="BB261" i="7" s="1"/>
  <c r="BB260" i="7" s="1"/>
  <c r="BB40" i="9"/>
  <c r="AZ49" i="7"/>
  <c r="AZ67" i="7"/>
  <c r="AZ160" i="7" s="1"/>
  <c r="BA35" i="7"/>
  <c r="BA36" i="7" s="1"/>
  <c r="BA33" i="7"/>
  <c r="BB18" i="7"/>
  <c r="BB39" i="9" s="1"/>
  <c r="BA39" i="9"/>
  <c r="BA38" i="9" s="1"/>
  <c r="BA239" i="7" s="1"/>
  <c r="BA238" i="7" s="1"/>
  <c r="BA261" i="7"/>
  <c r="BA260" i="7" s="1"/>
  <c r="BA34" i="9"/>
  <c r="BA59" i="7"/>
  <c r="P7" i="10"/>
  <c r="BB37" i="9"/>
  <c r="BB32" i="7"/>
  <c r="AZ115" i="7"/>
  <c r="AD28" i="9"/>
  <c r="AD69" i="9" s="1"/>
  <c r="AD152" i="7"/>
  <c r="AD107" i="7" s="1"/>
  <c r="AD102" i="7" s="1"/>
  <c r="AT113" i="7" l="1"/>
  <c r="AT57" i="7"/>
  <c r="AV48" i="7"/>
  <c r="AU10" i="7"/>
  <c r="J6" i="10"/>
  <c r="J24" i="10"/>
  <c r="AU72" i="7"/>
  <c r="AU80" i="7"/>
  <c r="AV82" i="7"/>
  <c r="AT84" i="7"/>
  <c r="AT79" i="7"/>
  <c r="AT6" i="9" s="1"/>
  <c r="AS139" i="7"/>
  <c r="AS138" i="7"/>
  <c r="AS140" i="7" s="1"/>
  <c r="I11" i="10"/>
  <c r="I12" i="10" s="1"/>
  <c r="AG162" i="7"/>
  <c r="AG179" i="7"/>
  <c r="AS164" i="7"/>
  <c r="AS179" i="7" s="1"/>
  <c r="AS180" i="7" s="1"/>
  <c r="AS232" i="7"/>
  <c r="AG11" i="9"/>
  <c r="AG167" i="7"/>
  <c r="AF212" i="7"/>
  <c r="AF14" i="9"/>
  <c r="AE20" i="9"/>
  <c r="AE218" i="7"/>
  <c r="BB38" i="9"/>
  <c r="BB239" i="7" s="1"/>
  <c r="BB238" i="7" s="1"/>
  <c r="BB19" i="7"/>
  <c r="BB35" i="7" s="1"/>
  <c r="BB36" i="7" s="1"/>
  <c r="BB33" i="7"/>
  <c r="BB59" i="7"/>
  <c r="Q7" i="10"/>
  <c r="P23" i="10"/>
  <c r="AZ9" i="9"/>
  <c r="AZ161" i="7"/>
  <c r="BB34" i="9"/>
  <c r="BA67" i="7"/>
  <c r="BA160" i="7" s="1"/>
  <c r="BA49" i="7"/>
  <c r="BA33" i="9"/>
  <c r="AV129" i="7"/>
  <c r="AD105" i="7"/>
  <c r="AD149" i="7"/>
  <c r="BA115" i="7"/>
  <c r="AV54" i="7" l="1"/>
  <c r="AV68" i="7" s="1"/>
  <c r="AV69" i="7" s="1"/>
  <c r="AU7" i="7"/>
  <c r="K8" i="10"/>
  <c r="AT114" i="7"/>
  <c r="AT265" i="7"/>
  <c r="AT264" i="7" s="1"/>
  <c r="AT243" i="7"/>
  <c r="AT242" i="7" s="1"/>
  <c r="AT118" i="7"/>
  <c r="AT247" i="7"/>
  <c r="AT246" i="7" s="1"/>
  <c r="AS162" i="7"/>
  <c r="AS11" i="9"/>
  <c r="I20" i="10"/>
  <c r="I21" i="10" s="1"/>
  <c r="AS167" i="7"/>
  <c r="AT232" i="7"/>
  <c r="AU232" i="7" s="1"/>
  <c r="AF217" i="7"/>
  <c r="AF16" i="9"/>
  <c r="AG180" i="7"/>
  <c r="AG207" i="7"/>
  <c r="AG174" i="7"/>
  <c r="AE67" i="9"/>
  <c r="AE75" i="9" s="1"/>
  <c r="AE21" i="9"/>
  <c r="AE22" i="9"/>
  <c r="AE30" i="9"/>
  <c r="BB23" i="7"/>
  <c r="AV80" i="7"/>
  <c r="AW82" i="7"/>
  <c r="BB9" i="7"/>
  <c r="R7" i="10" s="1"/>
  <c r="BB33" i="9"/>
  <c r="BB49" i="7"/>
  <c r="BB67" i="7"/>
  <c r="BB160" i="7" s="1"/>
  <c r="BA161" i="7"/>
  <c r="Q23" i="10"/>
  <c r="BA9" i="9"/>
  <c r="AD103" i="7"/>
  <c r="AD130" i="7"/>
  <c r="AD132" i="7"/>
  <c r="AD133" i="7" s="1"/>
  <c r="BB115" i="7"/>
  <c r="AD142" i="7"/>
  <c r="AD154" i="7"/>
  <c r="AW129" i="7"/>
  <c r="AV56" i="7" l="1"/>
  <c r="AV10" i="7" s="1"/>
  <c r="AT237" i="7"/>
  <c r="AT168" i="7" s="1"/>
  <c r="AT164" i="7" s="1"/>
  <c r="AT54" i="9"/>
  <c r="AT52" i="9" s="1"/>
  <c r="AT51" i="9" s="1"/>
  <c r="AT128" i="7"/>
  <c r="AT127" i="7" s="1"/>
  <c r="AU8" i="7"/>
  <c r="K5" i="10"/>
  <c r="AU5" i="7"/>
  <c r="AW66" i="7"/>
  <c r="AV42" i="9"/>
  <c r="AV150" i="7" s="1"/>
  <c r="AV12" i="7"/>
  <c r="AS174" i="7"/>
  <c r="AG176" i="7"/>
  <c r="AV232" i="7"/>
  <c r="AW232" i="7" s="1"/>
  <c r="AS207" i="7"/>
  <c r="AG183" i="7"/>
  <c r="AF218" i="7"/>
  <c r="AF20" i="9"/>
  <c r="AX82" i="7"/>
  <c r="AW80" i="7"/>
  <c r="AE29" i="9"/>
  <c r="AE151" i="7"/>
  <c r="AE254" i="7"/>
  <c r="AE256" i="7" s="1"/>
  <c r="BB9" i="9"/>
  <c r="R23" i="10"/>
  <c r="BB161" i="7"/>
  <c r="AX129" i="7"/>
  <c r="AY129" i="7" s="1"/>
  <c r="AZ129" i="7" s="1"/>
  <c r="BA129" i="7" s="1"/>
  <c r="BB129" i="7" s="1"/>
  <c r="AW48" i="7" l="1"/>
  <c r="AV72" i="7"/>
  <c r="J20" i="10"/>
  <c r="J21" i="10" s="1"/>
  <c r="AT11" i="9"/>
  <c r="AT167" i="7"/>
  <c r="K6" i="10"/>
  <c r="K24" i="10"/>
  <c r="AV7" i="7"/>
  <c r="L8" i="10"/>
  <c r="AW54" i="7"/>
  <c r="AW68" i="7" s="1"/>
  <c r="AW69" i="7" s="1"/>
  <c r="AT7" i="9"/>
  <c r="AT5" i="9" s="1"/>
  <c r="AT137" i="7"/>
  <c r="K9" i="10"/>
  <c r="AU113" i="7"/>
  <c r="AU57" i="7"/>
  <c r="AU79" i="7"/>
  <c r="AF67" i="9"/>
  <c r="AF75" i="9" s="1"/>
  <c r="AF22" i="9"/>
  <c r="AF21" i="9"/>
  <c r="AY82" i="7"/>
  <c r="AX80" i="7"/>
  <c r="AS208" i="7"/>
  <c r="AT208" i="7" s="1"/>
  <c r="AU208" i="7" s="1"/>
  <c r="AV208" i="7" s="1"/>
  <c r="AS183" i="7"/>
  <c r="AX232" i="7"/>
  <c r="AY232" i="7" s="1"/>
  <c r="AE28" i="9"/>
  <c r="AE69" i="9" s="1"/>
  <c r="AE152" i="7"/>
  <c r="AE107" i="7" s="1"/>
  <c r="AG185" i="7"/>
  <c r="AG210" i="7"/>
  <c r="AG12" i="9"/>
  <c r="AG184" i="7"/>
  <c r="AF30" i="9"/>
  <c r="AS175" i="7"/>
  <c r="AT175" i="7" s="1"/>
  <c r="AU175" i="7" s="1"/>
  <c r="AV175" i="7" s="1"/>
  <c r="AW175" i="7" s="1"/>
  <c r="AS176" i="7"/>
  <c r="J11" i="10" l="1"/>
  <c r="J12" i="10" s="1"/>
  <c r="AT138" i="7"/>
  <c r="AT140" i="7" s="1"/>
  <c r="AT139" i="7"/>
  <c r="AT158" i="7"/>
  <c r="AX66" i="7"/>
  <c r="AW12" i="7"/>
  <c r="AW42" i="9"/>
  <c r="AW150" i="7" s="1"/>
  <c r="AW56" i="7"/>
  <c r="AU243" i="7"/>
  <c r="AU242" i="7" s="1"/>
  <c r="AU265" i="7"/>
  <c r="AU264" i="7" s="1"/>
  <c r="AU118" i="7"/>
  <c r="AU247" i="7"/>
  <c r="AU246" i="7" s="1"/>
  <c r="AU114" i="7"/>
  <c r="L5" i="10"/>
  <c r="AV5" i="7"/>
  <c r="AV8" i="7"/>
  <c r="AU6" i="9"/>
  <c r="AZ232" i="7"/>
  <c r="BA232" i="7" s="1"/>
  <c r="BB232" i="7" s="1"/>
  <c r="AS184" i="7"/>
  <c r="I26" i="10"/>
  <c r="I28" i="10" s="1"/>
  <c r="AS12" i="9"/>
  <c r="Y27" i="11"/>
  <c r="AS185" i="7"/>
  <c r="AG212" i="7"/>
  <c r="AS210" i="7"/>
  <c r="AG14" i="9"/>
  <c r="AE102" i="7"/>
  <c r="AE105" i="7"/>
  <c r="AY80" i="7"/>
  <c r="AZ82" i="7"/>
  <c r="AF254" i="7"/>
  <c r="AF256" i="7" s="1"/>
  <c r="AF151" i="7"/>
  <c r="AE149" i="7"/>
  <c r="AF29" i="9"/>
  <c r="AW208" i="7"/>
  <c r="AX175" i="7"/>
  <c r="AU54" i="9" l="1"/>
  <c r="AU52" i="9" s="1"/>
  <c r="AU51" i="9" s="1"/>
  <c r="AU128" i="7"/>
  <c r="AU127" i="7" s="1"/>
  <c r="AV113" i="7"/>
  <c r="AV57" i="7"/>
  <c r="AV79" i="7"/>
  <c r="L6" i="10"/>
  <c r="L24" i="10"/>
  <c r="AT162" i="7"/>
  <c r="AT179" i="7"/>
  <c r="AT180" i="7" s="1"/>
  <c r="AW10" i="7"/>
  <c r="AX48" i="7"/>
  <c r="L9" i="10"/>
  <c r="AW72" i="7"/>
  <c r="AU237" i="7"/>
  <c r="AU168" i="7" s="1"/>
  <c r="AU164" i="7" s="1"/>
  <c r="AE130" i="7"/>
  <c r="AE103" i="7"/>
  <c r="AE132" i="7"/>
  <c r="AE133" i="7" s="1"/>
  <c r="AF28" i="9"/>
  <c r="AF69" i="9" s="1"/>
  <c r="AF152" i="7"/>
  <c r="AF107" i="7" s="1"/>
  <c r="AG217" i="7"/>
  <c r="AG16" i="9"/>
  <c r="AS212" i="7"/>
  <c r="I30" i="10"/>
  <c r="AS14" i="9"/>
  <c r="AE154" i="7"/>
  <c r="AE142" i="7"/>
  <c r="AZ80" i="7"/>
  <c r="BA82" i="7"/>
  <c r="AX208" i="7"/>
  <c r="AY175" i="7"/>
  <c r="AF149" i="7" l="1"/>
  <c r="AF142" i="7" s="1"/>
  <c r="M8" i="10"/>
  <c r="AX54" i="7"/>
  <c r="AX68" i="7" s="1"/>
  <c r="AX69" i="7" s="1"/>
  <c r="AW7" i="7"/>
  <c r="AT207" i="7"/>
  <c r="AT183" i="7" s="1"/>
  <c r="AT174" i="7"/>
  <c r="AV6" i="9"/>
  <c r="AU11" i="9"/>
  <c r="AU167" i="7"/>
  <c r="K20" i="10"/>
  <c r="K21" i="10" s="1"/>
  <c r="AV243" i="7"/>
  <c r="AV242" i="7" s="1"/>
  <c r="AV237" i="7" s="1"/>
  <c r="AV168" i="7" s="1"/>
  <c r="AV164" i="7" s="1"/>
  <c r="AV114" i="7"/>
  <c r="AV118" i="7"/>
  <c r="AV247" i="7"/>
  <c r="AV246" i="7" s="1"/>
  <c r="AV265" i="7"/>
  <c r="AV264" i="7" s="1"/>
  <c r="AU7" i="9"/>
  <c r="AU5" i="9" s="1"/>
  <c r="AU137" i="7"/>
  <c r="AX56" i="7"/>
  <c r="AS217" i="7"/>
  <c r="AG20" i="9"/>
  <c r="AG218" i="7"/>
  <c r="BA80" i="7"/>
  <c r="BB82" i="7"/>
  <c r="BB80" i="7" s="1"/>
  <c r="AS213" i="7"/>
  <c r="AS16" i="9"/>
  <c r="I32" i="10"/>
  <c r="I33" i="10" s="1"/>
  <c r="AF102" i="7"/>
  <c r="AF105" i="7"/>
  <c r="AY208" i="7"/>
  <c r="AZ175" i="7"/>
  <c r="AF154" i="7" l="1"/>
  <c r="AY48" i="7"/>
  <c r="AX10" i="7"/>
  <c r="AV11" i="9"/>
  <c r="L20" i="10"/>
  <c r="L21" i="10" s="1"/>
  <c r="AV167" i="7"/>
  <c r="M5" i="10"/>
  <c r="AW8" i="7"/>
  <c r="AW5" i="7"/>
  <c r="AU138" i="7"/>
  <c r="AU140" i="7" s="1"/>
  <c r="AU139" i="7"/>
  <c r="K11" i="10"/>
  <c r="K12" i="10" s="1"/>
  <c r="AU158" i="7"/>
  <c r="AT184" i="7"/>
  <c r="J26" i="10"/>
  <c r="J28" i="10" s="1"/>
  <c r="AT12" i="9"/>
  <c r="AT210" i="7"/>
  <c r="AT185" i="7"/>
  <c r="AX12" i="7"/>
  <c r="AX42" i="9"/>
  <c r="AX150" i="7" s="1"/>
  <c r="AY66" i="7"/>
  <c r="AX72" i="7"/>
  <c r="AV54" i="9"/>
  <c r="AV52" i="9" s="1"/>
  <c r="AV51" i="9" s="1"/>
  <c r="AV128" i="7"/>
  <c r="AV127" i="7" s="1"/>
  <c r="Y32" i="11"/>
  <c r="AT213" i="7"/>
  <c r="AG22" i="9"/>
  <c r="AG67" i="9"/>
  <c r="AG75" i="9" s="1"/>
  <c r="AG30" i="9"/>
  <c r="AG21" i="9"/>
  <c r="I35" i="10"/>
  <c r="AS218" i="7"/>
  <c r="AS20" i="9"/>
  <c r="AF103" i="7"/>
  <c r="AF130" i="7"/>
  <c r="AF132" i="7"/>
  <c r="AF133" i="7" s="1"/>
  <c r="BA175" i="7"/>
  <c r="AZ208" i="7"/>
  <c r="AW79" i="7" l="1"/>
  <c r="AW113" i="7"/>
  <c r="AW57" i="7"/>
  <c r="AY54" i="7"/>
  <c r="AY68" i="7" s="1"/>
  <c r="AY69" i="7" s="1"/>
  <c r="AX7" i="7"/>
  <c r="N8" i="10"/>
  <c r="AT14" i="9"/>
  <c r="J30" i="10"/>
  <c r="AY56" i="7"/>
  <c r="AV7" i="9"/>
  <c r="AV5" i="9" s="1"/>
  <c r="AV137" i="7"/>
  <c r="M9" i="10"/>
  <c r="M6" i="10"/>
  <c r="M24" i="10"/>
  <c r="AU179" i="7"/>
  <c r="AU180" i="7" s="1"/>
  <c r="AU162" i="7"/>
  <c r="AS75" i="9"/>
  <c r="I48" i="10" s="1"/>
  <c r="AT72" i="9"/>
  <c r="J50" i="10" s="1"/>
  <c r="AS21" i="9"/>
  <c r="AS22" i="9"/>
  <c r="I43" i="10"/>
  <c r="I46" i="10"/>
  <c r="I36" i="10"/>
  <c r="AU213" i="7"/>
  <c r="AT212" i="7"/>
  <c r="AG151" i="7"/>
  <c r="AG254" i="7"/>
  <c r="AS30" i="9"/>
  <c r="AS151" i="7" s="1"/>
  <c r="AS67" i="9"/>
  <c r="I45" i="10" s="1"/>
  <c r="AG29" i="9"/>
  <c r="BA208" i="7"/>
  <c r="BB175" i="7"/>
  <c r="AY72" i="7" l="1"/>
  <c r="AZ48" i="7"/>
  <c r="AY10" i="7"/>
  <c r="AX5" i="7"/>
  <c r="AX8" i="7"/>
  <c r="N5" i="10"/>
  <c r="AZ66" i="7"/>
  <c r="AY12" i="7"/>
  <c r="AY42" i="9"/>
  <c r="AY150" i="7" s="1"/>
  <c r="AU207" i="7"/>
  <c r="AU183" i="7" s="1"/>
  <c r="AU174" i="7"/>
  <c r="AW243" i="7"/>
  <c r="AW242" i="7" s="1"/>
  <c r="AW114" i="7"/>
  <c r="AW247" i="7"/>
  <c r="AW246" i="7" s="1"/>
  <c r="AW265" i="7"/>
  <c r="AW264" i="7" s="1"/>
  <c r="AW118" i="7"/>
  <c r="AV138" i="7"/>
  <c r="AV140" i="7" s="1"/>
  <c r="AV139" i="7"/>
  <c r="L11" i="10"/>
  <c r="L12" i="10" s="1"/>
  <c r="AV158" i="7"/>
  <c r="N9" i="10"/>
  <c r="AW6" i="9"/>
  <c r="AG256" i="7"/>
  <c r="AS254" i="7"/>
  <c r="AT16" i="9"/>
  <c r="J32" i="10"/>
  <c r="J33" i="10" s="1"/>
  <c r="AT217" i="7"/>
  <c r="AV213" i="7"/>
  <c r="AG152" i="7"/>
  <c r="AG107" i="7" s="1"/>
  <c r="AG28" i="9"/>
  <c r="AS29" i="9"/>
  <c r="AS152" i="7" s="1"/>
  <c r="AS149" i="7" s="1"/>
  <c r="AS154" i="7" s="1"/>
  <c r="BB208" i="7"/>
  <c r="AV179" i="7" l="1"/>
  <c r="AV180" i="7" s="1"/>
  <c r="AV162" i="7"/>
  <c r="K26" i="10"/>
  <c r="K28" i="10" s="1"/>
  <c r="AU12" i="9"/>
  <c r="AU185" i="7"/>
  <c r="AU184" i="7"/>
  <c r="AU210" i="7"/>
  <c r="N6" i="10"/>
  <c r="N24" i="10"/>
  <c r="AW54" i="9"/>
  <c r="AW52" i="9" s="1"/>
  <c r="AW51" i="9" s="1"/>
  <c r="AW128" i="7"/>
  <c r="AW127" i="7" s="1"/>
  <c r="AX57" i="7"/>
  <c r="AX113" i="7"/>
  <c r="AX79" i="7"/>
  <c r="AX6" i="9" s="1"/>
  <c r="O8" i="10"/>
  <c r="AZ54" i="7"/>
  <c r="AY7" i="7"/>
  <c r="AW237" i="7"/>
  <c r="AW168" i="7" s="1"/>
  <c r="AW164" i="7" s="1"/>
  <c r="AS28" i="9"/>
  <c r="AS69" i="9" s="1"/>
  <c r="AG69" i="9"/>
  <c r="AW213" i="7"/>
  <c r="AX213" i="7" s="1"/>
  <c r="AY213" i="7" s="1"/>
  <c r="AT218" i="7"/>
  <c r="J35" i="10"/>
  <c r="AT20" i="9"/>
  <c r="AG149" i="7"/>
  <c r="AG142" i="7" s="1"/>
  <c r="AS256" i="7"/>
  <c r="AS257" i="7"/>
  <c r="AT257" i="7" s="1"/>
  <c r="AG102" i="7"/>
  <c r="AG105" i="7"/>
  <c r="AS107" i="7"/>
  <c r="AS105" i="7" s="1"/>
  <c r="AW7" i="9" l="1"/>
  <c r="AW5" i="9" s="1"/>
  <c r="AW137" i="7"/>
  <c r="K30" i="10"/>
  <c r="AU14" i="9"/>
  <c r="AU212" i="7"/>
  <c r="M20" i="10"/>
  <c r="M21" i="10" s="1"/>
  <c r="AW167" i="7"/>
  <c r="AW11" i="9"/>
  <c r="O5" i="10"/>
  <c r="AY5" i="7"/>
  <c r="AY8" i="7"/>
  <c r="AZ68" i="7"/>
  <c r="AZ69" i="7" s="1"/>
  <c r="AZ56" i="7"/>
  <c r="AX243" i="7"/>
  <c r="AX242" i="7" s="1"/>
  <c r="AX118" i="7"/>
  <c r="AX247" i="7"/>
  <c r="AX246" i="7" s="1"/>
  <c r="AX114" i="7"/>
  <c r="AX265" i="7"/>
  <c r="AX264" i="7" s="1"/>
  <c r="AV207" i="7"/>
  <c r="AV183" i="7" s="1"/>
  <c r="AV174" i="7"/>
  <c r="AS142" i="7"/>
  <c r="AG154" i="7"/>
  <c r="AT253" i="7"/>
  <c r="AU257" i="7"/>
  <c r="AT30" i="9"/>
  <c r="AT21" i="9"/>
  <c r="AU72" i="9"/>
  <c r="K50" i="10" s="1"/>
  <c r="AT22" i="9"/>
  <c r="AT67" i="9"/>
  <c r="J43" i="10"/>
  <c r="J46" i="10"/>
  <c r="J36" i="10"/>
  <c r="AG103" i="7"/>
  <c r="AS102" i="7"/>
  <c r="AG130" i="7"/>
  <c r="AG132" i="7"/>
  <c r="AG133" i="7" s="1"/>
  <c r="AZ213" i="7"/>
  <c r="O6" i="10" l="1"/>
  <c r="O9" i="10"/>
  <c r="O24" i="10"/>
  <c r="L26" i="10"/>
  <c r="L28" i="10" s="1"/>
  <c r="AV185" i="7"/>
  <c r="AV12" i="9"/>
  <c r="AV184" i="7"/>
  <c r="AV210" i="7"/>
  <c r="AU16" i="9"/>
  <c r="AU217" i="7"/>
  <c r="K32" i="10"/>
  <c r="K33" i="10" s="1"/>
  <c r="BA66" i="7"/>
  <c r="AZ42" i="9"/>
  <c r="AZ150" i="7" s="1"/>
  <c r="AZ12" i="7"/>
  <c r="AZ72" i="7"/>
  <c r="AZ10" i="7"/>
  <c r="BA48" i="7"/>
  <c r="AY57" i="7"/>
  <c r="AY113" i="7"/>
  <c r="AY79" i="7"/>
  <c r="AY6" i="9" s="1"/>
  <c r="AX128" i="7"/>
  <c r="AX127" i="7" s="1"/>
  <c r="AX54" i="9"/>
  <c r="AX52" i="9" s="1"/>
  <c r="AX51" i="9" s="1"/>
  <c r="AX237" i="7"/>
  <c r="AX168" i="7" s="1"/>
  <c r="AX164" i="7" s="1"/>
  <c r="AW138" i="7"/>
  <c r="AW140" i="7" s="1"/>
  <c r="AW139" i="7"/>
  <c r="AW158" i="7"/>
  <c r="M11" i="10"/>
  <c r="M12" i="10" s="1"/>
  <c r="AT75" i="9"/>
  <c r="J48" i="10" s="1"/>
  <c r="AT29" i="9"/>
  <c r="J45" i="10"/>
  <c r="AU253" i="7"/>
  <c r="AV257" i="7"/>
  <c r="AS103" i="7"/>
  <c r="Y16" i="11"/>
  <c r="AS132" i="7"/>
  <c r="AS133" i="7" s="1"/>
  <c r="Y20" i="11" s="1"/>
  <c r="Y18" i="11" s="1"/>
  <c r="AS130" i="7"/>
  <c r="AT151" i="7"/>
  <c r="AT254" i="7"/>
  <c r="AT256" i="7" s="1"/>
  <c r="AS143" i="7"/>
  <c r="I13" i="10"/>
  <c r="I15" i="10" s="1"/>
  <c r="I18" i="10" s="1"/>
  <c r="BA213" i="7"/>
  <c r="Y17" i="11" l="1"/>
  <c r="Y29" i="11" s="1"/>
  <c r="Y31" i="11" s="1"/>
  <c r="Y34" i="11" s="1"/>
  <c r="AX11" i="9"/>
  <c r="N20" i="10"/>
  <c r="N21" i="10" s="1"/>
  <c r="AX167" i="7"/>
  <c r="AU20" i="9"/>
  <c r="K35" i="10"/>
  <c r="AU218" i="7"/>
  <c r="AX137" i="7"/>
  <c r="AX7" i="9"/>
  <c r="AX5" i="9" s="1"/>
  <c r="AV14" i="9"/>
  <c r="L30" i="10"/>
  <c r="AV212" i="7"/>
  <c r="AV217" i="7" s="1"/>
  <c r="P8" i="10"/>
  <c r="BA54" i="7"/>
  <c r="BA68" i="7" s="1"/>
  <c r="BA69" i="7" s="1"/>
  <c r="AZ7" i="7"/>
  <c r="AW179" i="7"/>
  <c r="AW180" i="7" s="1"/>
  <c r="AW162" i="7"/>
  <c r="AY114" i="7"/>
  <c r="AY243" i="7"/>
  <c r="AY242" i="7" s="1"/>
  <c r="AY247" i="7"/>
  <c r="AY246" i="7" s="1"/>
  <c r="AY265" i="7"/>
  <c r="AY264" i="7" s="1"/>
  <c r="AY118" i="7"/>
  <c r="AT28" i="9"/>
  <c r="AT69" i="9" s="1"/>
  <c r="AT152" i="7"/>
  <c r="AW257" i="7"/>
  <c r="AV253" i="7"/>
  <c r="BB213" i="7"/>
  <c r="Y22" i="11" l="1"/>
  <c r="Y23" i="11" s="1"/>
  <c r="BA56" i="7"/>
  <c r="BA10" i="7" s="1"/>
  <c r="BB54" i="7" s="1"/>
  <c r="AY54" i="9"/>
  <c r="AY52" i="9" s="1"/>
  <c r="AY51" i="9" s="1"/>
  <c r="AY128" i="7"/>
  <c r="AY127" i="7" s="1"/>
  <c r="K36" i="10"/>
  <c r="K46" i="10"/>
  <c r="K43" i="10"/>
  <c r="L32" i="10"/>
  <c r="L33" i="10" s="1"/>
  <c r="AV16" i="9"/>
  <c r="AX139" i="7"/>
  <c r="AX158" i="7"/>
  <c r="N11" i="10"/>
  <c r="N12" i="10" s="1"/>
  <c r="AX138" i="7"/>
  <c r="AX140" i="7" s="1"/>
  <c r="AY237" i="7"/>
  <c r="AY168" i="7" s="1"/>
  <c r="AY164" i="7" s="1"/>
  <c r="AW207" i="7"/>
  <c r="AW183" i="7" s="1"/>
  <c r="AW174" i="7"/>
  <c r="AU21" i="9"/>
  <c r="AU22" i="9"/>
  <c r="AV72" i="9"/>
  <c r="L50" i="10" s="1"/>
  <c r="AU67" i="9"/>
  <c r="AU30" i="9"/>
  <c r="AZ8" i="7"/>
  <c r="P5" i="10"/>
  <c r="AZ5" i="7"/>
  <c r="BA42" i="9"/>
  <c r="BA150" i="7" s="1"/>
  <c r="BA12" i="7"/>
  <c r="BB66" i="7"/>
  <c r="AV218" i="7"/>
  <c r="L35" i="10"/>
  <c r="AV20" i="9"/>
  <c r="AX257" i="7"/>
  <c r="AW253" i="7"/>
  <c r="AT107" i="7"/>
  <c r="AT149" i="7"/>
  <c r="BA72" i="7" l="1"/>
  <c r="BB48" i="7"/>
  <c r="BB56" i="7" s="1"/>
  <c r="BB68" i="7"/>
  <c r="BB69" i="7" s="1"/>
  <c r="BB42" i="9" s="1"/>
  <c r="BB150" i="7" s="1"/>
  <c r="BA7" i="7"/>
  <c r="BA5" i="7" s="1"/>
  <c r="BA57" i="7" s="1"/>
  <c r="Q8" i="10"/>
  <c r="AZ57" i="7"/>
  <c r="AZ113" i="7"/>
  <c r="AZ79" i="7"/>
  <c r="AZ6" i="9" s="1"/>
  <c r="AU151" i="7"/>
  <c r="AV30" i="9"/>
  <c r="AU254" i="7"/>
  <c r="AU256" i="7" s="1"/>
  <c r="AV21" i="9"/>
  <c r="AW72" i="9"/>
  <c r="M50" i="10" s="1"/>
  <c r="AV22" i="9"/>
  <c r="P9" i="10"/>
  <c r="P6" i="10"/>
  <c r="P24" i="10"/>
  <c r="AU29" i="9"/>
  <c r="AU75" i="9"/>
  <c r="K48" i="10" s="1"/>
  <c r="AV67" i="9"/>
  <c r="K45" i="10"/>
  <c r="AW185" i="7"/>
  <c r="AW12" i="9"/>
  <c r="AW184" i="7"/>
  <c r="M26" i="10"/>
  <c r="M28" i="10" s="1"/>
  <c r="AW210" i="7"/>
  <c r="O20" i="10"/>
  <c r="O21" i="10" s="1"/>
  <c r="AY11" i="9"/>
  <c r="AY167" i="7"/>
  <c r="AY7" i="9"/>
  <c r="AY5" i="9" s="1"/>
  <c r="AY137" i="7"/>
  <c r="AX162" i="7"/>
  <c r="AX179" i="7"/>
  <c r="AX180" i="7" s="1"/>
  <c r="L43" i="10"/>
  <c r="L46" i="10"/>
  <c r="L36" i="10"/>
  <c r="AT105" i="7"/>
  <c r="AT102" i="7"/>
  <c r="AT154" i="7"/>
  <c r="AT142" i="7"/>
  <c r="J13" i="10" s="1"/>
  <c r="AY257" i="7"/>
  <c r="AX253" i="7"/>
  <c r="BA8" i="7"/>
  <c r="BB12" i="7" l="1"/>
  <c r="Q5" i="10"/>
  <c r="Q9" i="10" s="1"/>
  <c r="BB72" i="7"/>
  <c r="AV254" i="7"/>
  <c r="AV256" i="7" s="1"/>
  <c r="AV151" i="7"/>
  <c r="AX174" i="7"/>
  <c r="AX207" i="7"/>
  <c r="AX183" i="7" s="1"/>
  <c r="AY139" i="7"/>
  <c r="O11" i="10"/>
  <c r="O12" i="10" s="1"/>
  <c r="AY158" i="7"/>
  <c r="AY138" i="7"/>
  <c r="AY140" i="7" s="1"/>
  <c r="AU152" i="7"/>
  <c r="AU28" i="9"/>
  <c r="AU69" i="9" s="1"/>
  <c r="BB10" i="7"/>
  <c r="L45" i="10"/>
  <c r="AV75" i="9"/>
  <c r="L48" i="10" s="1"/>
  <c r="AV29" i="9"/>
  <c r="AZ247" i="7"/>
  <c r="AZ246" i="7" s="1"/>
  <c r="AZ118" i="7"/>
  <c r="AZ265" i="7"/>
  <c r="AZ264" i="7" s="1"/>
  <c r="AZ114" i="7"/>
  <c r="AZ243" i="7"/>
  <c r="AZ242" i="7" s="1"/>
  <c r="AZ237" i="7" s="1"/>
  <c r="AZ168" i="7" s="1"/>
  <c r="AZ164" i="7" s="1"/>
  <c r="AZ11" i="9" s="1"/>
  <c r="AW212" i="7"/>
  <c r="AW14" i="9"/>
  <c r="M30" i="10"/>
  <c r="AZ257" i="7"/>
  <c r="AY253" i="7"/>
  <c r="AT130" i="7"/>
  <c r="AT132" i="7"/>
  <c r="AT133" i="7" s="1"/>
  <c r="AT103" i="7"/>
  <c r="Q6" i="10"/>
  <c r="Q24" i="10"/>
  <c r="BA113" i="7"/>
  <c r="BA79" i="7"/>
  <c r="AZ167" i="7" l="1"/>
  <c r="P20" i="10"/>
  <c r="P21" i="10" s="1"/>
  <c r="BB7" i="7"/>
  <c r="R8" i="10"/>
  <c r="M32" i="10"/>
  <c r="M33" i="10" s="1"/>
  <c r="AW16" i="9"/>
  <c r="AU107" i="7"/>
  <c r="AU149" i="7"/>
  <c r="AY179" i="7"/>
  <c r="AY180" i="7" s="1"/>
  <c r="AY162" i="7"/>
  <c r="AZ54" i="9"/>
  <c r="AZ52" i="9" s="1"/>
  <c r="AZ51" i="9" s="1"/>
  <c r="AZ128" i="7"/>
  <c r="AZ127" i="7" s="1"/>
  <c r="AV152" i="7"/>
  <c r="AV28" i="9"/>
  <c r="AV69" i="9" s="1"/>
  <c r="AX184" i="7"/>
  <c r="AX185" i="7"/>
  <c r="N26" i="10"/>
  <c r="N28" i="10" s="1"/>
  <c r="AX12" i="9"/>
  <c r="AX210" i="7"/>
  <c r="AW217" i="7"/>
  <c r="AZ253" i="7"/>
  <c r="BA257" i="7"/>
  <c r="BA6" i="9"/>
  <c r="BA247" i="7"/>
  <c r="BA246" i="7" s="1"/>
  <c r="BA243" i="7"/>
  <c r="BA242" i="7" s="1"/>
  <c r="BA265" i="7"/>
  <c r="BA264" i="7" s="1"/>
  <c r="BA118" i="7"/>
  <c r="BA114" i="7"/>
  <c r="AZ7" i="9" l="1"/>
  <c r="AZ5" i="9" s="1"/>
  <c r="AZ137" i="7"/>
  <c r="AY174" i="7"/>
  <c r="AY207" i="7"/>
  <c r="AY183" i="7" s="1"/>
  <c r="AV107" i="7"/>
  <c r="AV149" i="7"/>
  <c r="M35" i="10"/>
  <c r="AW218" i="7"/>
  <c r="AW20" i="9"/>
  <c r="AU102" i="7"/>
  <c r="AU105" i="7"/>
  <c r="AU142" i="7"/>
  <c r="K13" i="10" s="1"/>
  <c r="AU154" i="7"/>
  <c r="AX212" i="7"/>
  <c r="AX217" i="7" s="1"/>
  <c r="AX14" i="9"/>
  <c r="N30" i="10"/>
  <c r="BB5" i="7"/>
  <c r="BB8" i="7"/>
  <c r="R5" i="10"/>
  <c r="BA253" i="7"/>
  <c r="BB257" i="7"/>
  <c r="BB253" i="7" s="1"/>
  <c r="BA237" i="7"/>
  <c r="BA168" i="7" s="1"/>
  <c r="BA164" i="7" s="1"/>
  <c r="BA54" i="9"/>
  <c r="BA52" i="9" s="1"/>
  <c r="BA51" i="9" s="1"/>
  <c r="BA128" i="7"/>
  <c r="BA127" i="7" s="1"/>
  <c r="AU103" i="7" l="1"/>
  <c r="AU130" i="7"/>
  <c r="AU132" i="7"/>
  <c r="AU133" i="7" s="1"/>
  <c r="M36" i="10"/>
  <c r="M43" i="10"/>
  <c r="M46" i="10"/>
  <c r="AV142" i="7"/>
  <c r="L13" i="10" s="1"/>
  <c r="AV154" i="7"/>
  <c r="AX218" i="7"/>
  <c r="N35" i="10"/>
  <c r="AX20" i="9"/>
  <c r="AV105" i="7"/>
  <c r="AV102" i="7"/>
  <c r="AV132" i="7" s="1"/>
  <c r="AV133" i="7" s="1"/>
  <c r="AW22" i="9"/>
  <c r="AX72" i="9"/>
  <c r="N50" i="10" s="1"/>
  <c r="AW21" i="9"/>
  <c r="AW67" i="9"/>
  <c r="AW30" i="9"/>
  <c r="BB113" i="7"/>
  <c r="BB57" i="7"/>
  <c r="BB79" i="7"/>
  <c r="BB6" i="9" s="1"/>
  <c r="AY184" i="7"/>
  <c r="O26" i="10"/>
  <c r="O28" i="10" s="1"/>
  <c r="AY12" i="9"/>
  <c r="AY185" i="7"/>
  <c r="AY210" i="7"/>
  <c r="R6" i="10"/>
  <c r="R9" i="10"/>
  <c r="R24" i="10"/>
  <c r="AX16" i="9"/>
  <c r="N32" i="10"/>
  <c r="N33" i="10" s="1"/>
  <c r="P11" i="10"/>
  <c r="P12" i="10" s="1"/>
  <c r="AZ138" i="7"/>
  <c r="AZ140" i="7" s="1"/>
  <c r="AZ139" i="7"/>
  <c r="AZ158" i="7"/>
  <c r="BA167" i="7"/>
  <c r="BA11" i="9"/>
  <c r="Q20" i="10"/>
  <c r="Q21" i="10" s="1"/>
  <c r="BA7" i="9"/>
  <c r="BA5" i="9" s="1"/>
  <c r="BA137" i="7"/>
  <c r="BB114" i="7" l="1"/>
  <c r="BB265" i="7"/>
  <c r="BB264" i="7" s="1"/>
  <c r="BB247" i="7"/>
  <c r="BB246" i="7" s="1"/>
  <c r="BB118" i="7"/>
  <c r="BB243" i="7"/>
  <c r="BB242" i="7" s="1"/>
  <c r="M45" i="10"/>
  <c r="AW29" i="9"/>
  <c r="AX67" i="9"/>
  <c r="AX22" i="9"/>
  <c r="AX21" i="9"/>
  <c r="AY72" i="9"/>
  <c r="O50" i="10" s="1"/>
  <c r="N43" i="10"/>
  <c r="N46" i="10"/>
  <c r="N36" i="10"/>
  <c r="AY14" i="9"/>
  <c r="AY212" i="7"/>
  <c r="O30" i="10"/>
  <c r="AW151" i="7"/>
  <c r="AW254" i="7"/>
  <c r="AW256" i="7" s="1"/>
  <c r="AX30" i="9"/>
  <c r="AW75" i="9"/>
  <c r="M48" i="10" s="1"/>
  <c r="AV103" i="7"/>
  <c r="AV130" i="7"/>
  <c r="AZ162" i="7"/>
  <c r="AZ179" i="7"/>
  <c r="AZ180" i="7" s="1"/>
  <c r="BA158" i="7"/>
  <c r="BA139" i="7"/>
  <c r="BA138" i="7"/>
  <c r="BA140" i="7" s="1"/>
  <c r="Q11" i="10"/>
  <c r="Q12" i="10" s="1"/>
  <c r="BB237" i="7" l="1"/>
  <c r="BB168" i="7" s="1"/>
  <c r="BB164" i="7" s="1"/>
  <c r="R20" i="10" s="1"/>
  <c r="R21" i="10" s="1"/>
  <c r="BB54" i="9"/>
  <c r="BB52" i="9" s="1"/>
  <c r="BB51" i="9" s="1"/>
  <c r="BB128" i="7"/>
  <c r="BB127" i="7" s="1"/>
  <c r="AW152" i="7"/>
  <c r="AW107" i="7" s="1"/>
  <c r="AW28" i="9"/>
  <c r="AW69" i="9" s="1"/>
  <c r="AY16" i="9"/>
  <c r="O32" i="10"/>
  <c r="O33" i="10" s="1"/>
  <c r="AX151" i="7"/>
  <c r="AX254" i="7"/>
  <c r="AX256" i="7" s="1"/>
  <c r="AX29" i="9"/>
  <c r="N45" i="10"/>
  <c r="AX75" i="9"/>
  <c r="N48" i="10" s="1"/>
  <c r="BB11" i="9"/>
  <c r="BB167" i="7"/>
  <c r="AZ174" i="7"/>
  <c r="AZ207" i="7"/>
  <c r="AZ183" i="7" s="1"/>
  <c r="AY217" i="7"/>
  <c r="BA162" i="7"/>
  <c r="BA179" i="7"/>
  <c r="BA180" i="7" s="1"/>
  <c r="AW149" i="7" l="1"/>
  <c r="AW154" i="7" s="1"/>
  <c r="AX152" i="7"/>
  <c r="AX107" i="7" s="1"/>
  <c r="AX28" i="9"/>
  <c r="AX69" i="9" s="1"/>
  <c r="O35" i="10"/>
  <c r="AY218" i="7"/>
  <c r="AY20" i="9"/>
  <c r="BB7" i="9"/>
  <c r="BB5" i="9" s="1"/>
  <c r="BB137" i="7"/>
  <c r="AZ12" i="9"/>
  <c r="P26" i="10"/>
  <c r="P28" i="10" s="1"/>
  <c r="AZ210" i="7"/>
  <c r="AZ185" i="7"/>
  <c r="AZ184" i="7"/>
  <c r="AW102" i="7"/>
  <c r="AW105" i="7"/>
  <c r="BA174" i="7"/>
  <c r="BA207" i="7"/>
  <c r="BA183" i="7" s="1"/>
  <c r="AW142" i="7" l="1"/>
  <c r="M13" i="10" s="1"/>
  <c r="O46" i="10"/>
  <c r="O43" i="10"/>
  <c r="O36" i="10"/>
  <c r="BB158" i="7"/>
  <c r="BB138" i="7"/>
  <c r="BB140" i="7" s="1"/>
  <c r="BB139" i="7"/>
  <c r="R11" i="10"/>
  <c r="R12" i="10" s="1"/>
  <c r="AZ72" i="9"/>
  <c r="P50" i="10" s="1"/>
  <c r="AY21" i="9"/>
  <c r="AY22" i="9"/>
  <c r="AY67" i="9"/>
  <c r="AY30" i="9"/>
  <c r="AW130" i="7"/>
  <c r="AW132" i="7"/>
  <c r="AW133" i="7" s="1"/>
  <c r="AW103" i="7"/>
  <c r="AX105" i="7"/>
  <c r="AX102" i="7"/>
  <c r="AZ212" i="7"/>
  <c r="P30" i="10"/>
  <c r="AZ14" i="9"/>
  <c r="AX149" i="7"/>
  <c r="BA184" i="7"/>
  <c r="Q26" i="10"/>
  <c r="Q28" i="10" s="1"/>
  <c r="BA185" i="7"/>
  <c r="BA12" i="9"/>
  <c r="BA210" i="7"/>
  <c r="AY254" i="7" l="1"/>
  <c r="AY256" i="7" s="1"/>
  <c r="AY151" i="7"/>
  <c r="AY75" i="9"/>
  <c r="O48" i="10" s="1"/>
  <c r="O45" i="10"/>
  <c r="AY29" i="9"/>
  <c r="AX154" i="7"/>
  <c r="AX142" i="7"/>
  <c r="N13" i="10" s="1"/>
  <c r="AZ16" i="9"/>
  <c r="P32" i="10"/>
  <c r="P33" i="10" s="1"/>
  <c r="AZ217" i="7"/>
  <c r="AX103" i="7"/>
  <c r="AX130" i="7"/>
  <c r="AX132" i="7"/>
  <c r="AX133" i="7" s="1"/>
  <c r="BB162" i="7"/>
  <c r="BB179" i="7"/>
  <c r="BB180" i="7" s="1"/>
  <c r="Q30" i="10"/>
  <c r="BA14" i="9"/>
  <c r="BA212" i="7"/>
  <c r="AZ20" i="9" l="1"/>
  <c r="P35" i="10"/>
  <c r="AZ218" i="7"/>
  <c r="AY152" i="7"/>
  <c r="AY28" i="9"/>
  <c r="AY69" i="9" s="1"/>
  <c r="BB174" i="7"/>
  <c r="BB207" i="7"/>
  <c r="BB183" i="7" s="1"/>
  <c r="Q32" i="10"/>
  <c r="Q33" i="10" s="1"/>
  <c r="BA16" i="9"/>
  <c r="BA217" i="7"/>
  <c r="BB12" i="9" l="1"/>
  <c r="R26" i="10"/>
  <c r="R28" i="10" s="1"/>
  <c r="BB184" i="7"/>
  <c r="BB185" i="7"/>
  <c r="BB210" i="7"/>
  <c r="AY107" i="7"/>
  <c r="AY149" i="7"/>
  <c r="P46" i="10"/>
  <c r="P36" i="10"/>
  <c r="P43" i="10"/>
  <c r="AZ22" i="9"/>
  <c r="AZ21" i="9"/>
  <c r="BA72" i="9"/>
  <c r="Q50" i="10" s="1"/>
  <c r="AZ67" i="9"/>
  <c r="AZ30" i="9"/>
  <c r="BA20" i="9"/>
  <c r="BA218" i="7"/>
  <c r="Q35" i="10"/>
  <c r="AY142" i="7" l="1"/>
  <c r="O13" i="10" s="1"/>
  <c r="AY154" i="7"/>
  <c r="AY102" i="7"/>
  <c r="AY105" i="7"/>
  <c r="AZ29" i="9"/>
  <c r="AZ75" i="9"/>
  <c r="P48" i="10" s="1"/>
  <c r="P45" i="10"/>
  <c r="BB212" i="7"/>
  <c r="BB14" i="9"/>
  <c r="R30" i="10"/>
  <c r="AZ254" i="7"/>
  <c r="AZ256" i="7" s="1"/>
  <c r="AZ151" i="7"/>
  <c r="Q43" i="10"/>
  <c r="Q46" i="10"/>
  <c r="Q36" i="10"/>
  <c r="BA67" i="9"/>
  <c r="BA75" i="9" s="1"/>
  <c r="Q48" i="10" s="1"/>
  <c r="BA21" i="9"/>
  <c r="BA22" i="9"/>
  <c r="BB72" i="9"/>
  <c r="R50" i="10" s="1"/>
  <c r="BA30" i="9"/>
  <c r="R32" i="10" l="1"/>
  <c r="R33" i="10" s="1"/>
  <c r="BB16" i="9"/>
  <c r="AY132" i="7"/>
  <c r="AY133" i="7" s="1"/>
  <c r="AY130" i="7"/>
  <c r="AY103" i="7"/>
  <c r="BB217" i="7"/>
  <c r="AZ28" i="9"/>
  <c r="AZ69" i="9" s="1"/>
  <c r="AZ152" i="7"/>
  <c r="BA29" i="9"/>
  <c r="BA254" i="7"/>
  <c r="BA256" i="7" s="1"/>
  <c r="BA151" i="7"/>
  <c r="Q45" i="10"/>
  <c r="AZ107" i="7" l="1"/>
  <c r="AZ149" i="7"/>
  <c r="BB20" i="9"/>
  <c r="R35" i="10"/>
  <c r="BB218" i="7"/>
  <c r="BA28" i="9"/>
  <c r="BA69" i="9" s="1"/>
  <c r="BA152" i="7"/>
  <c r="BA107" i="7" s="1"/>
  <c r="AZ154" i="7" l="1"/>
  <c r="AZ142" i="7"/>
  <c r="P13" i="10" s="1"/>
  <c r="R46" i="10"/>
  <c r="R43" i="10"/>
  <c r="R36" i="10"/>
  <c r="BB22" i="9"/>
  <c r="BB21" i="9"/>
  <c r="BB67" i="9"/>
  <c r="BB30" i="9"/>
  <c r="AZ102" i="7"/>
  <c r="AZ105" i="7"/>
  <c r="BA149" i="7"/>
  <c r="BA105" i="7"/>
  <c r="BA102" i="7"/>
  <c r="AZ103" i="7" l="1"/>
  <c r="AZ130" i="7"/>
  <c r="AZ132" i="7"/>
  <c r="AZ133" i="7" s="1"/>
  <c r="BB254" i="7"/>
  <c r="BB256" i="7" s="1"/>
  <c r="BB151" i="7"/>
  <c r="R45" i="10"/>
  <c r="BB29" i="9"/>
  <c r="BB75" i="9"/>
  <c r="R48" i="10" s="1"/>
  <c r="U21" i="10" s="1"/>
  <c r="U40" i="10" s="1"/>
  <c r="U41" i="10" s="1"/>
  <c r="BA132" i="7"/>
  <c r="BA133" i="7" s="1"/>
  <c r="BA103" i="7"/>
  <c r="BA130" i="7"/>
  <c r="BA142" i="7"/>
  <c r="Q13" i="10" s="1"/>
  <c r="BA154" i="7"/>
  <c r="BB152" i="7" l="1"/>
  <c r="BB28" i="9"/>
  <c r="BB69" i="9" s="1"/>
  <c r="BB107" i="7" l="1"/>
  <c r="BB149" i="7"/>
  <c r="BB154" i="7" l="1"/>
  <c r="BB142" i="7"/>
  <c r="R13" i="10" s="1"/>
  <c r="BB102" i="7"/>
  <c r="BB105" i="7"/>
  <c r="BB132" i="7" l="1"/>
  <c r="BB133" i="7" s="1"/>
  <c r="BB130" i="7"/>
  <c r="BB10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H6" authorId="0" shapeId="0" xr:uid="{23D9A1B4-4790-4820-8DEB-0F51D1F27090}">
      <text>
        <r>
          <rPr>
            <b/>
            <sz val="9"/>
            <color indexed="81"/>
            <rFont val="Tahoma"/>
            <family val="2"/>
          </rPr>
          <t>usuario:</t>
        </r>
        <r>
          <rPr>
            <sz val="9"/>
            <color indexed="81"/>
            <rFont val="Tahoma"/>
            <family val="2"/>
          </rPr>
          <t xml:space="preserve">
10-15%</t>
        </r>
      </text>
    </comment>
    <comment ref="I6" authorId="0" shapeId="0" xr:uid="{7DE6CAD0-90F1-42AD-8B6D-9CB02BA50898}">
      <text>
        <r>
          <rPr>
            <b/>
            <sz val="9"/>
            <color indexed="81"/>
            <rFont val="Tahoma"/>
            <family val="2"/>
          </rPr>
          <t>usuario:</t>
        </r>
        <r>
          <rPr>
            <sz val="9"/>
            <color indexed="81"/>
            <rFont val="Tahoma"/>
            <family val="2"/>
          </rPr>
          <t xml:space="preserve">
guidance 5-10%</t>
        </r>
      </text>
    </comment>
    <comment ref="H9" authorId="0" shapeId="0" xr:uid="{80617323-4B5B-49D8-B383-4AB2529092A6}">
      <text>
        <r>
          <rPr>
            <b/>
            <sz val="9"/>
            <color indexed="81"/>
            <rFont val="Tahoma"/>
            <family val="2"/>
          </rPr>
          <t>usuario:</t>
        </r>
        <r>
          <rPr>
            <sz val="9"/>
            <color indexed="81"/>
            <rFont val="Tahoma"/>
            <family val="2"/>
          </rPr>
          <t xml:space="preserve">
Lower than 1,8%</t>
        </r>
      </text>
    </comment>
    <comment ref="H13" authorId="0" shapeId="0" xr:uid="{A16F295E-4BE2-4E6A-9BAA-3432E512897A}">
      <text>
        <r>
          <rPr>
            <b/>
            <sz val="9"/>
            <color indexed="81"/>
            <rFont val="Tahoma"/>
            <family val="2"/>
          </rPr>
          <t>usuario:</t>
        </r>
        <r>
          <rPr>
            <sz val="9"/>
            <color indexed="81"/>
            <rFont val="Tahoma"/>
            <family val="2"/>
          </rPr>
          <t xml:space="preserve">
6 - 6,5%</t>
        </r>
      </text>
    </comment>
    <comment ref="I13" authorId="0" shapeId="0" xr:uid="{D421EED8-E21A-4756-B219-03EF4AB10BC9}">
      <text>
        <r>
          <rPr>
            <b/>
            <sz val="9"/>
            <color indexed="81"/>
            <rFont val="Tahoma"/>
            <family val="2"/>
          </rPr>
          <t>usuario:</t>
        </r>
        <r>
          <rPr>
            <sz val="9"/>
            <color indexed="81"/>
            <rFont val="Tahoma"/>
            <family val="2"/>
          </rPr>
          <t xml:space="preserve">
guidance 6-6,3%</t>
        </r>
      </text>
    </comment>
    <comment ref="H24" authorId="0" shapeId="0" xr:uid="{1B03AB31-7DAA-484F-9780-220F72B67E2D}">
      <text>
        <r>
          <rPr>
            <b/>
            <sz val="9"/>
            <color indexed="81"/>
            <rFont val="Tahoma"/>
            <family val="2"/>
          </rPr>
          <t>usuario:</t>
        </r>
        <r>
          <rPr>
            <sz val="9"/>
            <color indexed="81"/>
            <rFont val="Tahoma"/>
            <family val="2"/>
          </rPr>
          <t xml:space="preserve">
0,7-0,9%</t>
        </r>
      </text>
    </comment>
    <comment ref="I24" authorId="0" shapeId="0" xr:uid="{9DD486FB-93EB-4349-973E-26447379D298}">
      <text>
        <r>
          <rPr>
            <b/>
            <sz val="9"/>
            <color indexed="81"/>
            <rFont val="Tahoma"/>
            <family val="2"/>
          </rPr>
          <t>usuario:</t>
        </r>
        <r>
          <rPr>
            <sz val="9"/>
            <color indexed="81"/>
            <rFont val="Tahoma"/>
            <family val="2"/>
          </rPr>
          <t xml:space="preserve">
guidance 0,8-1%</t>
        </r>
      </text>
    </comment>
    <comment ref="H28" authorId="0" shapeId="0" xr:uid="{0EA42CB4-37D2-471A-9A3F-D83C43384CD3}">
      <text>
        <r>
          <rPr>
            <b/>
            <sz val="9"/>
            <color indexed="81"/>
            <rFont val="Tahoma"/>
            <family val="2"/>
          </rPr>
          <t>usuario:</t>
        </r>
        <r>
          <rPr>
            <sz val="9"/>
            <color indexed="81"/>
            <rFont val="Tahoma"/>
            <family val="2"/>
          </rPr>
          <t xml:space="preserve">
40-42%</t>
        </r>
      </text>
    </comment>
    <comment ref="H36" authorId="0" shapeId="0" xr:uid="{734E374F-C2E2-409C-89A0-4F340DC81AC5}">
      <text>
        <r>
          <rPr>
            <b/>
            <sz val="9"/>
            <color indexed="81"/>
            <rFont val="Tahoma"/>
            <family val="2"/>
          </rPr>
          <t>usuario:</t>
        </r>
        <r>
          <rPr>
            <sz val="9"/>
            <color indexed="81"/>
            <rFont val="Tahoma"/>
            <family val="2"/>
          </rPr>
          <t xml:space="preserve">
5-10%</t>
        </r>
      </text>
    </comment>
    <comment ref="I36" authorId="0" shapeId="0" xr:uid="{D8D4B23E-D8C6-4EB7-B322-641675E5A6F6}">
      <text>
        <r>
          <rPr>
            <b/>
            <sz val="9"/>
            <color indexed="81"/>
            <rFont val="Tahoma"/>
            <family val="2"/>
          </rPr>
          <t>usuario:</t>
        </r>
        <r>
          <rPr>
            <sz val="9"/>
            <color indexed="81"/>
            <rFont val="Tahoma"/>
            <family val="2"/>
          </rPr>
          <t xml:space="preserve">
guidance 
5-10%</t>
        </r>
      </text>
    </comment>
    <comment ref="J36" authorId="0" shapeId="0" xr:uid="{2A83EC3E-FF6C-468D-BB8E-5B74B517B816}">
      <text>
        <r>
          <rPr>
            <b/>
            <sz val="9"/>
            <color indexed="81"/>
            <rFont val="Tahoma"/>
            <family val="2"/>
          </rPr>
          <t>usuario:</t>
        </r>
        <r>
          <rPr>
            <sz val="9"/>
            <color indexed="81"/>
            <rFont val="Tahoma"/>
            <family val="2"/>
          </rPr>
          <t xml:space="preserve">
guidance </t>
        </r>
      </text>
    </comment>
    <comment ref="H48" authorId="0" shapeId="0" xr:uid="{A26974A4-BBC3-49D3-A305-EA622A76D548}">
      <text>
        <r>
          <rPr>
            <b/>
            <sz val="9"/>
            <color indexed="81"/>
            <rFont val="Tahoma"/>
            <family val="2"/>
          </rPr>
          <t>usuario:</t>
        </r>
        <r>
          <rPr>
            <sz val="9"/>
            <color indexed="81"/>
            <rFont val="Tahoma"/>
            <family val="2"/>
          </rPr>
          <t xml:space="preserve">
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camil</author>
    <author>Usuario de Windows</author>
    <author>Camila Rivilli</author>
  </authors>
  <commentList>
    <comment ref="AQ8" authorId="0" shapeId="0" xr:uid="{E931911F-08EE-4D6A-98F6-3456582DDEC6}">
      <text>
        <r>
          <rPr>
            <b/>
            <sz val="9"/>
            <color indexed="81"/>
            <rFont val="Tahoma"/>
            <family val="2"/>
          </rPr>
          <t>usuario:</t>
        </r>
        <r>
          <rPr>
            <sz val="9"/>
            <color indexed="81"/>
            <rFont val="Tahoma"/>
            <family val="2"/>
          </rPr>
          <t xml:space="preserve">
guidance:
12-17%</t>
        </r>
      </text>
    </comment>
    <comment ref="AR8" authorId="0" shapeId="0" xr:uid="{4C9A3FB8-251A-4AF7-AFEC-9D9CC65E7D8B}">
      <text>
        <r>
          <rPr>
            <b/>
            <sz val="9"/>
            <color indexed="81"/>
            <rFont val="Tahoma"/>
            <family val="2"/>
          </rPr>
          <t>usuario:</t>
        </r>
        <r>
          <rPr>
            <sz val="9"/>
            <color indexed="81"/>
            <rFont val="Tahoma"/>
            <family val="2"/>
          </rPr>
          <t xml:space="preserve">
Guidance:
7 - 10%
</t>
        </r>
      </text>
    </comment>
    <comment ref="AQ39" authorId="0" shapeId="0" xr:uid="{8A3D70A7-556E-4829-8589-70C1D3886019}">
      <text>
        <r>
          <rPr>
            <b/>
            <sz val="9"/>
            <color indexed="81"/>
            <rFont val="Tahoma"/>
            <family val="2"/>
          </rPr>
          <t>usuario:</t>
        </r>
        <r>
          <rPr>
            <sz val="9"/>
            <color indexed="81"/>
            <rFont val="Tahoma"/>
            <family val="2"/>
          </rPr>
          <t xml:space="preserve">
Guidance
Below 1,8%</t>
        </r>
      </text>
    </comment>
    <comment ref="AR39" authorId="0" shapeId="0" xr:uid="{986CE220-D774-4AD9-8B51-F30FA989E949}">
      <text>
        <r>
          <rPr>
            <b/>
            <sz val="9"/>
            <color indexed="81"/>
            <rFont val="Tahoma"/>
            <family val="2"/>
          </rPr>
          <t>usuario:</t>
        </r>
        <r>
          <rPr>
            <sz val="9"/>
            <color indexed="81"/>
            <rFont val="Tahoma"/>
            <family val="2"/>
          </rPr>
          <t xml:space="preserve">
Guidance
Below 1,8%</t>
        </r>
      </text>
    </comment>
    <comment ref="AS57" authorId="0" shapeId="0" xr:uid="{614AA483-88EC-43A6-AB86-D5556E25DECB}">
      <text>
        <r>
          <rPr>
            <b/>
            <sz val="9"/>
            <color indexed="81"/>
            <rFont val="Tahoma"/>
            <family val="2"/>
          </rPr>
          <t>usuario:</t>
        </r>
        <r>
          <rPr>
            <sz val="9"/>
            <color indexed="81"/>
            <rFont val="Tahoma"/>
            <family val="2"/>
          </rPr>
          <t xml:space="preserve">
guidance
below 1,8%
</t>
        </r>
      </text>
    </comment>
    <comment ref="X64" authorId="1" shapeId="0" xr:uid="{CCA7E861-BB5B-48C6-9A37-BAE2D6087140}">
      <text>
        <r>
          <rPr>
            <b/>
            <sz val="9"/>
            <color indexed="81"/>
            <rFont val="Tahoma"/>
            <family val="2"/>
          </rPr>
          <t>camil:</t>
        </r>
        <r>
          <rPr>
            <sz val="9"/>
            <color indexed="81"/>
            <rFont val="Tahoma"/>
            <family val="2"/>
          </rPr>
          <t xml:space="preserve">
limpieza de HEY. (Ver)</t>
        </r>
      </text>
    </comment>
    <comment ref="A67" authorId="2" shapeId="0" xr:uid="{00000000-0006-0000-0100-000001000000}">
      <text>
        <r>
          <rPr>
            <b/>
            <sz val="9"/>
            <color indexed="81"/>
            <rFont val="Tahoma"/>
            <family val="2"/>
          </rPr>
          <t>Usuario de Windows:</t>
        </r>
        <r>
          <rPr>
            <sz val="9"/>
            <color indexed="81"/>
            <rFont val="Tahoma"/>
            <family val="2"/>
          </rPr>
          <t xml:space="preserve">
porque lo llaman "reservas netas"?</t>
        </r>
      </text>
    </comment>
    <comment ref="AQ114" authorId="0" shapeId="0" xr:uid="{19BD27E6-A395-453C-93AA-B4202123BBA7}">
      <text>
        <r>
          <rPr>
            <b/>
            <sz val="9"/>
            <color indexed="81"/>
            <rFont val="Tahoma"/>
            <family val="2"/>
          </rPr>
          <t>usuario:</t>
        </r>
        <r>
          <rPr>
            <sz val="9"/>
            <color indexed="81"/>
            <rFont val="Tahoma"/>
            <family val="2"/>
          </rPr>
          <t xml:space="preserve">
guidance:
10-15%</t>
        </r>
      </text>
    </comment>
    <comment ref="AR114" authorId="0" shapeId="0" xr:uid="{EAE2AC76-A5CB-420D-937C-B512E4EE546D}">
      <text>
        <r>
          <rPr>
            <b/>
            <sz val="9"/>
            <color indexed="81"/>
            <rFont val="Tahoma"/>
            <family val="2"/>
          </rPr>
          <t>usuario:</t>
        </r>
        <r>
          <rPr>
            <sz val="9"/>
            <color indexed="81"/>
            <rFont val="Tahoma"/>
            <family val="2"/>
          </rPr>
          <t xml:space="preserve">
Guidance:
7-10%
</t>
        </r>
      </text>
    </comment>
    <comment ref="AR138" authorId="1" shapeId="0" xr:uid="{8BBAA7BB-CAA6-451D-9612-5D46F9720E96}">
      <text>
        <r>
          <rPr>
            <b/>
            <sz val="9"/>
            <color indexed="81"/>
            <rFont val="Tahoma"/>
            <family val="2"/>
          </rPr>
          <t>camil:</t>
        </r>
        <r>
          <rPr>
            <sz val="9"/>
            <color indexed="81"/>
            <rFont val="Tahoma"/>
            <family val="2"/>
          </rPr>
          <t xml:space="preserve">
cada 100bps que se mueve la tasa, NIM se mueve 13-16bps</t>
        </r>
      </text>
    </comment>
    <comment ref="A142" authorId="0" shapeId="0" xr:uid="{E54D84F1-E1A9-4EF0-9346-380992E6EB2D}">
      <text>
        <r>
          <rPr>
            <b/>
            <sz val="9"/>
            <color indexed="81"/>
            <rFont val="Tahoma"/>
            <family val="2"/>
          </rPr>
          <t>usuario:</t>
        </r>
        <r>
          <rPr>
            <sz val="9"/>
            <color indexed="81"/>
            <rFont val="Tahoma"/>
            <family val="2"/>
          </rPr>
          <t xml:space="preserve">
MIN: Margen financiero de los últimos 4 trimestres / Activos productivos promedio de los últimos 12
meses</t>
        </r>
      </text>
    </comment>
    <comment ref="AQ142" authorId="0" shapeId="0" xr:uid="{D04A02A1-A72C-45D1-AA8F-FBBF212FA667}">
      <text>
        <r>
          <rPr>
            <b/>
            <sz val="9"/>
            <color indexed="81"/>
            <rFont val="Tahoma"/>
            <family val="2"/>
          </rPr>
          <t>usuario:</t>
        </r>
        <r>
          <rPr>
            <sz val="9"/>
            <color indexed="81"/>
            <rFont val="Tahoma"/>
            <family val="2"/>
          </rPr>
          <t xml:space="preserve">
guidance
6,0 - 6,4%</t>
        </r>
      </text>
    </comment>
    <comment ref="AR142" authorId="0" shapeId="0" xr:uid="{B53825C9-A985-42E0-87EB-02D9954D87BB}">
      <text>
        <r>
          <rPr>
            <b/>
            <sz val="9"/>
            <color indexed="81"/>
            <rFont val="Tahoma"/>
            <family val="2"/>
          </rPr>
          <t>usuario:</t>
        </r>
        <r>
          <rPr>
            <sz val="9"/>
            <color indexed="81"/>
            <rFont val="Tahoma"/>
            <family val="2"/>
          </rPr>
          <t xml:space="preserve">
guidance 6 - 6,5%</t>
        </r>
      </text>
    </comment>
    <comment ref="AS142" authorId="0" shapeId="0" xr:uid="{9AD91BEB-20DB-4EF9-8137-45294BC61358}">
      <text>
        <r>
          <rPr>
            <b/>
            <sz val="9"/>
            <color indexed="81"/>
            <rFont val="Tahoma"/>
            <family val="2"/>
          </rPr>
          <t>usuario:</t>
        </r>
        <r>
          <rPr>
            <sz val="9"/>
            <color indexed="81"/>
            <rFont val="Tahoma"/>
            <family val="2"/>
          </rPr>
          <t xml:space="preserve">
guidance 
6-6,3%</t>
        </r>
      </text>
    </comment>
    <comment ref="AB161" authorId="3" shapeId="0" xr:uid="{1419BF4B-3B67-40A9-A408-256999BF57CC}">
      <text>
        <r>
          <rPr>
            <sz val="11"/>
            <color theme="1"/>
            <rFont val="Calibri"/>
            <family val="2"/>
            <scheme val="minor"/>
          </rPr>
          <t xml:space="preserve">Camila Rivilli:
</t>
        </r>
      </text>
    </comment>
    <comment ref="AQ161" authorId="0" shapeId="0" xr:uid="{79AABDBA-AB37-469F-9D37-4AF1C9FB7FCA}">
      <text>
        <r>
          <rPr>
            <b/>
            <sz val="9"/>
            <color indexed="81"/>
            <rFont val="Tahoma"/>
            <family val="2"/>
          </rPr>
          <t>usuario:</t>
        </r>
        <r>
          <rPr>
            <sz val="9"/>
            <color indexed="81"/>
            <rFont val="Tahoma"/>
            <family val="2"/>
          </rPr>
          <t xml:space="preserve">
Guidance 0,7-0,9%</t>
        </r>
      </text>
    </comment>
    <comment ref="AR161" authorId="0" shapeId="0" xr:uid="{5E8072E1-F97F-437F-B5C8-19EAE11A98B8}">
      <text>
        <r>
          <rPr>
            <b/>
            <sz val="9"/>
            <color indexed="81"/>
            <rFont val="Tahoma"/>
            <family val="2"/>
          </rPr>
          <t>usuario:</t>
        </r>
        <r>
          <rPr>
            <sz val="9"/>
            <color indexed="81"/>
            <rFont val="Tahoma"/>
            <family val="2"/>
          </rPr>
          <t xml:space="preserve">
guidance 0,8 -1%</t>
        </r>
      </text>
    </comment>
    <comment ref="AB172" authorId="0" shapeId="0" xr:uid="{F9A6AF5B-142E-4C38-AEC4-3DBCEABBF857}">
      <text>
        <r>
          <rPr>
            <b/>
            <sz val="9"/>
            <color indexed="81"/>
            <rFont val="Tahoma"/>
            <family val="2"/>
          </rPr>
          <t>usuario:</t>
        </r>
        <r>
          <rPr>
            <sz val="9"/>
            <color indexed="81"/>
            <rFont val="Tahoma"/>
            <family val="2"/>
          </rPr>
          <t xml:space="preserve">
reportaron un "other expenses" de 110mln. 
Que es??? Provisiones???</t>
        </r>
      </text>
    </comment>
    <comment ref="AC172" authorId="0" shapeId="0" xr:uid="{C4C68EF6-E1B4-4C80-A00D-40D9332B5C1D}">
      <text>
        <r>
          <rPr>
            <b/>
            <sz val="9"/>
            <color indexed="81"/>
            <rFont val="Tahoma"/>
            <family val="2"/>
          </rPr>
          <t>usuario:</t>
        </r>
        <r>
          <rPr>
            <sz val="9"/>
            <color indexed="81"/>
            <rFont val="Tahoma"/>
            <family val="2"/>
          </rPr>
          <t xml:space="preserve">
+238 ingresos extraorinarios</t>
        </r>
      </text>
    </comment>
    <comment ref="A173" authorId="1" shapeId="0" xr:uid="{C43CC747-0ED4-4456-8B45-DBF82260A838}">
      <text>
        <r>
          <rPr>
            <b/>
            <sz val="9"/>
            <color indexed="81"/>
            <rFont val="Tahoma"/>
            <family val="2"/>
          </rPr>
          <t>camil:</t>
        </r>
        <r>
          <rPr>
            <sz val="9"/>
            <color indexed="81"/>
            <rFont val="Tahoma"/>
            <family val="2"/>
          </rPr>
          <t xml:space="preserve">
mayor parte de esto es IPAB. 0.25% de los depositos + otros gastos</t>
        </r>
      </text>
    </comment>
    <comment ref="AS184" authorId="0" shapeId="0" xr:uid="{58B6C00B-29E8-49E7-B930-05366069A1F9}">
      <text>
        <r>
          <rPr>
            <b/>
            <sz val="9"/>
            <color indexed="81"/>
            <rFont val="Tahoma"/>
            <family val="2"/>
          </rPr>
          <t>usuario:</t>
        </r>
        <r>
          <rPr>
            <sz val="9"/>
            <color indexed="81"/>
            <rFont val="Tahoma"/>
            <family val="2"/>
          </rPr>
          <t xml:space="preserve">
soft guidance:
"low DD growth"</t>
        </r>
      </text>
    </comment>
    <comment ref="A185" authorId="0" shapeId="0" xr:uid="{D5271F39-5481-44DD-A71C-88FAB7407D43}">
      <text>
        <r>
          <rPr>
            <b/>
            <sz val="9"/>
            <color indexed="81"/>
            <rFont val="Tahoma"/>
            <family val="2"/>
          </rPr>
          <t>usuario:</t>
        </r>
        <r>
          <rPr>
            <sz val="9"/>
            <color indexed="81"/>
            <rFont val="Tahoma"/>
            <family val="2"/>
          </rPr>
          <t xml:space="preserve">
Gastos de administración y promoción de los últimos 4 trimestres / (Margen
Financiero + Comisiones + Intermediación+ Otros ingresos) de los últimos 4 trimestres.</t>
        </r>
      </text>
    </comment>
    <comment ref="AQ185" authorId="0" shapeId="0" xr:uid="{C5918D44-C189-4D97-83DF-EA84238D54E3}">
      <text>
        <r>
          <rPr>
            <b/>
            <sz val="9"/>
            <color indexed="81"/>
            <rFont val="Tahoma"/>
            <family val="2"/>
          </rPr>
          <t>usuario:</t>
        </r>
        <r>
          <rPr>
            <sz val="9"/>
            <color indexed="81"/>
            <rFont val="Tahoma"/>
            <family val="2"/>
          </rPr>
          <t xml:space="preserve">
guidance
40-42%</t>
        </r>
      </text>
    </comment>
    <comment ref="AR185" authorId="0" shapeId="0" xr:uid="{81D8A73E-2F5D-439E-AC69-21CB8F57F77E}">
      <text>
        <r>
          <rPr>
            <b/>
            <sz val="9"/>
            <color indexed="81"/>
            <rFont val="Tahoma"/>
            <family val="2"/>
          </rPr>
          <t>usuario:</t>
        </r>
        <r>
          <rPr>
            <sz val="9"/>
            <color indexed="81"/>
            <rFont val="Tahoma"/>
            <family val="2"/>
          </rPr>
          <t xml:space="preserve">
guidance
40-42%</t>
        </r>
      </text>
    </comment>
    <comment ref="Z196" authorId="0" shapeId="0" xr:uid="{A230F9DD-BF14-4DFA-BD29-97A4E6457395}">
      <text>
        <r>
          <rPr>
            <b/>
            <sz val="9"/>
            <color indexed="81"/>
            <rFont val="Tahoma"/>
            <family val="2"/>
          </rPr>
          <t>usuario:</t>
        </r>
        <r>
          <rPr>
            <sz val="9"/>
            <color indexed="81"/>
            <rFont val="Tahoma"/>
            <family val="2"/>
          </rPr>
          <t xml:space="preserve">
Empezaron a mostrar una nueva linea de "Exchange" . 
(16 sucursales)</t>
        </r>
      </text>
    </comment>
    <comment ref="AQ218" authorId="0" shapeId="0" xr:uid="{C7E51BB5-DD8F-45E6-B09E-D94188327A0D}">
      <text>
        <r>
          <rPr>
            <b/>
            <sz val="9"/>
            <color indexed="81"/>
            <rFont val="Tahoma"/>
            <family val="2"/>
          </rPr>
          <t>usuario:</t>
        </r>
        <r>
          <rPr>
            <sz val="9"/>
            <color indexed="81"/>
            <rFont val="Tahoma"/>
            <family val="2"/>
          </rPr>
          <t xml:space="preserve">
guidance:
12-16%
</t>
        </r>
      </text>
    </comment>
    <comment ref="AR218" authorId="0" shapeId="0" xr:uid="{5AD4378D-9437-4ACA-AA3A-142FFFD1CD7A}">
      <text>
        <r>
          <rPr>
            <b/>
            <sz val="9"/>
            <color indexed="81"/>
            <rFont val="Tahoma"/>
            <family val="2"/>
          </rPr>
          <t>usuario:</t>
        </r>
        <r>
          <rPr>
            <sz val="9"/>
            <color indexed="81"/>
            <rFont val="Tahoma"/>
            <family val="2"/>
          </rPr>
          <t xml:space="preserve">
Guidance:
5 - 10%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jmauro</author>
    <author>tc={2D3DD3AA-5EBC-4BC5-8FA8-A02A15AF5C6C}</author>
    <author>tc={4958283A-9080-4BEF-A6B6-C24C0BF16B46}</author>
  </authors>
  <commentList>
    <comment ref="A26" authorId="0" shapeId="0" xr:uid="{9CBCE532-4F0A-4DC6-AB66-4F0973A46915}">
      <text>
        <r>
          <rPr>
            <b/>
            <sz val="9"/>
            <color indexed="81"/>
            <rFont val="Tahoma"/>
            <family val="2"/>
          </rPr>
          <t>jmauro:</t>
        </r>
        <r>
          <rPr>
            <sz val="9"/>
            <color indexed="81"/>
            <rFont val="Tahoma"/>
            <family val="2"/>
          </rPr>
          <t xml:space="preserve">
Estadisticas de CABA
subrubro - Patio de comidas, alimentos y kioscos
https://www.estadisticaciudad.gob.ar/eyc/?p=24338
</t>
        </r>
      </text>
    </comment>
    <comment ref="A39" authorId="1" shapeId="0" xr:uid="{2D3DD3AA-5EBC-4BC5-8FA8-A02A15AF5C6C}">
      <text>
        <t>[Threaded comment]
Your version of Excel allows you to read this threaded comment; however, any edits to it will get removed if the file is opened in a newer version of Excel. Learn more: https://go.microsoft.com/fwlink/?linkid=870924
Comment:
    @Jorge Mauro esta te la dejo toda a vos</t>
      </text>
    </comment>
    <comment ref="BE48" authorId="2" shapeId="0" xr:uid="{4958283A-9080-4BEF-A6B6-C24C0BF16B46}">
      <text>
        <t>[Threaded comment]
Your version of Excel allows you to read this threaded comment; however, any edits to it will get removed if the file is opened in a newer version of Excel. Learn more: https://go.microsoft.com/fwlink/?linkid=870924
Comment:
    SOFR</t>
      </text>
    </comment>
    <comment ref="A64" authorId="0" shapeId="0" xr:uid="{465A695D-068D-4B17-A048-278B128C793F}">
      <text>
        <r>
          <rPr>
            <b/>
            <sz val="9"/>
            <color indexed="81"/>
            <rFont val="Tahoma"/>
            <family val="2"/>
          </rPr>
          <t>jmauro:</t>
        </r>
        <r>
          <rPr>
            <sz val="9"/>
            <color indexed="81"/>
            <rFont val="Tahoma"/>
            <family val="2"/>
          </rPr>
          <t xml:space="preserve">
Estadisticas de CABA
subrubro - Patio de comidas, alimentos y kioscos
https://www.estadisticaciudad.gob.ar/eyc/?p=24338
</t>
        </r>
      </text>
    </comment>
    <comment ref="A86" authorId="0" shapeId="0" xr:uid="{1C0C3122-09A4-41D5-9135-D3020F77C168}">
      <text>
        <r>
          <rPr>
            <b/>
            <sz val="9"/>
            <color indexed="81"/>
            <rFont val="Tahoma"/>
            <family val="2"/>
          </rPr>
          <t>jmauro:</t>
        </r>
        <r>
          <rPr>
            <sz val="9"/>
            <color indexed="81"/>
            <rFont val="Tahoma"/>
            <family val="2"/>
          </rPr>
          <t xml:space="preserve">
Estadisticas de CABA
subrubro - Patio de comidas, alimentos y kioscos
https://www.estadisticaciudad.gob.ar/eyc/?p=24338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camil</author>
  </authors>
  <commentList>
    <comment ref="O72" authorId="0" shapeId="0" xr:uid="{77F265E7-52CF-4CDA-96B0-9055083F5962}">
      <text>
        <r>
          <rPr>
            <b/>
            <sz val="9"/>
            <color indexed="81"/>
            <rFont val="Tahoma"/>
            <family val="2"/>
          </rPr>
          <t>camil:</t>
        </r>
        <r>
          <rPr>
            <sz val="9"/>
            <color indexed="81"/>
            <rFont val="Tahoma"/>
            <family val="2"/>
          </rPr>
          <t xml:space="preserve">
Dividendo en efectivo a razón de $12.15 / acción. 
pagado a partir del día 12 de abril de 2022</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J3" authorId="0" shapeId="0" xr:uid="{114BBBAC-C6E3-4454-B574-C401CBF87D1B}">
      <text>
        <r>
          <rPr>
            <b/>
            <sz val="9"/>
            <color indexed="81"/>
            <rFont val="Tahoma"/>
            <family val="2"/>
          </rPr>
          <t>usuario:</t>
        </r>
        <r>
          <rPr>
            <sz val="9"/>
            <color indexed="81"/>
            <rFont val="Tahoma"/>
            <family val="2"/>
          </rPr>
          <t xml:space="preserve">
los datos de sustentabilidade ya incluyen Soma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<sst xmlns="http://schemas.openxmlformats.org/spreadsheetml/2006/main" count="458" uniqueCount="326">
  <si>
    <t>REGIONAL (mln MXN)</t>
  </si>
  <si>
    <t>Gross Loan</t>
  </si>
  <si>
    <t>yoy</t>
  </si>
  <si>
    <t>A Vencer</t>
  </si>
  <si>
    <t>Vencidos (NPL)</t>
  </si>
  <si>
    <t>% portfolio</t>
  </si>
  <si>
    <t xml:space="preserve"> </t>
  </si>
  <si>
    <t>Net Interest Rev</t>
  </si>
  <si>
    <t>share price</t>
  </si>
  <si>
    <t>NIM</t>
  </si>
  <si>
    <t>TP price</t>
  </si>
  <si>
    <t>Other Revenues</t>
  </si>
  <si>
    <t>ROE1</t>
  </si>
  <si>
    <t>Provisions</t>
  </si>
  <si>
    <t>ROE2</t>
  </si>
  <si>
    <t xml:space="preserve">% portfolio </t>
  </si>
  <si>
    <t>Other Expenses</t>
  </si>
  <si>
    <t>G1</t>
  </si>
  <si>
    <t>Ratio eficiencia</t>
  </si>
  <si>
    <t>G2</t>
  </si>
  <si>
    <t>EBT</t>
  </si>
  <si>
    <t>Ke</t>
  </si>
  <si>
    <t>N (moat)</t>
  </si>
  <si>
    <t>Tax</t>
  </si>
  <si>
    <t>rate</t>
  </si>
  <si>
    <t>INFL</t>
  </si>
  <si>
    <t>GDP Perp</t>
  </si>
  <si>
    <t>Net Income</t>
  </si>
  <si>
    <t>Aj. G2</t>
  </si>
  <si>
    <t>BNTNB</t>
  </si>
  <si>
    <t>ERP</t>
  </si>
  <si>
    <t>MULTIPLOS</t>
  </si>
  <si>
    <t>Beta</t>
  </si>
  <si>
    <t>Mkt Cap</t>
  </si>
  <si>
    <t>P/E Target</t>
  </si>
  <si>
    <t>Shares</t>
  </si>
  <si>
    <t>vs 2025</t>
  </si>
  <si>
    <t>EPS</t>
  </si>
  <si>
    <t>P/BV</t>
  </si>
  <si>
    <t>P/E</t>
  </si>
  <si>
    <t>ROE</t>
  </si>
  <si>
    <t>div yield</t>
  </si>
  <si>
    <t>IPC</t>
  </si>
  <si>
    <t>MX POLICY RATE</t>
  </si>
  <si>
    <t>REGIONAL (mln mex)</t>
  </si>
  <si>
    <t>NET LOAN PORTFOLIO</t>
  </si>
  <si>
    <t>Total Gross Loans</t>
  </si>
  <si>
    <t>STAGE 1 &amp; 2</t>
  </si>
  <si>
    <t>STAGE 3</t>
  </si>
  <si>
    <t>Allowances</t>
  </si>
  <si>
    <t>Other receivables</t>
  </si>
  <si>
    <t>Deferred Items</t>
  </si>
  <si>
    <t>LOAN BREAKDOWN STAGE 1&amp;2</t>
  </si>
  <si>
    <t>MORTGAGE</t>
  </si>
  <si>
    <t>CONSUMER</t>
  </si>
  <si>
    <t>TOTAL INDIVUDUALS</t>
  </si>
  <si>
    <t>BUSINESS LOANS</t>
  </si>
  <si>
    <t>FINANCIAL ENTITIES</t>
  </si>
  <si>
    <t>GOVERNMENT ENTITIES</t>
  </si>
  <si>
    <t>TOTAL COMMERCIAL</t>
  </si>
  <si>
    <t>TOTAL STAGE 1&amp;2</t>
  </si>
  <si>
    <t>YOY</t>
  </si>
  <si>
    <t>LOAN BREAKDOWN STAGE 3</t>
  </si>
  <si>
    <t>% total gross loan</t>
  </si>
  <si>
    <t>NON PERFORMING LOANS</t>
  </si>
  <si>
    <t>Balance ate beginning of period</t>
  </si>
  <si>
    <t>Transfer of perf loans to NPL</t>
  </si>
  <si>
    <t>Accured interests not charged</t>
  </si>
  <si>
    <t>NPL Reversals</t>
  </si>
  <si>
    <t>Paid credits</t>
  </si>
  <si>
    <t>W-O</t>
  </si>
  <si>
    <t>Transfers of NPL to perf portfolio</t>
  </si>
  <si>
    <t>Balance at the end of the period</t>
  </si>
  <si>
    <t>NPL CREATION</t>
  </si>
  <si>
    <t>W-O / STAGE 3 (T-1)</t>
  </si>
  <si>
    <t>LOAN LOSSES RESERVES AT T-1</t>
  </si>
  <si>
    <t>PROVISION CHARGE IN THE PERIOD</t>
  </si>
  <si>
    <t>WO / REVERSES</t>
  </si>
  <si>
    <t>LOAN LOSS RESERVE AT EOP</t>
  </si>
  <si>
    <t>PROVISIONS / NPL CREATION</t>
  </si>
  <si>
    <t>NPL W-O / LLR W-O</t>
  </si>
  <si>
    <t>INTEREST INCOME</t>
  </si>
  <si>
    <t>yield</t>
  </si>
  <si>
    <t>RFR</t>
  </si>
  <si>
    <t>Spread</t>
  </si>
  <si>
    <t>(X73-Y73)*10</t>
  </si>
  <si>
    <t>Estimated Yields</t>
  </si>
  <si>
    <t>FUNDING</t>
  </si>
  <si>
    <t>TOTAL FUNDING</t>
  </si>
  <si>
    <t>Funding / loans</t>
  </si>
  <si>
    <t>dif</t>
  </si>
  <si>
    <t>Value</t>
  </si>
  <si>
    <t>Demand Deposits</t>
  </si>
  <si>
    <t>Deposits</t>
  </si>
  <si>
    <t>% net portfolio</t>
  </si>
  <si>
    <t>Avg rate</t>
  </si>
  <si>
    <t>Time Deposits</t>
  </si>
  <si>
    <t>tasa ref</t>
  </si>
  <si>
    <t>Interest Expense - real -</t>
  </si>
  <si>
    <t>Cost of funding</t>
  </si>
  <si>
    <t>other cost of funding</t>
  </si>
  <si>
    <t>Cost of fundaing rate</t>
  </si>
  <si>
    <t>NET INTEREST INCOME</t>
  </si>
  <si>
    <t>NIM PORTFOLIO</t>
  </si>
  <si>
    <t>NIMAL</t>
  </si>
  <si>
    <t>NIM cia</t>
  </si>
  <si>
    <t>Total Interest Earning Assets</t>
  </si>
  <si>
    <t>Cartera Neta Total</t>
  </si>
  <si>
    <t>Securities</t>
  </si>
  <si>
    <t>Cash</t>
  </si>
  <si>
    <t>Cartera/total assets</t>
  </si>
  <si>
    <t>Net Interes Income</t>
  </si>
  <si>
    <t>Provisions of the period</t>
  </si>
  <si>
    <t>% stage 1/2</t>
  </si>
  <si>
    <t>% NII</t>
  </si>
  <si>
    <t>Non-interest Income</t>
  </si>
  <si>
    <t>Fee Income</t>
  </si>
  <si>
    <t>Pure Leasing</t>
  </si>
  <si>
    <t>Insurance</t>
  </si>
  <si>
    <t>Other</t>
  </si>
  <si>
    <t>Contributions to IPAB</t>
  </si>
  <si>
    <t xml:space="preserve"> IPAB as % of Revenue</t>
  </si>
  <si>
    <t>Total Income</t>
  </si>
  <si>
    <t>OK</t>
  </si>
  <si>
    <t>Otros gastos estructurales</t>
  </si>
  <si>
    <t>Efficiency Ratio</t>
  </si>
  <si>
    <t>Personnel Expenses</t>
  </si>
  <si>
    <t>qoq</t>
  </si>
  <si>
    <t># employees</t>
  </si>
  <si>
    <t>Change in # employees</t>
  </si>
  <si>
    <t>Avg salary per employee (in R$)</t>
  </si>
  <si>
    <t>Administrative Expenses</t>
  </si>
  <si>
    <t># branches</t>
  </si>
  <si>
    <t>Change in # branches</t>
  </si>
  <si>
    <t>Avg cost per branch (in R$)</t>
  </si>
  <si>
    <t>Depreciation and amortization</t>
  </si>
  <si>
    <t>Fixed Assets</t>
  </si>
  <si>
    <t>Expense as % of Fixed Assets</t>
  </si>
  <si>
    <t>Taxes other than income tax, VAT</t>
  </si>
  <si>
    <t>VAT as a % of operating revenues</t>
  </si>
  <si>
    <t>Income Tax</t>
  </si>
  <si>
    <t>tax rate</t>
  </si>
  <si>
    <t>Subsidiaries income</t>
  </si>
  <si>
    <t>NET INCOME</t>
  </si>
  <si>
    <t>Fee income, net</t>
  </si>
  <si>
    <t>Cards and Merchant Fees</t>
  </si>
  <si>
    <t>Services charged</t>
  </si>
  <si>
    <t>Current account services</t>
  </si>
  <si>
    <t>e-bank</t>
  </si>
  <si>
    <t>Trusts</t>
  </si>
  <si>
    <t>Transfers</t>
  </si>
  <si>
    <t>Other fees</t>
  </si>
  <si>
    <t>Otros</t>
  </si>
  <si>
    <t>Card related fees</t>
  </si>
  <si>
    <t>Retail Loans</t>
  </si>
  <si>
    <t>Income as % of Retail Loans</t>
  </si>
  <si>
    <t>Deposit related fees</t>
  </si>
  <si>
    <t>Total Deposits</t>
  </si>
  <si>
    <t>Income as % of Deposits</t>
  </si>
  <si>
    <t>Other Fee income</t>
  </si>
  <si>
    <t>Result by intermediation</t>
  </si>
  <si>
    <t>Net Investment in Securities</t>
  </si>
  <si>
    <t>Brokerage income as a % of securities portfolio</t>
  </si>
  <si>
    <t>Commercial Loans</t>
  </si>
  <si>
    <t>Income as % of Commercial Loans</t>
  </si>
  <si>
    <t>Other operating income/expense</t>
  </si>
  <si>
    <t>%</t>
  </si>
  <si>
    <t>INCOME STATEMENT</t>
  </si>
  <si>
    <t>NII</t>
  </si>
  <si>
    <t xml:space="preserve">    Interest Income</t>
  </si>
  <si>
    <t xml:space="preserve">    Interest Expense</t>
  </si>
  <si>
    <t>PDD</t>
  </si>
  <si>
    <t>Non-Interest Income</t>
  </si>
  <si>
    <t>Others</t>
  </si>
  <si>
    <t>mrgn</t>
  </si>
  <si>
    <t>BALANCE SHEET</t>
  </si>
  <si>
    <t>Total Assets</t>
  </si>
  <si>
    <t>Cash and Due from Banks</t>
  </si>
  <si>
    <t>Derivatives</t>
  </si>
  <si>
    <t>Debtors by Repo</t>
  </si>
  <si>
    <t>Total Gross Loans (Stage 1+2+3)</t>
  </si>
  <si>
    <t>Non-retail loans</t>
  </si>
  <si>
    <t>Business</t>
  </si>
  <si>
    <t>Financial entitities</t>
  </si>
  <si>
    <t>Government loans</t>
  </si>
  <si>
    <t>Retail</t>
  </si>
  <si>
    <t>Consumer</t>
  </si>
  <si>
    <t>Mortgage</t>
  </si>
  <si>
    <t>Other receivable (net)</t>
  </si>
  <si>
    <t>(Total Loan Loss Reserves)</t>
  </si>
  <si>
    <t>Property awarded</t>
  </si>
  <si>
    <t>Investments</t>
  </si>
  <si>
    <t>Real state, furniture and equipment</t>
  </si>
  <si>
    <t>Leasing</t>
  </si>
  <si>
    <t>Deferred taxes, goodwill and intangibles</t>
  </si>
  <si>
    <t>Other assets</t>
  </si>
  <si>
    <t>Total Liabilities</t>
  </si>
  <si>
    <t>Demand</t>
  </si>
  <si>
    <t>Time deposits - Public</t>
  </si>
  <si>
    <t>Time deposits - Institutional clients</t>
  </si>
  <si>
    <t>Negotiable instruments issued</t>
  </si>
  <si>
    <t>Global Account</t>
  </si>
  <si>
    <t>Interbank and Other loans</t>
  </si>
  <si>
    <t xml:space="preserve">Short Term </t>
  </si>
  <si>
    <t>Long term</t>
  </si>
  <si>
    <t>Repurchase agreements</t>
  </si>
  <si>
    <t>Operations with securities and derivaties</t>
  </si>
  <si>
    <t>Subordinate obligations in circulation</t>
  </si>
  <si>
    <t>Other payable accounts</t>
  </si>
  <si>
    <t>Deferred credits</t>
  </si>
  <si>
    <t>Equity</t>
  </si>
  <si>
    <t>Minority Interests</t>
  </si>
  <si>
    <t>CHECK</t>
  </si>
  <si>
    <t>dividendos</t>
  </si>
  <si>
    <t>pay out</t>
  </si>
  <si>
    <t>Portfolio</t>
  </si>
  <si>
    <t>portfolio growth</t>
  </si>
  <si>
    <t>Int Income</t>
  </si>
  <si>
    <t>Cost</t>
  </si>
  <si>
    <t>Net Interest earning</t>
  </si>
  <si>
    <t>Other Income &amp; Expenses</t>
  </si>
  <si>
    <t>tax</t>
  </si>
  <si>
    <t>NI</t>
  </si>
  <si>
    <t>FX Medio</t>
  </si>
  <si>
    <t>CLP Medio</t>
  </si>
  <si>
    <t>PEN Medio</t>
  </si>
  <si>
    <t>COP Medio</t>
  </si>
  <si>
    <t>ARS Medio</t>
  </si>
  <si>
    <t>BRL Medio</t>
  </si>
  <si>
    <t>PYG Medio</t>
  </si>
  <si>
    <t>MXN Medio</t>
  </si>
  <si>
    <t>UYU Medio</t>
  </si>
  <si>
    <t>EUR Medio</t>
  </si>
  <si>
    <t>CPI QoQ</t>
  </si>
  <si>
    <t>USA</t>
  </si>
  <si>
    <t>Chile</t>
  </si>
  <si>
    <t>Peru</t>
  </si>
  <si>
    <t>Colombia</t>
  </si>
  <si>
    <t>Argentina</t>
  </si>
  <si>
    <t>ver ARS</t>
  </si>
  <si>
    <t>Brasil</t>
  </si>
  <si>
    <t>Paraguay</t>
  </si>
  <si>
    <t>Mexico</t>
  </si>
  <si>
    <t>Uruguay</t>
  </si>
  <si>
    <t>Spain</t>
  </si>
  <si>
    <t>Costa Rica</t>
  </si>
  <si>
    <t>El Salvador</t>
  </si>
  <si>
    <t>Guatemala</t>
  </si>
  <si>
    <t>Honduras</t>
  </si>
  <si>
    <t>Nicaragua</t>
  </si>
  <si>
    <t>CHUF</t>
  </si>
  <si>
    <t>FX EoP</t>
  </si>
  <si>
    <t>CLP Curncy</t>
  </si>
  <si>
    <t>PEN Curncy</t>
  </si>
  <si>
    <t>COP Curncy</t>
  </si>
  <si>
    <t>ARS Curncy</t>
  </si>
  <si>
    <t>BRL Curncy</t>
  </si>
  <si>
    <t>PYG Curncy</t>
  </si>
  <si>
    <t>MXN Curncy</t>
  </si>
  <si>
    <t>UYU Curncy</t>
  </si>
  <si>
    <t>EUR Curncy</t>
  </si>
  <si>
    <t>Tasa de interes</t>
  </si>
  <si>
    <t>TJLP final</t>
  </si>
  <si>
    <t>SOFR/LIBOR 3m Avg</t>
  </si>
  <si>
    <t>Taxa de Juros (Chile) - final</t>
  </si>
  <si>
    <t>Taxa de Juros (Chile) - avg</t>
  </si>
  <si>
    <t>TIIE 28d Final</t>
  </si>
  <si>
    <t>BZSELICA Index Avg</t>
  </si>
  <si>
    <t>CPI Index</t>
  </si>
  <si>
    <t>Inflacion YoY</t>
  </si>
  <si>
    <t>Latest available information</t>
  </si>
  <si>
    <t xml:space="preserve">Environmental Indicators </t>
  </si>
  <si>
    <t>LatAm average</t>
  </si>
  <si>
    <t>GHG emission intensity*</t>
  </si>
  <si>
    <t>Revenues</t>
  </si>
  <si>
    <t>,000 USD</t>
  </si>
  <si>
    <t>Energy intensity*</t>
  </si>
  <si>
    <t xml:space="preserve">CO2 reduction policy </t>
  </si>
  <si>
    <t>ATE ESCOPO 3</t>
  </si>
  <si>
    <t>CO2 consumption</t>
  </si>
  <si>
    <t>tons</t>
  </si>
  <si>
    <t>GHG ratio</t>
  </si>
  <si>
    <t>kg/,000 USD (or mt/USDm)</t>
  </si>
  <si>
    <t xml:space="preserve">Social Indicators </t>
  </si>
  <si>
    <t>Employee turnover (%)</t>
  </si>
  <si>
    <t>Energy consumption</t>
  </si>
  <si>
    <t>GJ</t>
  </si>
  <si>
    <t xml:space="preserve">Diversity policy </t>
  </si>
  <si>
    <t>Yes</t>
  </si>
  <si>
    <t>en kWh</t>
  </si>
  <si>
    <t>kWh</t>
  </si>
  <si>
    <t>Women in labor force %</t>
  </si>
  <si>
    <t>Ratio</t>
  </si>
  <si>
    <t>kWh/,000 USD (or MWh/USDm)</t>
  </si>
  <si>
    <t>Work accidents</t>
  </si>
  <si>
    <t>1GJ =</t>
  </si>
  <si>
    <t>kwh</t>
  </si>
  <si>
    <t>Governance Indicators</t>
  </si>
  <si>
    <t>No. of board members</t>
  </si>
  <si>
    <t xml:space="preserve">Female board members (%) </t>
  </si>
  <si>
    <t xml:space="preserve">Board members independence (%) </t>
  </si>
  <si>
    <t>Fully independent audit committee</t>
  </si>
  <si>
    <t>No</t>
  </si>
  <si>
    <t>Fully independent compensation committee</t>
  </si>
  <si>
    <t>Single share class</t>
  </si>
  <si>
    <t>100% tag along rights</t>
  </si>
  <si>
    <t>Governance incident in last X years</t>
  </si>
  <si>
    <t>Source: Company data</t>
  </si>
  <si>
    <t>* GHG intensity and energy intensity are measured in kg and kWh respectively against revenue in USD ‘000s</t>
  </si>
  <si>
    <t>SASB Materiality Map SASB uses the Sustainability Industry Classification System (SICS) to classify companies into sectors (top row) and identify the sustainability issues (leftmost column) that are material in each sector. Cells highlighted in dark gray signal strong materiality, while lighter gray indicates some degree of materiality. For our analysis, we translated SICS to GICS and reclassified the sustainability issues into one of the ESG pillars. The interactive map with details at the industry level is available at http://materiality.sasb.org/.</t>
  </si>
  <si>
    <t>http://materiality.sasb.org/</t>
  </si>
  <si>
    <t>N/A</t>
  </si>
  <si>
    <t>Compraventa divisas</t>
  </si>
  <si>
    <t>CREATION / STAGE 1&amp;2 t-1</t>
  </si>
  <si>
    <t>Coverage Ratio</t>
  </si>
  <si>
    <t>Depositos a la visa</t>
  </si>
  <si>
    <t>Disponibilidades Total</t>
  </si>
  <si>
    <t>TIIE</t>
  </si>
  <si>
    <t>Var yoy</t>
  </si>
  <si>
    <t>Acreedores por reporto</t>
  </si>
  <si>
    <t>Interbank Loans</t>
  </si>
  <si>
    <t>Deposits (captacion tradicional)</t>
  </si>
  <si>
    <t>Cash del banco</t>
  </si>
  <si>
    <t>NPL/Total loan</t>
  </si>
  <si>
    <t>% funding</t>
  </si>
  <si>
    <t>% RFR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</si>
</sst>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 #,##0.00_);_(* \(#,##0.00\);_(* &quot;-&quot;??_);_(@_)"/>
    <numFmt numFmtId="165" formatCode="_-* #,##0.0_-;\-* #,##0.0_-;_-* &quot;-&quot;??_-;_-@_-"/>
    <numFmt numFmtId="166" formatCode="_-* #,##0_-;\-* #,##0_-;_-* &quot;-&quot;??_-;_-@_-"/>
    <numFmt numFmtId="167" formatCode="0.0%"/>
    <numFmt numFmtId="168" formatCode="0.00000"/>
    <numFmt numFmtId="169" formatCode="_(* #,##0_);_(* \(#,##0\);_(* &quot;-&quot;??_);_(@_)"/>
    <numFmt numFmtId="170" formatCode="_-[$$-80A]* #,##0_-;\-[$$-80A]* #,##0_-;_-[$$-80A]* &quot;-&quot;_-;_-@_-"/>
    <numFmt numFmtId="171" formatCode="[$-409]mmm\-yy;@"/>
    <numFmt numFmtId="172" formatCode="#,##0.0"/>
    <numFmt numFmtId="173" formatCode="_-[$$-80A]* #,##0.00_-;\-[$$-80A]* #,##0.00_-;_-[$$-80A]* &quot;-&quot;??_-;_-@_-"/>
    <numFmt numFmtId="174" formatCode="0.0"/>
    <numFmt numFmtId="175" formatCode="_(* #,##0.0_);_(* \(#,##0.0\);_(* &quot;-&quot;??_);_(@_)"/>
  </numFmts>
  <fonts count="5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
      <sz val="11"/>
      <name val="Calibri"/>
      <family val="2"/>
      <scheme val="minor"/>
    </font>
    <font>
      <sz val="12"/>
      <name val="Arial"/>
      <family val="2"/>
    </font>
    <font>
      <b/>
      <sz val="9"/>
      <color indexed="81"/>
      <name val="Tahoma"/>
      <family val="2"/>
    </font>
    <font>
      <sz val="9"/>
      <color indexed="81"/>
      <name val="Tahoma"/>
      <family val="2"/>
    </font>
    <font>
      <sz val="11"/>
      <color rgb="FF00B050"/>
      <name val="Calibri"/>
      <family val="2"/>
      <scheme val="minor"/>
    </font>
    <font>
      <b/>
      <sz val="11"/>
      <name val="Calibri"/>
      <family val="2"/>
      <scheme val="minor"/>
    </font>
    <font>
      <b/>
      <sz val="11"/>
      <color rgb="FF00B050"/>
      <name val="Calibri"/>
      <family val="2"/>
      <scheme val="minor"/>
    </font>
    <font>
      <u/>
      <sz val="11"/>
      <color theme="10"/>
      <name val="Calibri"/>
      <family val="2"/>
      <scheme val="minor"/>
    </font>
    <font>
      <sz val="11"/>
      <color rgb="FF0070C0"/>
      <name val="Calibri"/>
      <family val="2"/>
      <scheme val="minor"/>
    </font>
    <font>
      <b/>
      <sz val="11"/>
      <color rgb="FF0070C0"/>
      <name val="Calibri"/>
      <family val="2"/>
      <scheme val="minor"/>
    </font>
    <font>
      <sz val="11"/>
      <color rgb="FF000099"/>
      <name val="Calibri"/>
      <family val="2"/>
      <scheme val="minor"/>
    </font>
    <font>
      <sz val="10"/>
      <color theme="1"/>
      <name val="Calibri"/>
      <family val="2"/>
      <scheme val="minor"/>
    </font>
    <font>
      <sz val="11"/>
      <color theme="9" tint="-0.249977111117893"/>
      <name val="Calibri"/>
      <family val="2"/>
      <scheme val="minor"/>
    </font>
    <font>
      <b/>
      <sz val="11"/>
      <color theme="9" tint="-0.249977111117893"/>
      <name val="Calibri"/>
      <family val="2"/>
      <scheme val="minor"/>
    </font>
    <font>
      <b/>
      <sz val="11"/>
      <color theme="0"/>
      <name val="Calibri"/>
      <family val="2"/>
      <scheme val="minor"/>
    </font>
    <font>
      <sz val="11"/>
      <color rgb="FF7030A0"/>
      <name val="Calibri"/>
      <family val="2"/>
      <scheme val="minor"/>
    </font>
    <font>
      <sz val="8"/>
      <color theme="1"/>
      <name val="Calibri"/>
      <family val="2"/>
      <scheme val="minor"/>
    </font>
    <font>
      <b/>
      <sz val="11"/>
      <color indexed="9"/>
      <name val="Calibri"/>
      <family val="2"/>
      <scheme val="minor"/>
    </font>
    <font>
      <i/>
      <sz val="11"/>
      <color theme="1"/>
      <name val="Calibri"/>
      <family val="2"/>
      <scheme val="minor"/>
    </font>
    <font>
      <i/>
      <sz val="11"/>
      <name val="Calibri"/>
      <family val="2"/>
      <scheme val="minor"/>
    </font>
    <font>
      <i/>
      <sz val="11"/>
      <color theme="9" tint="-0.249977111117893"/>
      <name val="Calibri"/>
      <family val="2"/>
      <scheme val="minor"/>
    </font>
    <font>
      <i/>
      <sz val="10"/>
      <color rgb="FF000099"/>
      <name val="Calibri"/>
      <family val="2"/>
      <scheme val="minor"/>
    </font>
    <font>
      <b/>
      <sz val="8"/>
      <name val="Arial"/>
      <family val="2"/>
    </font>
    <font>
      <sz val="8"/>
      <name val="Arial"/>
      <family val="2"/>
    </font>
    <font>
      <sz val="8"/>
      <color rgb="FF0000FF"/>
      <name val="Arial"/>
      <family val="2"/>
    </font>
    <font>
      <b/>
      <sz val="8"/>
      <color rgb="FF0000FF"/>
      <name val="Arial"/>
      <family val="2"/>
    </font>
    <font>
      <sz val="8"/>
      <color rgb="FFFF0000"/>
      <name val="Arial"/>
      <family val="2"/>
    </font>
    <font>
      <b/>
      <sz val="8"/>
      <color rgb="FFFF0000"/>
      <name val="Arial"/>
      <family val="2"/>
    </font>
    <font>
      <sz val="8"/>
      <color rgb="FF00B050"/>
      <name val="Arial"/>
      <family val="2"/>
    </font>
    <font>
      <sz val="10"/>
      <color rgb="FFFF0000"/>
      <name val="Calibri"/>
      <family val="2"/>
      <scheme val="minor"/>
    </font>
    <font>
      <b/>
      <sz val="8"/>
      <name val="Calibri"/>
      <family val="2"/>
      <scheme val="minor"/>
    </font>
    <font>
      <sz val="10"/>
      <color rgb="FF000099"/>
      <name val="Calibri"/>
      <family val="2"/>
      <scheme val="minor"/>
    </font>
    <font>
      <b/>
      <sz val="10"/>
      <color theme="1"/>
      <name val="Calibri"/>
      <family val="2"/>
      <scheme val="minor"/>
    </font>
    <font>
      <i/>
      <sz val="8"/>
      <color rgb="FF7030A0"/>
      <name val="Calibri"/>
      <family val="2"/>
      <scheme val="minor"/>
    </font>
    <font>
      <b/>
      <sz val="9"/>
      <color theme="1"/>
      <name val="Calibri"/>
      <family val="2"/>
      <scheme val="minor"/>
    </font>
    <font>
      <b/>
      <sz val="10"/>
      <color rgb="FFFF0000"/>
      <name val="Calibri"/>
      <family val="2"/>
      <scheme val="minor"/>
    </font>
    <font>
      <b/>
      <sz val="11"/>
      <color rgb="FFFF0000"/>
      <name val="Calibri"/>
      <family val="2"/>
      <scheme val="minor"/>
    </font>
    <font>
      <b/>
      <i/>
      <sz val="11"/>
      <color rgb="FF7030A0"/>
      <name val="Calibri"/>
      <family val="2"/>
      <scheme val="minor"/>
    </font>
    <font>
      <i/>
      <sz val="11"/>
      <color rgb="FF7030A0"/>
      <name val="Calibri"/>
      <family val="2"/>
      <scheme val="minor"/>
    </font>
    <font>
      <i/>
      <sz val="11"/>
      <color rgb="FF0070C0"/>
      <name val="Calibri"/>
      <family val="2"/>
      <scheme val="minor"/>
    </font>
    <font>
      <i/>
      <sz val="10"/>
      <color theme="1"/>
      <name val="Calibri"/>
      <family val="2"/>
      <scheme val="minor"/>
    </font>
    <font>
      <b/>
      <i/>
      <sz val="11"/>
      <color theme="1"/>
      <name val="Calibri"/>
      <family val="2"/>
      <scheme val="minor"/>
    </font>
    <font>
      <i/>
      <sz val="10"/>
      <name val="Calibri"/>
      <family val="2"/>
      <scheme val="minor"/>
    </font>
    <font>
      <b/>
      <sz val="10"/>
      <name val="Arial"/>
      <family val="2"/>
    </font>
    <font>
      <sz val="10"/>
      <color rgb="FF0070C0"/>
      <name val="Arial"/>
      <family val="2"/>
    </font>
    <font>
      <b/>
      <sz val="10"/>
      <name val="Calibri"/>
      <family val="2"/>
      <scheme val="minor"/>
    </font>
    <font>
      <sz val="9"/>
      <color theme="1"/>
      <name val="Calibri"/>
      <family val="2"/>
      <scheme val="minor"/>
    </font>
    <font>
      <sz val="8"/>
      <color theme="9" tint="-0.249977111117893"/>
      <name val="Calibri"/>
      <family val="2"/>
      <scheme val="minor"/>
    </font>
    <font>
      <sz val="10"/>
      <color rgb="FF7030A0"/>
      <name val="Calibri"/>
      <family val="2"/>
      <scheme val="minor"/>
    </font>
  </fonts>
  <fills count="21">
    <fill>
      <patternFill patternType="none"/>
    </fill>
    <fill>
      <patternFill patternType="gray125"/>
    </fill>
    <fill>
      <patternFill patternType="solid">
        <fgColor theme="1" tint="4.9989318521683403E-2"/>
        <bgColor indexed="64"/>
      </patternFill>
    </fill>
    <fill>
      <patternFill patternType="solid">
        <fgColor theme="6" tint="0.39997558519241921"/>
        <bgColor indexed="64"/>
      </patternFill>
    </fill>
    <fill>
      <patternFill patternType="solid">
        <fgColor theme="0"/>
        <bgColor indexed="64"/>
      </patternFill>
    </fill>
    <fill>
      <patternFill patternType="solid">
        <fgColor rgb="FFFFFF00"/>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2060"/>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rgb="FFFFC000"/>
        <bgColor indexed="64"/>
      </patternFill>
    </fill>
    <fill>
      <patternFill patternType="solid">
        <fgColor theme="5" tint="0.59999389629810485"/>
        <bgColor indexed="64"/>
      </patternFill>
    </fill>
    <fill>
      <patternFill patternType="solid">
        <fgColor rgb="FFFFFFCC"/>
        <bgColor indexed="64"/>
      </patternFill>
    </fill>
    <fill>
      <patternFill patternType="solid">
        <fgColor rgb="FFCCFFCC"/>
        <bgColor indexed="64"/>
      </patternFill>
    </fill>
    <fill>
      <patternFill patternType="solid">
        <fgColor rgb="FFFFFFCC"/>
        <bgColor rgb="FF000000"/>
      </patternFill>
    </fill>
    <fill>
      <patternFill patternType="solid">
        <fgColor rgb="FFCCFFCC"/>
        <bgColor rgb="FF000000"/>
      </patternFill>
    </fill>
    <fill>
      <patternFill patternType="solid">
        <fgColor theme="9" tint="0.59999389629810485"/>
        <bgColor indexed="64"/>
      </patternFill>
    </fill>
    <fill>
      <patternFill patternType="solid">
        <fgColor rgb="FF00B050"/>
        <bgColor indexed="64"/>
      </patternFill>
    </fill>
  </fills>
  <borders count="22">
    <border>
      <left/>
      <right/>
      <top/>
      <bottom/>
      <diagonal/>
    </border>
    <border>
      <left/>
      <right/>
      <top style="thin">
        <color indexed="64"/>
      </top>
      <bottom/>
      <diagonal/>
    </border>
    <border>
      <left/>
      <right/>
      <top/>
      <bottom style="double">
        <color indexed="64"/>
      </bottom>
      <diagonal/>
    </border>
    <border>
      <left/>
      <right/>
      <top style="double">
        <color auto="1"/>
      </top>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Dashed">
        <color auto="1"/>
      </left>
      <right/>
      <top style="mediumDashed">
        <color auto="1"/>
      </top>
      <bottom style="mediumDashed">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style="double">
        <color indexed="64"/>
      </bottom>
      <diagonal/>
    </border>
    <border>
      <left style="medium">
        <color indexed="64"/>
      </left>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diagonal/>
    </border>
  </borders>
  <cellStyleXfs count="13">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 fillId="0" borderId="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164" fontId="4" fillId="0" borderId="0" applyFont="0" applyFill="0" applyBorder="0" applyAlignment="0" applyProtection="0"/>
    <xf numFmtId="0" fontId="4" fillId="0" borderId="0" applyNumberFormat="0" applyFill="0" applyBorder="0" applyAlignment="0" applyProtection="0"/>
    <xf numFmtId="43" fontId="1" fillId="0" borderId="0" applyFont="0" applyFill="0" applyBorder="0" applyAlignment="0" applyProtection="0"/>
    <xf numFmtId="0" fontId="12" fillId="0" borderId="0" applyNumberFormat="0" applyFill="0" applyBorder="0" applyAlignment="0" applyProtection="0"/>
  </cellStyleXfs>
  <cellXfs count="631">
    <xf numFmtId="0" fontId="0" fillId="0" borderId="0" xfId="0"/>
    <xf numFmtId="167" fontId="0" fillId="0" borderId="0" xfId="2" applyNumberFormat="1" applyFont="1"/>
    <xf numFmtId="0" fontId="3" fillId="0" borderId="0" xfId="0" applyFont="1"/>
    <xf numFmtId="164" fontId="0" fillId="0" borderId="0" xfId="0" applyNumberFormat="1"/>
    <xf numFmtId="166" fontId="0" fillId="0" borderId="0" xfId="1" applyNumberFormat="1" applyFont="1"/>
    <xf numFmtId="166" fontId="3" fillId="0" borderId="0" xfId="1" applyNumberFormat="1" applyFont="1"/>
    <xf numFmtId="166" fontId="1" fillId="0" borderId="0" xfId="1" applyNumberFormat="1" applyFont="1"/>
    <xf numFmtId="167" fontId="1" fillId="0" borderId="0" xfId="2" applyNumberFormat="1" applyFont="1"/>
    <xf numFmtId="0" fontId="3" fillId="7" borderId="0" xfId="0" applyFont="1" applyFill="1"/>
    <xf numFmtId="0" fontId="3" fillId="7" borderId="3" xfId="0" applyFont="1" applyFill="1" applyBorder="1"/>
    <xf numFmtId="0" fontId="3" fillId="7" borderId="2" xfId="0" applyFont="1" applyFill="1" applyBorder="1"/>
    <xf numFmtId="0" fontId="3" fillId="0" borderId="3" xfId="0" applyFont="1" applyBorder="1"/>
    <xf numFmtId="169" fontId="2" fillId="0" borderId="0" xfId="0" applyNumberFormat="1" applyFont="1"/>
    <xf numFmtId="0" fontId="16" fillId="0" borderId="0" xfId="0" applyFont="1"/>
    <xf numFmtId="37" fontId="17" fillId="0" borderId="0" xfId="0" applyNumberFormat="1" applyFont="1" applyAlignment="1">
      <alignment horizontal="right"/>
    </xf>
    <xf numFmtId="166" fontId="18" fillId="0" borderId="0" xfId="1" applyNumberFormat="1" applyFont="1"/>
    <xf numFmtId="166" fontId="17" fillId="0" borderId="0" xfId="1" applyNumberFormat="1" applyFont="1"/>
    <xf numFmtId="14" fontId="0" fillId="0" borderId="0" xfId="0" applyNumberFormat="1"/>
    <xf numFmtId="0" fontId="3" fillId="11" borderId="0" xfId="0" applyFont="1" applyFill="1"/>
    <xf numFmtId="0" fontId="0" fillId="7" borderId="0" xfId="0" applyFill="1"/>
    <xf numFmtId="0" fontId="0" fillId="4" borderId="0" xfId="0" applyFill="1"/>
    <xf numFmtId="0" fontId="0" fillId="0" borderId="2" xfId="0" applyBorder="1"/>
    <xf numFmtId="0" fontId="0" fillId="0" borderId="0" xfId="0" applyAlignment="1">
      <alignment horizontal="right"/>
    </xf>
    <xf numFmtId="169" fontId="0" fillId="0" borderId="0" xfId="0" applyNumberFormat="1"/>
    <xf numFmtId="3" fontId="13" fillId="0" borderId="0" xfId="0" applyNumberFormat="1" applyFont="1" applyAlignment="1">
      <alignment horizontal="right"/>
    </xf>
    <xf numFmtId="0" fontId="0" fillId="0" borderId="0" xfId="0" applyAlignment="1">
      <alignment horizontal="left" indent="1"/>
    </xf>
    <xf numFmtId="3" fontId="0" fillId="0" borderId="0" xfId="0" applyNumberFormat="1" applyAlignment="1">
      <alignment horizontal="right"/>
    </xf>
    <xf numFmtId="37" fontId="0" fillId="0" borderId="0" xfId="0" applyNumberFormat="1" applyAlignment="1">
      <alignment horizontal="right"/>
    </xf>
    <xf numFmtId="9" fontId="0" fillId="0" borderId="0" xfId="2" applyFont="1" applyAlignment="1" applyProtection="1">
      <alignment horizontal="right"/>
    </xf>
    <xf numFmtId="167" fontId="0" fillId="0" borderId="0" xfId="2" applyNumberFormat="1" applyFont="1" applyAlignment="1" applyProtection="1">
      <alignment horizontal="right"/>
    </xf>
    <xf numFmtId="0" fontId="0" fillId="0" borderId="0" xfId="0" applyAlignment="1">
      <alignment horizontal="left"/>
    </xf>
    <xf numFmtId="10" fontId="0" fillId="0" borderId="0" xfId="2" applyNumberFormat="1" applyFont="1" applyAlignment="1" applyProtection="1">
      <alignment horizontal="right"/>
    </xf>
    <xf numFmtId="169" fontId="0" fillId="0" borderId="0" xfId="1" applyNumberFormat="1" applyFont="1" applyAlignment="1">
      <alignment horizontal="left"/>
    </xf>
    <xf numFmtId="169" fontId="0" fillId="0" borderId="0" xfId="1" applyNumberFormat="1" applyFont="1"/>
    <xf numFmtId="169" fontId="0" fillId="8" borderId="0" xfId="1" applyNumberFormat="1" applyFont="1" applyFill="1"/>
    <xf numFmtId="169" fontId="0" fillId="9" borderId="0" xfId="1" applyNumberFormat="1" applyFont="1" applyFill="1" applyAlignment="1">
      <alignment horizontal="right"/>
    </xf>
    <xf numFmtId="0" fontId="0" fillId="0" borderId="0" xfId="0" applyAlignment="1">
      <alignment horizontal="right" indent="2"/>
    </xf>
    <xf numFmtId="0" fontId="0" fillId="0" borderId="0" xfId="0" applyAlignment="1">
      <alignment horizontal="left" indent="2"/>
    </xf>
    <xf numFmtId="0" fontId="0" fillId="4" borderId="0" xfId="0" applyFill="1" applyAlignment="1">
      <alignment horizontal="right"/>
    </xf>
    <xf numFmtId="166" fontId="3" fillId="0" borderId="0" xfId="1" applyNumberFormat="1" applyFont="1" applyAlignment="1">
      <alignment horizontal="right"/>
    </xf>
    <xf numFmtId="166" fontId="11" fillId="0" borderId="0" xfId="1" applyNumberFormat="1" applyFont="1" applyAlignment="1">
      <alignment horizontal="right"/>
    </xf>
    <xf numFmtId="166" fontId="0" fillId="0" borderId="0" xfId="1" applyNumberFormat="1" applyFont="1" applyAlignment="1">
      <alignment horizontal="right"/>
    </xf>
    <xf numFmtId="0" fontId="3" fillId="0" borderId="0" xfId="0" applyFont="1" applyAlignment="1">
      <alignment horizontal="right"/>
    </xf>
    <xf numFmtId="166" fontId="0" fillId="0" borderId="0" xfId="0" applyNumberFormat="1" applyAlignment="1">
      <alignment horizontal="right"/>
    </xf>
    <xf numFmtId="166" fontId="9" fillId="0" borderId="0" xfId="0" applyNumberFormat="1" applyFont="1" applyAlignment="1">
      <alignment horizontal="right"/>
    </xf>
    <xf numFmtId="166" fontId="13" fillId="0" borderId="0" xfId="0" applyNumberFormat="1" applyFont="1" applyAlignment="1">
      <alignment horizontal="right"/>
    </xf>
    <xf numFmtId="166" fontId="2" fillId="0" borderId="0" xfId="0" applyNumberFormat="1" applyFont="1" applyAlignment="1">
      <alignment horizontal="right"/>
    </xf>
    <xf numFmtId="0" fontId="3" fillId="7" borderId="0" xfId="0" applyFont="1" applyFill="1" applyAlignment="1">
      <alignment horizontal="right"/>
    </xf>
    <xf numFmtId="166" fontId="13" fillId="7" borderId="0" xfId="1" applyNumberFormat="1" applyFont="1" applyFill="1" applyAlignment="1">
      <alignment horizontal="right"/>
    </xf>
    <xf numFmtId="166" fontId="9" fillId="7" borderId="0" xfId="1" applyNumberFormat="1" applyFont="1" applyFill="1" applyAlignment="1">
      <alignment horizontal="right"/>
    </xf>
    <xf numFmtId="0" fontId="0" fillId="7" borderId="0" xfId="0" applyFill="1" applyAlignment="1">
      <alignment horizontal="right"/>
    </xf>
    <xf numFmtId="166" fontId="3" fillId="7" borderId="0" xfId="1" applyNumberFormat="1" applyFont="1" applyFill="1" applyAlignment="1">
      <alignment horizontal="right"/>
    </xf>
    <xf numFmtId="166" fontId="11" fillId="7" borderId="0" xfId="1" applyNumberFormat="1" applyFont="1" applyFill="1" applyAlignment="1">
      <alignment horizontal="right"/>
    </xf>
    <xf numFmtId="166" fontId="0" fillId="7" borderId="0" xfId="1" applyNumberFormat="1" applyFont="1" applyFill="1" applyAlignment="1">
      <alignment horizontal="right"/>
    </xf>
    <xf numFmtId="167" fontId="0" fillId="7" borderId="0" xfId="2" applyNumberFormat="1" applyFont="1" applyFill="1" applyAlignment="1">
      <alignment horizontal="right"/>
    </xf>
    <xf numFmtId="167" fontId="2" fillId="7" borderId="0" xfId="2" applyNumberFormat="1" applyFont="1" applyFill="1" applyAlignment="1">
      <alignment horizontal="right"/>
    </xf>
    <xf numFmtId="167" fontId="3" fillId="7" borderId="0" xfId="2" applyNumberFormat="1" applyFont="1" applyFill="1" applyAlignment="1">
      <alignment horizontal="right"/>
    </xf>
    <xf numFmtId="166" fontId="2" fillId="7" borderId="0" xfId="1" applyNumberFormat="1" applyFont="1" applyFill="1" applyAlignment="1">
      <alignment horizontal="right"/>
    </xf>
    <xf numFmtId="167" fontId="9" fillId="7" borderId="0" xfId="2" applyNumberFormat="1" applyFont="1" applyFill="1" applyAlignment="1">
      <alignment horizontal="right"/>
    </xf>
    <xf numFmtId="166" fontId="3" fillId="7" borderId="3" xfId="1" applyNumberFormat="1" applyFont="1" applyFill="1" applyBorder="1" applyAlignment="1">
      <alignment horizontal="right"/>
    </xf>
    <xf numFmtId="0" fontId="0" fillId="7" borderId="3" xfId="0" applyFill="1" applyBorder="1" applyAlignment="1">
      <alignment horizontal="right"/>
    </xf>
    <xf numFmtId="0" fontId="0" fillId="0" borderId="3" xfId="0" applyBorder="1" applyAlignment="1">
      <alignment horizontal="right"/>
    </xf>
    <xf numFmtId="166" fontId="3" fillId="7" borderId="0" xfId="0" applyNumberFormat="1" applyFont="1" applyFill="1" applyAlignment="1">
      <alignment horizontal="right"/>
    </xf>
    <xf numFmtId="166" fontId="3" fillId="7" borderId="2" xfId="1" applyNumberFormat="1" applyFont="1" applyFill="1" applyBorder="1" applyAlignment="1">
      <alignment horizontal="right"/>
    </xf>
    <xf numFmtId="166" fontId="9" fillId="7" borderId="2" xfId="1" applyNumberFormat="1" applyFont="1" applyFill="1" applyBorder="1" applyAlignment="1">
      <alignment horizontal="right"/>
    </xf>
    <xf numFmtId="0" fontId="0" fillId="7" borderId="2" xfId="0" applyFill="1" applyBorder="1" applyAlignment="1">
      <alignment horizontal="right"/>
    </xf>
    <xf numFmtId="0" fontId="0" fillId="0" borderId="2" xfId="0" applyBorder="1" applyAlignment="1">
      <alignment horizontal="right"/>
    </xf>
    <xf numFmtId="166" fontId="9" fillId="0" borderId="0" xfId="1" applyNumberFormat="1" applyFont="1" applyAlignment="1">
      <alignment horizontal="right"/>
    </xf>
    <xf numFmtId="10" fontId="0" fillId="0" borderId="0" xfId="2" applyNumberFormat="1" applyFont="1" applyAlignment="1">
      <alignment horizontal="right"/>
    </xf>
    <xf numFmtId="10" fontId="2" fillId="0" borderId="0" xfId="2" applyNumberFormat="1" applyFont="1" applyAlignment="1">
      <alignment horizontal="right"/>
    </xf>
    <xf numFmtId="165" fontId="13" fillId="0" borderId="0" xfId="1" applyNumberFormat="1" applyFont="1" applyAlignment="1">
      <alignment horizontal="right"/>
    </xf>
    <xf numFmtId="165" fontId="0" fillId="0" borderId="0" xfId="1" applyNumberFormat="1" applyFont="1" applyAlignment="1">
      <alignment horizontal="right"/>
    </xf>
    <xf numFmtId="166" fontId="13" fillId="0" borderId="0" xfId="1" applyNumberFormat="1" applyFont="1" applyAlignment="1">
      <alignment horizontal="right"/>
    </xf>
    <xf numFmtId="167" fontId="0" fillId="0" borderId="0" xfId="2" applyNumberFormat="1" applyFont="1" applyAlignment="1">
      <alignment horizontal="right"/>
    </xf>
    <xf numFmtId="167" fontId="9" fillId="0" borderId="0" xfId="2" applyNumberFormat="1" applyFont="1" applyAlignment="1">
      <alignment horizontal="right"/>
    </xf>
    <xf numFmtId="166" fontId="14" fillId="0" borderId="3" xfId="1" applyNumberFormat="1" applyFont="1" applyBorder="1" applyAlignment="1">
      <alignment horizontal="right"/>
    </xf>
    <xf numFmtId="166" fontId="11" fillId="0" borderId="3" xfId="1" applyNumberFormat="1" applyFont="1" applyBorder="1" applyAlignment="1">
      <alignment horizontal="right"/>
    </xf>
    <xf numFmtId="0" fontId="3" fillId="0" borderId="3" xfId="0" applyFont="1" applyBorder="1" applyAlignment="1">
      <alignment horizontal="right"/>
    </xf>
    <xf numFmtId="166" fontId="0" fillId="0" borderId="0" xfId="1" applyNumberFormat="1" applyFont="1" applyBorder="1" applyAlignment="1">
      <alignment horizontal="right"/>
    </xf>
    <xf numFmtId="167" fontId="0" fillId="0" borderId="0" xfId="2" applyNumberFormat="1" applyFont="1" applyBorder="1" applyAlignment="1">
      <alignment horizontal="right"/>
    </xf>
    <xf numFmtId="10" fontId="2" fillId="0" borderId="0" xfId="2" applyNumberFormat="1" applyFont="1" applyBorder="1" applyAlignment="1">
      <alignment horizontal="right"/>
    </xf>
    <xf numFmtId="167" fontId="2" fillId="0" borderId="0" xfId="2" applyNumberFormat="1" applyFont="1" applyBorder="1" applyAlignment="1">
      <alignment horizontal="right"/>
    </xf>
    <xf numFmtId="166" fontId="0" fillId="0" borderId="2" xfId="1" applyNumberFormat="1" applyFont="1" applyBorder="1" applyAlignment="1">
      <alignment horizontal="right"/>
    </xf>
    <xf numFmtId="167" fontId="0" fillId="0" borderId="2" xfId="2" applyNumberFormat="1" applyFont="1" applyBorder="1" applyAlignment="1">
      <alignment horizontal="right"/>
    </xf>
    <xf numFmtId="10" fontId="2" fillId="0" borderId="2" xfId="2" applyNumberFormat="1" applyFont="1" applyBorder="1" applyAlignment="1">
      <alignment horizontal="right"/>
    </xf>
    <xf numFmtId="167" fontId="2" fillId="0" borderId="0" xfId="0" applyNumberFormat="1" applyFont="1" applyAlignment="1">
      <alignment horizontal="right"/>
    </xf>
    <xf numFmtId="166" fontId="14" fillId="0" borderId="0" xfId="1" applyNumberFormat="1" applyFont="1" applyAlignment="1">
      <alignment horizontal="right"/>
    </xf>
    <xf numFmtId="166" fontId="3" fillId="0" borderId="0" xfId="0" applyNumberFormat="1" applyFont="1" applyAlignment="1">
      <alignment horizontal="right"/>
    </xf>
    <xf numFmtId="10" fontId="13" fillId="0" borderId="0" xfId="0" applyNumberFormat="1" applyFont="1" applyAlignment="1">
      <alignment horizontal="right"/>
    </xf>
    <xf numFmtId="167" fontId="13" fillId="0" borderId="0" xfId="0" applyNumberFormat="1" applyFont="1" applyAlignment="1">
      <alignment horizontal="right"/>
    </xf>
    <xf numFmtId="167" fontId="0" fillId="0" borderId="0" xfId="0" applyNumberFormat="1" applyAlignment="1">
      <alignment horizontal="right"/>
    </xf>
    <xf numFmtId="10" fontId="0" fillId="0" borderId="0" xfId="0" applyNumberFormat="1" applyAlignment="1">
      <alignment horizontal="right"/>
    </xf>
    <xf numFmtId="169" fontId="0" fillId="0" borderId="0" xfId="0" applyNumberFormat="1" applyAlignment="1">
      <alignment horizontal="right"/>
    </xf>
    <xf numFmtId="169" fontId="2" fillId="0" borderId="0" xfId="0" applyNumberFormat="1" applyFont="1" applyAlignment="1">
      <alignment horizontal="right"/>
    </xf>
    <xf numFmtId="166" fontId="18" fillId="0" borderId="0" xfId="1" applyNumberFormat="1" applyFont="1" applyAlignment="1">
      <alignment horizontal="right"/>
    </xf>
    <xf numFmtId="166" fontId="17" fillId="0" borderId="0" xfId="1" applyNumberFormat="1" applyFont="1" applyAlignment="1">
      <alignment horizontal="right"/>
    </xf>
    <xf numFmtId="3" fontId="17" fillId="0" borderId="0" xfId="0" applyNumberFormat="1" applyFont="1" applyAlignment="1">
      <alignment horizontal="right"/>
    </xf>
    <xf numFmtId="0" fontId="2" fillId="0" borderId="0" xfId="0" applyFont="1" applyAlignment="1">
      <alignment horizontal="right"/>
    </xf>
    <xf numFmtId="9" fontId="2" fillId="0" borderId="0" xfId="0" applyNumberFormat="1" applyFont="1" applyAlignment="1">
      <alignment horizontal="right"/>
    </xf>
    <xf numFmtId="3" fontId="2" fillId="0" borderId="0" xfId="0" applyNumberFormat="1" applyFont="1" applyAlignment="1">
      <alignment horizontal="right"/>
    </xf>
    <xf numFmtId="169" fontId="0" fillId="0" borderId="0" xfId="1" applyNumberFormat="1" applyFont="1" applyAlignment="1">
      <alignment horizontal="right"/>
    </xf>
    <xf numFmtId="169" fontId="0" fillId="8" borderId="0" xfId="1" applyNumberFormat="1" applyFont="1" applyFill="1" applyAlignment="1">
      <alignment horizontal="right"/>
    </xf>
    <xf numFmtId="0" fontId="16" fillId="0" borderId="0" xfId="0" applyFont="1" applyAlignment="1">
      <alignment horizontal="right"/>
    </xf>
    <xf numFmtId="169" fontId="5" fillId="9" borderId="0" xfId="1" applyNumberFormat="1" applyFont="1" applyFill="1" applyBorder="1" applyAlignment="1">
      <alignment horizontal="right"/>
    </xf>
    <xf numFmtId="169" fontId="17" fillId="0" borderId="0" xfId="0" applyNumberFormat="1" applyFont="1" applyAlignment="1">
      <alignment horizontal="right"/>
    </xf>
    <xf numFmtId="0" fontId="19" fillId="2" borderId="0" xfId="0" applyFont="1" applyFill="1"/>
    <xf numFmtId="17" fontId="19" fillId="2" borderId="0" xfId="0" applyNumberFormat="1" applyFont="1" applyFill="1" applyAlignment="1">
      <alignment horizontal="right"/>
    </xf>
    <xf numFmtId="17" fontId="19" fillId="3" borderId="0" xfId="0" applyNumberFormat="1" applyFont="1" applyFill="1" applyAlignment="1">
      <alignment horizontal="right"/>
    </xf>
    <xf numFmtId="0" fontId="10" fillId="6" borderId="0" xfId="0" applyFont="1" applyFill="1"/>
    <xf numFmtId="0" fontId="0" fillId="4" borderId="0" xfId="0" applyFill="1" applyAlignment="1">
      <alignment horizontal="left" indent="1"/>
    </xf>
    <xf numFmtId="0" fontId="13" fillId="0" borderId="0" xfId="0" applyFont="1"/>
    <xf numFmtId="0" fontId="13" fillId="0" borderId="0" xfId="0" applyFont="1" applyAlignment="1">
      <alignment horizontal="left" indent="2"/>
    </xf>
    <xf numFmtId="169" fontId="13" fillId="0" borderId="0" xfId="1" applyNumberFormat="1" applyFont="1" applyFill="1" applyAlignment="1">
      <alignment horizontal="right"/>
    </xf>
    <xf numFmtId="167" fontId="0" fillId="0" borderId="0" xfId="2" applyNumberFormat="1" applyFont="1" applyFill="1" applyAlignment="1">
      <alignment horizontal="right"/>
    </xf>
    <xf numFmtId="169" fontId="0" fillId="0" borderId="0" xfId="1" applyNumberFormat="1" applyFont="1" applyFill="1" applyAlignment="1">
      <alignment horizontal="right"/>
    </xf>
    <xf numFmtId="3" fontId="3" fillId="11" borderId="0" xfId="0" applyNumberFormat="1" applyFont="1" applyFill="1" applyAlignment="1">
      <alignment horizontal="right"/>
    </xf>
    <xf numFmtId="0" fontId="0" fillId="11" borderId="0" xfId="0" applyFill="1" applyAlignment="1">
      <alignment horizontal="right"/>
    </xf>
    <xf numFmtId="166" fontId="0" fillId="11" borderId="0" xfId="1" applyNumberFormat="1" applyFont="1" applyFill="1" applyAlignment="1">
      <alignment horizontal="right"/>
    </xf>
    <xf numFmtId="169" fontId="3" fillId="11" borderId="0" xfId="0" applyNumberFormat="1" applyFont="1" applyFill="1" applyAlignment="1">
      <alignment horizontal="right"/>
    </xf>
    <xf numFmtId="166" fontId="18" fillId="11" borderId="0" xfId="1" applyNumberFormat="1" applyFont="1" applyFill="1" applyAlignment="1">
      <alignment horizontal="right"/>
    </xf>
    <xf numFmtId="165" fontId="1" fillId="7" borderId="0" xfId="1" applyNumberFormat="1" applyFont="1" applyFill="1" applyAlignment="1">
      <alignment horizontal="right"/>
    </xf>
    <xf numFmtId="166" fontId="0" fillId="7" borderId="0" xfId="0" applyNumberFormat="1" applyFill="1" applyAlignment="1">
      <alignment horizontal="right"/>
    </xf>
    <xf numFmtId="10" fontId="20" fillId="13" borderId="0" xfId="2" applyNumberFormat="1" applyFont="1" applyFill="1" applyBorder="1" applyAlignment="1">
      <alignment horizontal="right"/>
    </xf>
    <xf numFmtId="10" fontId="0" fillId="13" borderId="0" xfId="2" applyNumberFormat="1" applyFont="1" applyFill="1" applyBorder="1" applyAlignment="1">
      <alignment horizontal="right"/>
    </xf>
    <xf numFmtId="17" fontId="10" fillId="0" borderId="0" xfId="0" applyNumberFormat="1" applyFont="1" applyAlignment="1">
      <alignment horizontal="right"/>
    </xf>
    <xf numFmtId="0" fontId="19" fillId="2" borderId="0" xfId="0" applyFont="1" applyFill="1" applyAlignment="1">
      <alignment horizontal="right"/>
    </xf>
    <xf numFmtId="169" fontId="3" fillId="7" borderId="0" xfId="0" applyNumberFormat="1" applyFont="1" applyFill="1" applyAlignment="1">
      <alignment horizontal="right"/>
    </xf>
    <xf numFmtId="0" fontId="3" fillId="7" borderId="5" xfId="0" applyFont="1" applyFill="1" applyBorder="1" applyAlignment="1">
      <alignment horizontal="left"/>
    </xf>
    <xf numFmtId="169" fontId="10" fillId="7" borderId="5" xfId="1" applyNumberFormat="1" applyFont="1" applyFill="1" applyBorder="1" applyAlignment="1">
      <alignment horizontal="right"/>
    </xf>
    <xf numFmtId="0" fontId="0" fillId="0" borderId="7" xfId="0" applyBorder="1"/>
    <xf numFmtId="0" fontId="0" fillId="0" borderId="7" xfId="0" applyBorder="1" applyAlignment="1">
      <alignment horizontal="right"/>
    </xf>
    <xf numFmtId="169" fontId="3" fillId="0" borderId="0" xfId="1" applyNumberFormat="1" applyFont="1" applyAlignment="1">
      <alignment horizontal="right"/>
    </xf>
    <xf numFmtId="0" fontId="3" fillId="0" borderId="0" xfId="0" applyFont="1" applyAlignment="1">
      <alignment horizontal="left" indent="1"/>
    </xf>
    <xf numFmtId="169" fontId="3" fillId="0" borderId="0" xfId="1" applyNumberFormat="1" applyFont="1" applyFill="1" applyAlignment="1">
      <alignment horizontal="right"/>
    </xf>
    <xf numFmtId="0" fontId="3" fillId="0" borderId="0" xfId="0" applyFont="1" applyAlignment="1">
      <alignment horizontal="left"/>
    </xf>
    <xf numFmtId="169" fontId="0" fillId="9" borderId="0" xfId="1" applyNumberFormat="1" applyFont="1" applyFill="1"/>
    <xf numFmtId="0" fontId="0" fillId="0" borderId="4" xfId="0" applyBorder="1"/>
    <xf numFmtId="0" fontId="0" fillId="0" borderId="6" xfId="0" applyBorder="1"/>
    <xf numFmtId="0" fontId="22" fillId="10" borderId="4" xfId="10" applyFont="1" applyFill="1" applyBorder="1" applyAlignment="1">
      <alignment horizontal="left" vertical="center" wrapText="1"/>
    </xf>
    <xf numFmtId="17" fontId="19" fillId="2" borderId="0" xfId="0" applyNumberFormat="1" applyFont="1" applyFill="1"/>
    <xf numFmtId="17" fontId="19" fillId="3" borderId="0" xfId="0" applyNumberFormat="1" applyFont="1" applyFill="1"/>
    <xf numFmtId="166" fontId="1" fillId="0" borderId="0" xfId="1" applyNumberFormat="1" applyFont="1" applyAlignment="1">
      <alignment horizontal="right"/>
    </xf>
    <xf numFmtId="0" fontId="23" fillId="0" borderId="0" xfId="0" applyFont="1" applyAlignment="1">
      <alignment horizontal="left" indent="2"/>
    </xf>
    <xf numFmtId="0" fontId="23" fillId="0" borderId="0" xfId="0" applyFont="1"/>
    <xf numFmtId="166" fontId="23" fillId="0" borderId="0" xfId="1" applyNumberFormat="1" applyFont="1" applyAlignment="1">
      <alignment horizontal="right"/>
    </xf>
    <xf numFmtId="0" fontId="24" fillId="0" borderId="0" xfId="0" applyFont="1" applyAlignment="1">
      <alignment horizontal="left" indent="2"/>
    </xf>
    <xf numFmtId="166" fontId="25" fillId="0" borderId="0" xfId="1" applyNumberFormat="1" applyFont="1"/>
    <xf numFmtId="166" fontId="23" fillId="0" borderId="0" xfId="1" applyNumberFormat="1" applyFont="1"/>
    <xf numFmtId="166" fontId="2" fillId="0" borderId="0" xfId="1" applyNumberFormat="1" applyFont="1"/>
    <xf numFmtId="166" fontId="3" fillId="0" borderId="0" xfId="1" applyNumberFormat="1" applyFont="1" applyAlignment="1">
      <alignment horizontal="left" indent="2"/>
    </xf>
    <xf numFmtId="0" fontId="3" fillId="0" borderId="4" xfId="0" applyFont="1" applyBorder="1" applyAlignment="1">
      <alignment horizontal="left"/>
    </xf>
    <xf numFmtId="0" fontId="22" fillId="10" borderId="8" xfId="10" applyFont="1" applyFill="1" applyBorder="1" applyAlignment="1">
      <alignment horizontal="left" vertical="center" wrapText="1"/>
    </xf>
    <xf numFmtId="0" fontId="3" fillId="0" borderId="4" xfId="0" applyFont="1" applyBorder="1"/>
    <xf numFmtId="169" fontId="3" fillId="0" borderId="6" xfId="0" applyNumberFormat="1" applyFont="1" applyBorder="1" applyAlignment="1">
      <alignment horizontal="left"/>
    </xf>
    <xf numFmtId="166" fontId="3" fillId="0" borderId="6" xfId="1" applyNumberFormat="1" applyFont="1" applyBorder="1" applyAlignment="1">
      <alignment horizontal="left"/>
    </xf>
    <xf numFmtId="169" fontId="3" fillId="0" borderId="6" xfId="1" applyNumberFormat="1" applyFont="1" applyBorder="1" applyAlignment="1">
      <alignment horizontal="right"/>
    </xf>
    <xf numFmtId="166" fontId="3" fillId="0" borderId="6" xfId="1" applyNumberFormat="1" applyFont="1" applyBorder="1" applyAlignment="1">
      <alignment horizontal="right"/>
    </xf>
    <xf numFmtId="0" fontId="22" fillId="0" borderId="8" xfId="10" applyFont="1" applyFill="1" applyBorder="1" applyAlignment="1">
      <alignment horizontal="left" vertical="center" wrapText="1"/>
    </xf>
    <xf numFmtId="17" fontId="19" fillId="0" borderId="0" xfId="0" applyNumberFormat="1" applyFont="1"/>
    <xf numFmtId="169" fontId="3" fillId="0" borderId="6" xfId="1" applyNumberFormat="1" applyFont="1" applyBorder="1"/>
    <xf numFmtId="169" fontId="3" fillId="8" borderId="6" xfId="1" applyNumberFormat="1" applyFont="1" applyFill="1" applyBorder="1"/>
    <xf numFmtId="169" fontId="3" fillId="9" borderId="6" xfId="1" applyNumberFormat="1" applyFont="1" applyFill="1" applyBorder="1"/>
    <xf numFmtId="166" fontId="3" fillId="0" borderId="6" xfId="1" applyNumberFormat="1" applyFont="1" applyBorder="1"/>
    <xf numFmtId="0" fontId="3" fillId="0" borderId="6" xfId="0" applyFont="1" applyBorder="1"/>
    <xf numFmtId="166" fontId="0" fillId="0" borderId="0" xfId="1" applyNumberFormat="1" applyFont="1" applyAlignment="1">
      <alignment horizontal="left" indent="1"/>
    </xf>
    <xf numFmtId="0" fontId="19" fillId="3" borderId="0" xfId="0" applyFont="1" applyFill="1" applyAlignment="1">
      <alignment horizontal="right"/>
    </xf>
    <xf numFmtId="0" fontId="26" fillId="14" borderId="0" xfId="0" applyFont="1" applyFill="1" applyAlignment="1">
      <alignment horizontal="right"/>
    </xf>
    <xf numFmtId="166" fontId="26" fillId="14" borderId="0" xfId="0" applyNumberFormat="1" applyFont="1" applyFill="1" applyAlignment="1">
      <alignment horizontal="right"/>
    </xf>
    <xf numFmtId="166" fontId="15" fillId="14" borderId="0" xfId="1" applyNumberFormat="1" applyFont="1" applyFill="1" applyAlignment="1">
      <alignment horizontal="right"/>
    </xf>
    <xf numFmtId="166" fontId="3" fillId="11" borderId="0" xfId="1" applyNumberFormat="1" applyFont="1" applyFill="1"/>
    <xf numFmtId="166" fontId="3" fillId="11" borderId="0" xfId="1" applyNumberFormat="1" applyFont="1" applyFill="1" applyAlignment="1">
      <alignment horizontal="right"/>
    </xf>
    <xf numFmtId="166" fontId="0" fillId="4" borderId="0" xfId="1" applyNumberFormat="1" applyFont="1" applyFill="1" applyAlignment="1">
      <alignment horizontal="left" indent="2"/>
    </xf>
    <xf numFmtId="166" fontId="0" fillId="0" borderId="0" xfId="1" applyNumberFormat="1" applyFont="1" applyAlignment="1">
      <alignment horizontal="left" indent="2"/>
    </xf>
    <xf numFmtId="165" fontId="0" fillId="0" borderId="6" xfId="1" applyNumberFormat="1" applyFont="1" applyBorder="1"/>
    <xf numFmtId="167" fontId="2" fillId="0" borderId="0" xfId="2" applyNumberFormat="1" applyFont="1"/>
    <xf numFmtId="164" fontId="17" fillId="0" borderId="6" xfId="0" applyNumberFormat="1" applyFont="1" applyBorder="1"/>
    <xf numFmtId="167" fontId="3" fillId="0" borderId="6" xfId="2" applyNumberFormat="1" applyFont="1" applyBorder="1"/>
    <xf numFmtId="166" fontId="14" fillId="0" borderId="6" xfId="1" applyNumberFormat="1" applyFont="1" applyBorder="1" applyAlignment="1">
      <alignment horizontal="right"/>
    </xf>
    <xf numFmtId="166" fontId="14" fillId="0" borderId="6" xfId="2" applyNumberFormat="1" applyFont="1" applyBorder="1" applyAlignment="1">
      <alignment horizontal="right"/>
    </xf>
    <xf numFmtId="166" fontId="11" fillId="0" borderId="6" xfId="2" applyNumberFormat="1" applyFont="1" applyBorder="1" applyAlignment="1">
      <alignment horizontal="right"/>
    </xf>
    <xf numFmtId="0" fontId="3" fillId="0" borderId="6" xfId="0" applyFont="1" applyBorder="1" applyAlignment="1">
      <alignment horizontal="right"/>
    </xf>
    <xf numFmtId="37" fontId="3" fillId="0" borderId="0" xfId="1" applyNumberFormat="1" applyFont="1"/>
    <xf numFmtId="37" fontId="0" fillId="0" borderId="0" xfId="1" applyNumberFormat="1" applyFont="1"/>
    <xf numFmtId="14" fontId="27" fillId="11" borderId="0" xfId="0" applyNumberFormat="1" applyFont="1" applyFill="1" applyAlignment="1">
      <alignment horizontal="center" vertical="center"/>
    </xf>
    <xf numFmtId="0" fontId="27" fillId="11" borderId="0" xfId="2" applyNumberFormat="1" applyFont="1" applyFill="1" applyAlignment="1">
      <alignment horizontal="center" vertical="center"/>
    </xf>
    <xf numFmtId="0" fontId="27" fillId="11" borderId="9" xfId="2" applyNumberFormat="1" applyFont="1" applyFill="1" applyBorder="1" applyAlignment="1">
      <alignment horizontal="center" vertical="center"/>
    </xf>
    <xf numFmtId="171" fontId="27" fillId="11" borderId="0" xfId="0" applyNumberFormat="1" applyFont="1" applyFill="1" applyAlignment="1">
      <alignment horizontal="center" vertical="center"/>
    </xf>
    <xf numFmtId="171" fontId="27" fillId="11" borderId="0" xfId="2" applyNumberFormat="1" applyFont="1" applyFill="1" applyAlignment="1">
      <alignment horizontal="center" vertical="center"/>
    </xf>
    <xf numFmtId="171" fontId="27" fillId="11" borderId="9" xfId="2" applyNumberFormat="1" applyFont="1" applyFill="1" applyBorder="1" applyAlignment="1">
      <alignment horizontal="center" vertical="center"/>
    </xf>
    <xf numFmtId="2" fontId="28" fillId="15" borderId="0" xfId="0" applyNumberFormat="1" applyFont="1" applyFill="1" applyAlignment="1">
      <alignment horizontal="center" vertical="center"/>
    </xf>
    <xf numFmtId="2" fontId="28" fillId="15" borderId="0" xfId="11" applyNumberFormat="1" applyFont="1" applyFill="1" applyAlignment="1">
      <alignment horizontal="center" vertical="center"/>
    </xf>
    <xf numFmtId="4" fontId="28" fillId="15" borderId="0" xfId="11" applyNumberFormat="1" applyFont="1" applyFill="1" applyAlignment="1">
      <alignment horizontal="center" vertical="center"/>
    </xf>
    <xf numFmtId="4" fontId="28" fillId="15" borderId="9" xfId="11" applyNumberFormat="1" applyFont="1" applyFill="1" applyBorder="1" applyAlignment="1">
      <alignment horizontal="center" vertical="center"/>
    </xf>
    <xf numFmtId="2" fontId="28" fillId="16" borderId="0" xfId="11" applyNumberFormat="1" applyFont="1" applyFill="1" applyAlignment="1">
      <alignment horizontal="center" vertical="center"/>
    </xf>
    <xf numFmtId="167" fontId="30" fillId="16" borderId="0" xfId="2" applyNumberFormat="1" applyFont="1" applyFill="1" applyAlignment="1">
      <alignment horizontal="center" vertical="center"/>
    </xf>
    <xf numFmtId="2" fontId="28" fillId="15" borderId="9" xfId="11" applyNumberFormat="1" applyFont="1" applyFill="1" applyBorder="1" applyAlignment="1">
      <alignment horizontal="center" vertical="center"/>
    </xf>
    <xf numFmtId="167" fontId="29" fillId="16" borderId="0" xfId="2" applyNumberFormat="1" applyFont="1" applyFill="1" applyAlignment="1">
      <alignment horizontal="center" vertical="center"/>
    </xf>
    <xf numFmtId="172" fontId="28" fillId="15" borderId="0" xfId="0" applyNumberFormat="1" applyFont="1" applyFill="1" applyAlignment="1">
      <alignment horizontal="center" vertical="center"/>
    </xf>
    <xf numFmtId="172" fontId="28" fillId="15" borderId="0" xfId="11" applyNumberFormat="1" applyFont="1" applyFill="1" applyAlignment="1">
      <alignment horizontal="center" vertical="center"/>
    </xf>
    <xf numFmtId="172" fontId="28" fillId="15" borderId="9" xfId="11" applyNumberFormat="1" applyFont="1" applyFill="1" applyBorder="1" applyAlignment="1">
      <alignment horizontal="center" vertical="center"/>
    </xf>
    <xf numFmtId="172" fontId="28" fillId="16" borderId="0" xfId="11" applyNumberFormat="1" applyFont="1" applyFill="1" applyAlignment="1">
      <alignment horizontal="center" vertical="center"/>
    </xf>
    <xf numFmtId="172" fontId="29" fillId="16" borderId="0" xfId="2" applyNumberFormat="1" applyFont="1" applyFill="1" applyAlignment="1">
      <alignment horizontal="center" vertical="center"/>
    </xf>
    <xf numFmtId="4" fontId="28" fillId="15" borderId="0" xfId="0" applyNumberFormat="1" applyFont="1" applyFill="1" applyAlignment="1">
      <alignment horizontal="center" vertical="center"/>
    </xf>
    <xf numFmtId="167" fontId="28" fillId="15" borderId="0" xfId="2" applyNumberFormat="1" applyFont="1" applyFill="1" applyAlignment="1">
      <alignment horizontal="center" vertical="center"/>
    </xf>
    <xf numFmtId="172" fontId="28" fillId="15" borderId="0" xfId="2" applyNumberFormat="1" applyFont="1" applyFill="1" applyAlignment="1">
      <alignment horizontal="center" vertical="center"/>
    </xf>
    <xf numFmtId="172" fontId="28" fillId="15" borderId="9" xfId="2" applyNumberFormat="1" applyFont="1" applyFill="1" applyBorder="1" applyAlignment="1">
      <alignment horizontal="center" vertical="center"/>
    </xf>
    <xf numFmtId="2" fontId="28" fillId="16" borderId="0" xfId="0" applyNumberFormat="1" applyFont="1" applyFill="1" applyAlignment="1">
      <alignment horizontal="center" vertical="center"/>
    </xf>
    <xf numFmtId="9" fontId="28" fillId="15" borderId="0" xfId="2" applyFont="1" applyFill="1" applyAlignment="1">
      <alignment horizontal="center" vertical="center"/>
    </xf>
    <xf numFmtId="167" fontId="27" fillId="15" borderId="0" xfId="2" applyNumberFormat="1" applyFont="1" applyFill="1" applyAlignment="1">
      <alignment horizontal="center" vertical="center"/>
    </xf>
    <xf numFmtId="3" fontId="28" fillId="15" borderId="0" xfId="0" applyNumberFormat="1" applyFont="1" applyFill="1" applyAlignment="1">
      <alignment horizontal="center" vertical="center"/>
    </xf>
    <xf numFmtId="9" fontId="28" fillId="15" borderId="9" xfId="2" applyFont="1" applyFill="1" applyBorder="1" applyAlignment="1">
      <alignment horizontal="center" vertical="center"/>
    </xf>
    <xf numFmtId="9" fontId="28" fillId="16" borderId="0" xfId="2" applyFont="1" applyFill="1" applyAlignment="1">
      <alignment horizontal="center" vertical="center"/>
    </xf>
    <xf numFmtId="2" fontId="28" fillId="16" borderId="0" xfId="2" applyNumberFormat="1" applyFont="1" applyFill="1" applyAlignment="1">
      <alignment horizontal="center" vertical="center"/>
    </xf>
    <xf numFmtId="0" fontId="27" fillId="7" borderId="0" xfId="0" applyFont="1" applyFill="1" applyAlignment="1">
      <alignment horizontal="center" vertical="center"/>
    </xf>
    <xf numFmtId="0" fontId="27" fillId="7" borderId="0" xfId="0" applyFont="1" applyFill="1" applyAlignment="1">
      <alignment horizontal="left" vertical="center"/>
    </xf>
    <xf numFmtId="0" fontId="27" fillId="7" borderId="9" xfId="0" applyFont="1" applyFill="1" applyBorder="1" applyAlignment="1">
      <alignment horizontal="center" vertical="center"/>
    </xf>
    <xf numFmtId="0" fontId="28" fillId="15" borderId="0" xfId="0" applyFont="1" applyFill="1" applyAlignment="1">
      <alignment horizontal="center" vertical="center"/>
    </xf>
    <xf numFmtId="10" fontId="28" fillId="15" borderId="0" xfId="2" applyNumberFormat="1" applyFont="1" applyFill="1" applyAlignment="1">
      <alignment horizontal="center" vertical="center"/>
    </xf>
    <xf numFmtId="10" fontId="28" fillId="15" borderId="9" xfId="2" applyNumberFormat="1" applyFont="1" applyFill="1" applyBorder="1" applyAlignment="1">
      <alignment horizontal="center" vertical="center"/>
    </xf>
    <xf numFmtId="10" fontId="30" fillId="16" borderId="0" xfId="2" applyNumberFormat="1" applyFont="1" applyFill="1" applyAlignment="1">
      <alignment horizontal="center" vertical="center"/>
    </xf>
    <xf numFmtId="4" fontId="28" fillId="16" borderId="0" xfId="2" applyNumberFormat="1" applyFont="1" applyFill="1" applyAlignment="1">
      <alignment horizontal="center" vertical="center"/>
    </xf>
    <xf numFmtId="167" fontId="28" fillId="16" borderId="0" xfId="2" applyNumberFormat="1" applyFont="1" applyFill="1" applyAlignment="1">
      <alignment horizontal="center" vertical="center"/>
    </xf>
    <xf numFmtId="167" fontId="28" fillId="15" borderId="9" xfId="2" applyNumberFormat="1" applyFont="1" applyFill="1" applyBorder="1" applyAlignment="1">
      <alignment horizontal="center" vertical="center"/>
    </xf>
    <xf numFmtId="10" fontId="28" fillId="16" borderId="0" xfId="2" applyNumberFormat="1" applyFont="1" applyFill="1" applyAlignment="1">
      <alignment horizontal="center" vertical="center"/>
    </xf>
    <xf numFmtId="10" fontId="31" fillId="16" borderId="0" xfId="2" applyNumberFormat="1" applyFont="1" applyFill="1" applyAlignment="1">
      <alignment horizontal="center" vertical="center"/>
    </xf>
    <xf numFmtId="10" fontId="29" fillId="15" borderId="0" xfId="2" applyNumberFormat="1" applyFont="1" applyFill="1" applyAlignment="1">
      <alignment horizontal="center" vertical="center"/>
    </xf>
    <xf numFmtId="10" fontId="28" fillId="5" borderId="0" xfId="2" applyNumberFormat="1" applyFont="1" applyFill="1" applyAlignment="1">
      <alignment horizontal="center" vertical="center"/>
    </xf>
    <xf numFmtId="167" fontId="27" fillId="7" borderId="0" xfId="2" applyNumberFormat="1" applyFont="1" applyFill="1" applyAlignment="1">
      <alignment horizontal="center" vertical="center"/>
    </xf>
    <xf numFmtId="10" fontId="30" fillId="5" borderId="10" xfId="2" applyNumberFormat="1" applyFont="1" applyFill="1" applyBorder="1" applyAlignment="1">
      <alignment horizontal="center" vertical="center"/>
    </xf>
    <xf numFmtId="10" fontId="32" fillId="5" borderId="0" xfId="2" applyNumberFormat="1" applyFont="1" applyFill="1" applyAlignment="1">
      <alignment horizontal="center" vertical="center"/>
    </xf>
    <xf numFmtId="10" fontId="27" fillId="5" borderId="0" xfId="2" applyNumberFormat="1" applyFont="1" applyFill="1" applyAlignment="1">
      <alignment horizontal="center" vertical="center"/>
    </xf>
    <xf numFmtId="10" fontId="32" fillId="16" borderId="0" xfId="2" applyNumberFormat="1" applyFont="1" applyFill="1" applyAlignment="1">
      <alignment horizontal="center" vertical="center"/>
    </xf>
    <xf numFmtId="3" fontId="28" fillId="16" borderId="0" xfId="2" applyNumberFormat="1" applyFont="1" applyFill="1" applyAlignment="1">
      <alignment horizontal="center" vertical="center"/>
    </xf>
    <xf numFmtId="0" fontId="27" fillId="15" borderId="0" xfId="0" applyFont="1" applyFill="1" applyAlignment="1">
      <alignment horizontal="center" vertical="center"/>
    </xf>
    <xf numFmtId="3" fontId="27" fillId="15" borderId="0" xfId="0" applyNumberFormat="1" applyFont="1" applyFill="1" applyAlignment="1">
      <alignment horizontal="center" vertical="center"/>
    </xf>
    <xf numFmtId="169" fontId="28" fillId="16" borderId="0" xfId="1" applyNumberFormat="1" applyFont="1" applyFill="1" applyAlignment="1">
      <alignment horizontal="center" vertical="center"/>
    </xf>
    <xf numFmtId="10" fontId="27" fillId="16" borderId="0" xfId="2" applyNumberFormat="1" applyFont="1" applyFill="1" applyAlignment="1">
      <alignment horizontal="center" vertical="center"/>
    </xf>
    <xf numFmtId="10" fontId="31" fillId="15" borderId="9" xfId="2" applyNumberFormat="1" applyFont="1" applyFill="1" applyBorder="1" applyAlignment="1">
      <alignment horizontal="center" vertical="center"/>
    </xf>
    <xf numFmtId="167" fontId="31" fillId="16" borderId="0" xfId="2" applyNumberFormat="1" applyFont="1" applyFill="1" applyAlignment="1">
      <alignment horizontal="center" vertical="center"/>
    </xf>
    <xf numFmtId="2" fontId="27" fillId="7" borderId="0" xfId="0" applyNumberFormat="1" applyFont="1" applyFill="1" applyAlignment="1">
      <alignment horizontal="center" vertical="center"/>
    </xf>
    <xf numFmtId="2" fontId="27" fillId="7" borderId="9" xfId="0" applyNumberFormat="1" applyFont="1" applyFill="1" applyBorder="1" applyAlignment="1">
      <alignment horizontal="center" vertical="center"/>
    </xf>
    <xf numFmtId="4" fontId="28" fillId="16" borderId="0" xfId="11" applyNumberFormat="1" applyFont="1" applyFill="1" applyAlignment="1">
      <alignment horizontal="center" vertical="center"/>
    </xf>
    <xf numFmtId="4" fontId="29" fillId="16" borderId="0" xfId="11" applyNumberFormat="1" applyFont="1" applyFill="1" applyAlignment="1">
      <alignment horizontal="center" vertical="center"/>
    </xf>
    <xf numFmtId="3" fontId="28" fillId="15" borderId="0" xfId="11" applyNumberFormat="1" applyFont="1" applyFill="1" applyAlignment="1">
      <alignment horizontal="center" vertical="center"/>
    </xf>
    <xf numFmtId="3" fontId="28" fillId="15" borderId="9" xfId="11" applyNumberFormat="1" applyFont="1" applyFill="1" applyBorder="1" applyAlignment="1">
      <alignment horizontal="center" vertical="center"/>
    </xf>
    <xf numFmtId="3" fontId="28" fillId="16" borderId="0" xfId="11" applyNumberFormat="1" applyFont="1" applyFill="1" applyAlignment="1">
      <alignment horizontal="center" vertical="center"/>
    </xf>
    <xf numFmtId="3" fontId="29" fillId="16" borderId="0" xfId="11" applyNumberFormat="1" applyFont="1" applyFill="1" applyAlignment="1">
      <alignment horizontal="center" vertical="center"/>
    </xf>
    <xf numFmtId="4" fontId="31" fillId="15" borderId="0" xfId="0" applyNumberFormat="1" applyFont="1" applyFill="1" applyAlignment="1">
      <alignment horizontal="center" vertical="center"/>
    </xf>
    <xf numFmtId="3" fontId="28" fillId="11" borderId="0" xfId="11" applyNumberFormat="1" applyFont="1" applyFill="1" applyAlignment="1">
      <alignment horizontal="center" vertical="center"/>
    </xf>
    <xf numFmtId="4" fontId="27" fillId="16" borderId="0" xfId="11" applyNumberFormat="1" applyFont="1" applyFill="1" applyAlignment="1">
      <alignment horizontal="center" vertical="center"/>
    </xf>
    <xf numFmtId="10" fontId="27" fillId="7" borderId="0" xfId="2" applyNumberFormat="1" applyFont="1" applyFill="1" applyAlignment="1">
      <alignment horizontal="center" vertical="center"/>
    </xf>
    <xf numFmtId="10" fontId="29" fillId="16" borderId="0" xfId="2" applyNumberFormat="1" applyFont="1" applyFill="1" applyAlignment="1">
      <alignment horizontal="center" vertical="center"/>
    </xf>
    <xf numFmtId="10" fontId="28" fillId="16" borderId="0" xfId="2" applyNumberFormat="1" applyFont="1" applyFill="1" applyAlignment="1">
      <alignment horizontal="left" vertical="center"/>
    </xf>
    <xf numFmtId="10" fontId="29" fillId="15" borderId="11" xfId="2" applyNumberFormat="1" applyFont="1" applyFill="1" applyBorder="1" applyAlignment="1">
      <alignment horizontal="center" vertical="center"/>
    </xf>
    <xf numFmtId="10" fontId="33" fillId="16" borderId="0" xfId="2" applyNumberFormat="1" applyFont="1" applyFill="1" applyAlignment="1">
      <alignment horizontal="center" vertical="center"/>
    </xf>
    <xf numFmtId="167" fontId="29" fillId="15" borderId="0" xfId="2" applyNumberFormat="1" applyFont="1" applyFill="1" applyAlignment="1">
      <alignment horizontal="center" vertical="center"/>
    </xf>
    <xf numFmtId="0" fontId="28" fillId="17" borderId="0" xfId="0" applyFont="1" applyFill="1" applyAlignment="1">
      <alignment horizontal="center" vertical="center"/>
    </xf>
    <xf numFmtId="10" fontId="28" fillId="17" borderId="9" xfId="5" applyNumberFormat="1" applyFont="1" applyFill="1" applyBorder="1" applyAlignment="1">
      <alignment horizontal="center" vertical="center"/>
    </xf>
    <xf numFmtId="10" fontId="31" fillId="18" borderId="0" xfId="5" applyNumberFormat="1" applyFont="1" applyFill="1" applyAlignment="1">
      <alignment horizontal="center" vertical="center"/>
    </xf>
    <xf numFmtId="10" fontId="27" fillId="7" borderId="0" xfId="0" applyNumberFormat="1" applyFont="1" applyFill="1" applyAlignment="1">
      <alignment horizontal="center" vertical="center"/>
    </xf>
    <xf numFmtId="168" fontId="27" fillId="7" borderId="0" xfId="0" applyNumberFormat="1" applyFont="1" applyFill="1" applyAlignment="1">
      <alignment horizontal="center" vertical="center"/>
    </xf>
    <xf numFmtId="168" fontId="27" fillId="7" borderId="9" xfId="0" applyNumberFormat="1" applyFont="1" applyFill="1" applyBorder="1" applyAlignment="1">
      <alignment horizontal="center" vertical="center"/>
    </xf>
    <xf numFmtId="3" fontId="27" fillId="7" borderId="0" xfId="0" applyNumberFormat="1" applyFont="1" applyFill="1" applyAlignment="1">
      <alignment horizontal="center" vertical="center"/>
    </xf>
    <xf numFmtId="4" fontId="28" fillId="15" borderId="0" xfId="2" applyNumberFormat="1" applyFont="1" applyFill="1" applyAlignment="1">
      <alignment horizontal="center" vertical="center"/>
    </xf>
    <xf numFmtId="4" fontId="28" fillId="15" borderId="9" xfId="2" applyNumberFormat="1" applyFont="1" applyFill="1" applyBorder="1" applyAlignment="1">
      <alignment horizontal="center" vertical="center"/>
    </xf>
    <xf numFmtId="3" fontId="29" fillId="15" borderId="0" xfId="2" applyNumberFormat="1" applyFont="1" applyFill="1" applyAlignment="1">
      <alignment horizontal="center" vertical="center"/>
    </xf>
    <xf numFmtId="4" fontId="27" fillId="15" borderId="0" xfId="2" applyNumberFormat="1" applyFont="1" applyFill="1" applyAlignment="1">
      <alignment horizontal="center" vertical="center"/>
    </xf>
    <xf numFmtId="3" fontId="28" fillId="15" borderId="0" xfId="2" applyNumberFormat="1" applyFont="1" applyFill="1" applyAlignment="1">
      <alignment horizontal="center" vertical="center"/>
    </xf>
    <xf numFmtId="3" fontId="28" fillId="15" borderId="9" xfId="2" applyNumberFormat="1" applyFont="1" applyFill="1" applyBorder="1" applyAlignment="1">
      <alignment horizontal="center" vertical="center"/>
    </xf>
    <xf numFmtId="3" fontId="29" fillId="16" borderId="0" xfId="2" applyNumberFormat="1" applyFont="1" applyFill="1" applyAlignment="1">
      <alignment horizontal="center" vertical="center"/>
    </xf>
    <xf numFmtId="4" fontId="29" fillId="15" borderId="9" xfId="2" applyNumberFormat="1" applyFont="1" applyFill="1" applyBorder="1" applyAlignment="1">
      <alignment horizontal="center" vertical="center"/>
    </xf>
    <xf numFmtId="172" fontId="28" fillId="16" borderId="0" xfId="2" applyNumberFormat="1" applyFont="1" applyFill="1" applyAlignment="1">
      <alignment horizontal="center" vertical="center"/>
    </xf>
    <xf numFmtId="172" fontId="28" fillId="7" borderId="0" xfId="0" applyNumberFormat="1" applyFont="1" applyFill="1" applyAlignment="1">
      <alignment horizontal="center" vertical="center"/>
    </xf>
    <xf numFmtId="172" fontId="28" fillId="7" borderId="9" xfId="0" applyNumberFormat="1" applyFont="1" applyFill="1" applyBorder="1" applyAlignment="1">
      <alignment horizontal="center" vertical="center"/>
    </xf>
    <xf numFmtId="4" fontId="28" fillId="7" borderId="0" xfId="11" applyNumberFormat="1" applyFont="1" applyFill="1" applyAlignment="1">
      <alignment horizontal="center" vertical="center"/>
    </xf>
    <xf numFmtId="172" fontId="28" fillId="16" borderId="0" xfId="0" applyNumberFormat="1" applyFont="1" applyFill="1" applyAlignment="1">
      <alignment horizontal="center" vertical="center"/>
    </xf>
    <xf numFmtId="0" fontId="28" fillId="16" borderId="0" xfId="0" applyFont="1" applyFill="1" applyAlignment="1">
      <alignment horizontal="center" vertical="center"/>
    </xf>
    <xf numFmtId="0" fontId="28" fillId="15" borderId="9" xfId="0" applyFont="1" applyFill="1" applyBorder="1" applyAlignment="1">
      <alignment horizontal="center" vertical="center"/>
    </xf>
    <xf numFmtId="0" fontId="27" fillId="11" borderId="0" xfId="2" applyNumberFormat="1" applyFont="1" applyFill="1" applyBorder="1" applyAlignment="1">
      <alignment horizontal="center" vertical="center"/>
    </xf>
    <xf numFmtId="171" fontId="27" fillId="11" borderId="0" xfId="2" applyNumberFormat="1" applyFont="1" applyFill="1" applyBorder="1" applyAlignment="1">
      <alignment horizontal="center" vertical="center"/>
    </xf>
    <xf numFmtId="4" fontId="28" fillId="15" borderId="0" xfId="11" applyNumberFormat="1" applyFont="1" applyFill="1" applyBorder="1" applyAlignment="1">
      <alignment horizontal="center" vertical="center"/>
    </xf>
    <xf numFmtId="172" fontId="28" fillId="15" borderId="0" xfId="11" applyNumberFormat="1" applyFont="1" applyFill="1" applyBorder="1" applyAlignment="1">
      <alignment horizontal="center" vertical="center"/>
    </xf>
    <xf numFmtId="172" fontId="28" fillId="15" borderId="0" xfId="2" applyNumberFormat="1" applyFont="1" applyFill="1" applyBorder="1" applyAlignment="1">
      <alignment horizontal="center" vertical="center"/>
    </xf>
    <xf numFmtId="9" fontId="28" fillId="15" borderId="0" xfId="2" applyFont="1" applyFill="1" applyBorder="1" applyAlignment="1">
      <alignment horizontal="center" vertical="center"/>
    </xf>
    <xf numFmtId="10" fontId="28" fillId="15" borderId="0" xfId="2" applyNumberFormat="1" applyFont="1" applyFill="1" applyBorder="1" applyAlignment="1">
      <alignment horizontal="center" vertical="center"/>
    </xf>
    <xf numFmtId="10" fontId="31" fillId="15" borderId="0" xfId="2" applyNumberFormat="1" applyFont="1" applyFill="1" applyBorder="1" applyAlignment="1">
      <alignment horizontal="center" vertical="center"/>
    </xf>
    <xf numFmtId="3" fontId="28" fillId="15" borderId="0" xfId="11" applyNumberFormat="1" applyFont="1" applyFill="1" applyBorder="1" applyAlignment="1">
      <alignment horizontal="center" vertical="center"/>
    </xf>
    <xf numFmtId="10" fontId="28" fillId="17" borderId="0" xfId="5" applyNumberFormat="1" applyFont="1" applyFill="1" applyBorder="1" applyAlignment="1">
      <alignment horizontal="center" vertical="center"/>
    </xf>
    <xf numFmtId="4" fontId="28" fillId="15" borderId="0" xfId="2" applyNumberFormat="1" applyFont="1" applyFill="1" applyBorder="1" applyAlignment="1">
      <alignment horizontal="center" vertical="center"/>
    </xf>
    <xf numFmtId="3" fontId="28" fillId="15" borderId="0" xfId="2" applyNumberFormat="1" applyFont="1" applyFill="1" applyBorder="1" applyAlignment="1">
      <alignment horizontal="center" vertical="center"/>
    </xf>
    <xf numFmtId="4" fontId="29" fillId="15" borderId="0" xfId="2" applyNumberFormat="1" applyFont="1" applyFill="1" applyBorder="1" applyAlignment="1">
      <alignment horizontal="center" vertical="center"/>
    </xf>
    <xf numFmtId="167" fontId="28" fillId="15" borderId="0" xfId="2" applyNumberFormat="1" applyFont="1" applyFill="1" applyBorder="1" applyAlignment="1">
      <alignment horizontal="center" vertical="center"/>
    </xf>
    <xf numFmtId="0" fontId="0" fillId="0" borderId="9" xfId="0" applyBorder="1"/>
    <xf numFmtId="0" fontId="0" fillId="14" borderId="15" xfId="0" applyFill="1" applyBorder="1"/>
    <xf numFmtId="167" fontId="1" fillId="14" borderId="7" xfId="2" applyNumberFormat="1" applyFont="1" applyFill="1" applyBorder="1" applyAlignment="1">
      <alignment horizontal="right"/>
    </xf>
    <xf numFmtId="0" fontId="0" fillId="14" borderId="7" xfId="0" applyFill="1" applyBorder="1" applyAlignment="1">
      <alignment horizontal="right"/>
    </xf>
    <xf numFmtId="37" fontId="3" fillId="7" borderId="0" xfId="0" applyNumberFormat="1" applyFont="1" applyFill="1"/>
    <xf numFmtId="37" fontId="3" fillId="7" borderId="0" xfId="0" applyNumberFormat="1" applyFont="1" applyFill="1" applyAlignment="1">
      <alignment horizontal="right"/>
    </xf>
    <xf numFmtId="37" fontId="18" fillId="7" borderId="0" xfId="0" applyNumberFormat="1" applyFont="1" applyFill="1" applyAlignment="1">
      <alignment horizontal="right"/>
    </xf>
    <xf numFmtId="166" fontId="13" fillId="0" borderId="0" xfId="1" applyNumberFormat="1" applyFont="1" applyAlignment="1">
      <alignment horizontal="left"/>
    </xf>
    <xf numFmtId="166" fontId="13" fillId="0" borderId="0" xfId="1" applyNumberFormat="1" applyFont="1" applyAlignment="1">
      <alignment horizontal="left" indent="1"/>
    </xf>
    <xf numFmtId="37" fontId="3" fillId="0" borderId="0" xfId="0" applyNumberFormat="1" applyFont="1"/>
    <xf numFmtId="37" fontId="3" fillId="0" borderId="0" xfId="0" applyNumberFormat="1" applyFont="1" applyAlignment="1">
      <alignment horizontal="right"/>
    </xf>
    <xf numFmtId="167" fontId="16" fillId="0" borderId="0" xfId="2" applyNumberFormat="1" applyFont="1" applyAlignment="1">
      <alignment horizontal="right"/>
    </xf>
    <xf numFmtId="0" fontId="16" fillId="0" borderId="8" xfId="0" applyFont="1" applyBorder="1"/>
    <xf numFmtId="10" fontId="16" fillId="0" borderId="1" xfId="0" applyNumberFormat="1" applyFont="1" applyBorder="1"/>
    <xf numFmtId="10" fontId="34" fillId="0" borderId="1" xfId="0" applyNumberFormat="1" applyFont="1" applyBorder="1"/>
    <xf numFmtId="0" fontId="16" fillId="0" borderId="1" xfId="0" applyFont="1" applyBorder="1"/>
    <xf numFmtId="0" fontId="16" fillId="0" borderId="16" xfId="0" applyFont="1" applyBorder="1"/>
    <xf numFmtId="167" fontId="16" fillId="0" borderId="5" xfId="2" applyNumberFormat="1" applyFont="1" applyBorder="1"/>
    <xf numFmtId="10" fontId="34" fillId="0" borderId="5" xfId="0" applyNumberFormat="1" applyFont="1" applyBorder="1"/>
    <xf numFmtId="0" fontId="16" fillId="0" borderId="5" xfId="0" applyFont="1" applyBorder="1"/>
    <xf numFmtId="10" fontId="16" fillId="0" borderId="5" xfId="0" applyNumberFormat="1" applyFont="1" applyBorder="1"/>
    <xf numFmtId="0" fontId="21" fillId="0" borderId="0" xfId="0" applyFont="1"/>
    <xf numFmtId="17" fontId="35" fillId="0" borderId="0" xfId="0" applyNumberFormat="1" applyFont="1" applyAlignment="1">
      <alignment horizontal="right"/>
    </xf>
    <xf numFmtId="0" fontId="21" fillId="4" borderId="0" xfId="0" applyFont="1" applyFill="1" applyAlignment="1">
      <alignment horizontal="right"/>
    </xf>
    <xf numFmtId="10" fontId="16" fillId="0" borderId="0" xfId="0" applyNumberFormat="1" applyFont="1" applyAlignment="1">
      <alignment horizontal="right"/>
    </xf>
    <xf numFmtId="0" fontId="36" fillId="13" borderId="0" xfId="0" applyFont="1" applyFill="1"/>
    <xf numFmtId="10" fontId="36" fillId="13" borderId="0" xfId="2" applyNumberFormat="1" applyFont="1" applyFill="1" applyAlignment="1">
      <alignment horizontal="right"/>
    </xf>
    <xf numFmtId="10" fontId="34" fillId="13" borderId="0" xfId="2" applyNumberFormat="1" applyFont="1" applyFill="1" applyAlignment="1">
      <alignment horizontal="right"/>
    </xf>
    <xf numFmtId="0" fontId="36" fillId="13" borderId="0" xfId="0" applyFont="1" applyFill="1" applyAlignment="1">
      <alignment horizontal="right"/>
    </xf>
    <xf numFmtId="173" fontId="3" fillId="5" borderId="0" xfId="0" applyNumberFormat="1" applyFont="1" applyFill="1"/>
    <xf numFmtId="43" fontId="1" fillId="7" borderId="0" xfId="1" applyFont="1" applyFill="1" applyAlignment="1">
      <alignment horizontal="right"/>
    </xf>
    <xf numFmtId="37" fontId="0" fillId="0" borderId="0" xfId="0" applyNumberFormat="1"/>
    <xf numFmtId="0" fontId="3" fillId="14" borderId="12" xfId="0" applyFont="1" applyFill="1" applyBorder="1"/>
    <xf numFmtId="169" fontId="3" fillId="14" borderId="13" xfId="0" applyNumberFormat="1" applyFont="1" applyFill="1" applyBorder="1" applyAlignment="1">
      <alignment horizontal="right"/>
    </xf>
    <xf numFmtId="169" fontId="11" fillId="14" borderId="13" xfId="0" applyNumberFormat="1" applyFont="1" applyFill="1" applyBorder="1" applyAlignment="1">
      <alignment horizontal="right"/>
    </xf>
    <xf numFmtId="0" fontId="3" fillId="14" borderId="13" xfId="0" applyFont="1" applyFill="1" applyBorder="1" applyAlignment="1">
      <alignment horizontal="right"/>
    </xf>
    <xf numFmtId="167" fontId="16" fillId="11" borderId="0" xfId="2" applyNumberFormat="1" applyFont="1" applyFill="1" applyAlignment="1">
      <alignment horizontal="right"/>
    </xf>
    <xf numFmtId="0" fontId="37" fillId="11" borderId="0" xfId="0" applyFont="1" applyFill="1" applyAlignment="1">
      <alignment horizontal="right"/>
    </xf>
    <xf numFmtId="3" fontId="37" fillId="11" borderId="0" xfId="0" applyNumberFormat="1" applyFont="1" applyFill="1" applyAlignment="1">
      <alignment horizontal="right"/>
    </xf>
    <xf numFmtId="0" fontId="16" fillId="11" borderId="0" xfId="0" applyFont="1" applyFill="1"/>
    <xf numFmtId="9" fontId="0" fillId="0" borderId="0" xfId="2" applyFont="1" applyAlignment="1">
      <alignment horizontal="right"/>
    </xf>
    <xf numFmtId="10" fontId="0" fillId="0" borderId="0" xfId="0" applyNumberFormat="1" applyAlignment="1">
      <alignment horizontal="left" indent="1"/>
    </xf>
    <xf numFmtId="10" fontId="2" fillId="0" borderId="0" xfId="0" applyNumberFormat="1" applyFont="1" applyAlignment="1">
      <alignment horizontal="right"/>
    </xf>
    <xf numFmtId="169" fontId="9" fillId="0" borderId="0" xfId="0" applyNumberFormat="1" applyFont="1" applyAlignment="1">
      <alignment horizontal="right"/>
    </xf>
    <xf numFmtId="9" fontId="0" fillId="0" borderId="2" xfId="2" applyFont="1" applyBorder="1" applyAlignment="1">
      <alignment horizontal="right"/>
    </xf>
    <xf numFmtId="0" fontId="20" fillId="0" borderId="0" xfId="0" applyFont="1"/>
    <xf numFmtId="10" fontId="20" fillId="0" borderId="0" xfId="0" applyNumberFormat="1" applyFont="1" applyAlignment="1">
      <alignment horizontal="right"/>
    </xf>
    <xf numFmtId="0" fontId="20" fillId="0" borderId="0" xfId="0" applyFont="1" applyAlignment="1">
      <alignment horizontal="right"/>
    </xf>
    <xf numFmtId="167" fontId="20" fillId="0" borderId="0" xfId="0" applyNumberFormat="1" applyFont="1" applyAlignment="1">
      <alignment horizontal="right"/>
    </xf>
    <xf numFmtId="166" fontId="10" fillId="0" borderId="0" xfId="0" applyNumberFormat="1" applyFont="1" applyAlignment="1">
      <alignment horizontal="right"/>
    </xf>
    <xf numFmtId="166" fontId="17" fillId="0" borderId="0" xfId="0" applyNumberFormat="1" applyFont="1" applyAlignment="1">
      <alignment horizontal="right"/>
    </xf>
    <xf numFmtId="169" fontId="17" fillId="0" borderId="0" xfId="0" applyNumberFormat="1" applyFont="1"/>
    <xf numFmtId="166" fontId="18" fillId="0" borderId="6" xfId="1" applyNumberFormat="1" applyFont="1" applyBorder="1"/>
    <xf numFmtId="166" fontId="0" fillId="14" borderId="0" xfId="1" applyNumberFormat="1" applyFont="1" applyFill="1" applyAlignment="1">
      <alignment horizontal="left" indent="1"/>
    </xf>
    <xf numFmtId="166" fontId="0" fillId="14" borderId="0" xfId="1" applyNumberFormat="1" applyFont="1" applyFill="1" applyAlignment="1">
      <alignment horizontal="right"/>
    </xf>
    <xf numFmtId="166" fontId="38" fillId="0" borderId="0" xfId="1" applyNumberFormat="1" applyFont="1" applyAlignment="1">
      <alignment horizontal="left" indent="1"/>
    </xf>
    <xf numFmtId="166" fontId="38" fillId="0" borderId="0" xfId="1" applyNumberFormat="1" applyFont="1" applyAlignment="1">
      <alignment horizontal="right"/>
    </xf>
    <xf numFmtId="10" fontId="0" fillId="0" borderId="0" xfId="0" applyNumberFormat="1"/>
    <xf numFmtId="167" fontId="0" fillId="0" borderId="5" xfId="2" applyNumberFormat="1" applyFont="1" applyBorder="1"/>
    <xf numFmtId="167" fontId="0" fillId="0" borderId="17" xfId="2" applyNumberFormat="1" applyFont="1" applyBorder="1"/>
    <xf numFmtId="10" fontId="0" fillId="0" borderId="9" xfId="0" applyNumberFormat="1" applyBorder="1"/>
    <xf numFmtId="9" fontId="0" fillId="0" borderId="9" xfId="0" applyNumberFormat="1" applyBorder="1"/>
    <xf numFmtId="9" fontId="2" fillId="0" borderId="0" xfId="2" applyFont="1"/>
    <xf numFmtId="37" fontId="17" fillId="0" borderId="0" xfId="0" applyNumberFormat="1" applyFont="1"/>
    <xf numFmtId="3" fontId="0" fillId="0" borderId="0" xfId="0" applyNumberFormat="1"/>
    <xf numFmtId="0" fontId="0" fillId="0" borderId="12" xfId="0" applyBorder="1"/>
    <xf numFmtId="37" fontId="0" fillId="0" borderId="13" xfId="0" applyNumberFormat="1" applyBorder="1"/>
    <xf numFmtId="37" fontId="0" fillId="0" borderId="18" xfId="0" applyNumberFormat="1" applyBorder="1"/>
    <xf numFmtId="0" fontId="0" fillId="0" borderId="15" xfId="0" applyBorder="1"/>
    <xf numFmtId="10" fontId="0" fillId="13" borderId="0" xfId="0" applyNumberFormat="1" applyFill="1"/>
    <xf numFmtId="10" fontId="0" fillId="13" borderId="0" xfId="1" applyNumberFormat="1" applyFont="1" applyFill="1" applyBorder="1" applyAlignment="1">
      <alignment horizontal="right"/>
    </xf>
    <xf numFmtId="10" fontId="0" fillId="13" borderId="0" xfId="0" applyNumberFormat="1" applyFill="1" applyAlignment="1">
      <alignment horizontal="right"/>
    </xf>
    <xf numFmtId="10" fontId="20" fillId="13" borderId="0" xfId="2" applyNumberFormat="1" applyFont="1" applyFill="1" applyAlignment="1">
      <alignment horizontal="right"/>
    </xf>
    <xf numFmtId="167" fontId="39" fillId="0" borderId="0" xfId="2" applyNumberFormat="1" applyFont="1" applyAlignment="1">
      <alignment horizontal="right"/>
    </xf>
    <xf numFmtId="167" fontId="40" fillId="0" borderId="0" xfId="2" applyNumberFormat="1" applyFont="1" applyAlignment="1">
      <alignment horizontal="right"/>
    </xf>
    <xf numFmtId="166" fontId="18" fillId="0" borderId="0" xfId="0" applyNumberFormat="1" applyFont="1" applyAlignment="1">
      <alignment horizontal="right"/>
    </xf>
    <xf numFmtId="169" fontId="18" fillId="0" borderId="0" xfId="0" applyNumberFormat="1" applyFont="1" applyAlignment="1">
      <alignment horizontal="right"/>
    </xf>
    <xf numFmtId="165" fontId="0" fillId="0" borderId="0" xfId="1" applyNumberFormat="1" applyFont="1"/>
    <xf numFmtId="165" fontId="17" fillId="0" borderId="0" xfId="1" applyNumberFormat="1" applyFont="1"/>
    <xf numFmtId="10" fontId="0" fillId="0" borderId="0" xfId="2" applyNumberFormat="1" applyFont="1"/>
    <xf numFmtId="10" fontId="0" fillId="0" borderId="5" xfId="2" applyNumberFormat="1" applyFont="1" applyBorder="1"/>
    <xf numFmtId="10" fontId="0" fillId="0" borderId="7" xfId="2" applyNumberFormat="1" applyFont="1" applyBorder="1"/>
    <xf numFmtId="10" fontId="0" fillId="0" borderId="19" xfId="2" applyNumberFormat="1" applyFont="1" applyBorder="1"/>
    <xf numFmtId="0" fontId="0" fillId="12" borderId="0" xfId="0" applyFill="1"/>
    <xf numFmtId="10" fontId="0" fillId="12" borderId="0" xfId="0" applyNumberFormat="1" applyFill="1"/>
    <xf numFmtId="0" fontId="3" fillId="12" borderId="8" xfId="0" applyFont="1" applyFill="1" applyBorder="1"/>
    <xf numFmtId="0" fontId="3" fillId="11" borderId="1" xfId="0" applyFont="1" applyFill="1" applyBorder="1"/>
    <xf numFmtId="0" fontId="3" fillId="11" borderId="20" xfId="0" applyFont="1" applyFill="1" applyBorder="1"/>
    <xf numFmtId="0" fontId="0" fillId="0" borderId="21" xfId="0" applyBorder="1"/>
    <xf numFmtId="166" fontId="3" fillId="0" borderId="0" xfId="1" applyNumberFormat="1" applyFont="1" applyBorder="1"/>
    <xf numFmtId="166" fontId="3" fillId="0" borderId="9" xfId="1" applyNumberFormat="1" applyFont="1" applyBorder="1"/>
    <xf numFmtId="167" fontId="0" fillId="0" borderId="0" xfId="2" applyNumberFormat="1" applyFont="1" applyBorder="1"/>
    <xf numFmtId="167" fontId="0" fillId="0" borderId="9" xfId="2" applyNumberFormat="1" applyFont="1" applyBorder="1"/>
    <xf numFmtId="166" fontId="0" fillId="0" borderId="0" xfId="1" applyNumberFormat="1" applyFont="1" applyBorder="1"/>
    <xf numFmtId="166" fontId="0" fillId="0" borderId="9" xfId="1" applyNumberFormat="1" applyFont="1" applyBorder="1"/>
    <xf numFmtId="0" fontId="3" fillId="0" borderId="21" xfId="0" applyFont="1" applyBorder="1"/>
    <xf numFmtId="0" fontId="3" fillId="11" borderId="21" xfId="0" applyFont="1" applyFill="1" applyBorder="1"/>
    <xf numFmtId="0" fontId="3" fillId="11" borderId="9" xfId="0" applyFont="1" applyFill="1" applyBorder="1"/>
    <xf numFmtId="170" fontId="0" fillId="0" borderId="0" xfId="0" applyNumberFormat="1"/>
    <xf numFmtId="170" fontId="0" fillId="0" borderId="9" xfId="0" applyNumberFormat="1" applyBorder="1"/>
    <xf numFmtId="164" fontId="0" fillId="0" borderId="9" xfId="0" applyNumberFormat="1" applyBorder="1"/>
    <xf numFmtId="167" fontId="3" fillId="0" borderId="0" xfId="2" applyNumberFormat="1" applyFont="1" applyBorder="1"/>
    <xf numFmtId="167" fontId="3" fillId="0" borderId="9" xfId="2" applyNumberFormat="1" applyFont="1" applyBorder="1"/>
    <xf numFmtId="0" fontId="0" fillId="0" borderId="16" xfId="0" applyBorder="1"/>
    <xf numFmtId="43" fontId="3" fillId="0" borderId="0" xfId="1" applyFont="1" applyBorder="1"/>
    <xf numFmtId="43" fontId="3" fillId="0" borderId="9" xfId="1" applyFont="1" applyBorder="1"/>
    <xf numFmtId="164" fontId="3" fillId="0" borderId="0" xfId="0" applyNumberFormat="1" applyFont="1"/>
    <xf numFmtId="164" fontId="3" fillId="0" borderId="9" xfId="0" applyNumberFormat="1" applyFont="1" applyBorder="1"/>
    <xf numFmtId="37" fontId="0" fillId="0" borderId="0" xfId="1" applyNumberFormat="1" applyFont="1" applyBorder="1"/>
    <xf numFmtId="37" fontId="0" fillId="0" borderId="9" xfId="1" applyNumberFormat="1" applyFont="1" applyBorder="1"/>
    <xf numFmtId="166" fontId="0" fillId="19" borderId="0" xfId="0" applyNumberFormat="1" applyFill="1"/>
    <xf numFmtId="165" fontId="0" fillId="0" borderId="0" xfId="1" applyNumberFormat="1" applyFont="1" applyBorder="1"/>
    <xf numFmtId="165" fontId="0" fillId="0" borderId="9" xfId="1" applyNumberFormat="1" applyFont="1" applyBorder="1"/>
    <xf numFmtId="167" fontId="41" fillId="0" borderId="0" xfId="2" applyNumberFormat="1" applyFont="1"/>
    <xf numFmtId="10" fontId="2" fillId="0" borderId="0" xfId="0" applyNumberFormat="1" applyFont="1"/>
    <xf numFmtId="174" fontId="0" fillId="0" borderId="0" xfId="0" applyNumberFormat="1"/>
    <xf numFmtId="10" fontId="5" fillId="0" borderId="0" xfId="2" applyNumberFormat="1" applyFont="1"/>
    <xf numFmtId="10" fontId="2" fillId="5" borderId="0" xfId="2" applyNumberFormat="1" applyFont="1" applyFill="1"/>
    <xf numFmtId="164" fontId="2" fillId="5" borderId="0" xfId="9" applyFont="1" applyFill="1"/>
    <xf numFmtId="167" fontId="0" fillId="4" borderId="0" xfId="2" applyNumberFormat="1" applyFont="1" applyFill="1"/>
    <xf numFmtId="10" fontId="36" fillId="0" borderId="0" xfId="2" applyNumberFormat="1" applyFont="1" applyFill="1" applyAlignment="1">
      <alignment horizontal="right"/>
    </xf>
    <xf numFmtId="17" fontId="19" fillId="0" borderId="0" xfId="0" applyNumberFormat="1" applyFont="1" applyAlignment="1">
      <alignment horizontal="right"/>
    </xf>
    <xf numFmtId="166" fontId="11" fillId="0" borderId="0" xfId="1" applyNumberFormat="1" applyFont="1" applyFill="1" applyAlignment="1">
      <alignment horizontal="right"/>
    </xf>
    <xf numFmtId="166" fontId="9" fillId="0" borderId="0" xfId="1" applyNumberFormat="1" applyFont="1" applyFill="1" applyAlignment="1">
      <alignment horizontal="right"/>
    </xf>
    <xf numFmtId="166" fontId="3" fillId="0" borderId="0" xfId="1" applyNumberFormat="1" applyFont="1" applyFill="1" applyAlignment="1">
      <alignment horizontal="right"/>
    </xf>
    <xf numFmtId="167" fontId="2" fillId="0" borderId="0" xfId="2" applyNumberFormat="1" applyFont="1" applyFill="1" applyAlignment="1">
      <alignment horizontal="right"/>
    </xf>
    <xf numFmtId="167" fontId="3" fillId="0" borderId="0" xfId="2" applyNumberFormat="1" applyFont="1" applyFill="1" applyAlignment="1">
      <alignment horizontal="right"/>
    </xf>
    <xf numFmtId="166" fontId="2" fillId="0" borderId="0" xfId="1" applyNumberFormat="1" applyFont="1" applyFill="1" applyAlignment="1">
      <alignment horizontal="right"/>
    </xf>
    <xf numFmtId="167" fontId="9" fillId="0" borderId="0" xfId="2" applyNumberFormat="1" applyFont="1" applyFill="1" applyAlignment="1">
      <alignment horizontal="right"/>
    </xf>
    <xf numFmtId="43" fontId="1" fillId="0" borderId="0" xfId="1" applyFont="1" applyFill="1" applyAlignment="1">
      <alignment horizontal="right"/>
    </xf>
    <xf numFmtId="166" fontId="9" fillId="0" borderId="2" xfId="1" applyNumberFormat="1" applyFont="1" applyFill="1" applyBorder="1" applyAlignment="1">
      <alignment horizontal="right"/>
    </xf>
    <xf numFmtId="10" fontId="2" fillId="0" borderId="0" xfId="2" applyNumberFormat="1" applyFont="1" applyFill="1" applyAlignment="1">
      <alignment horizontal="right"/>
    </xf>
    <xf numFmtId="166" fontId="11" fillId="0" borderId="6" xfId="2" applyNumberFormat="1" applyFont="1" applyFill="1" applyBorder="1" applyAlignment="1">
      <alignment horizontal="right"/>
    </xf>
    <xf numFmtId="166" fontId="11" fillId="0" borderId="3" xfId="1" applyNumberFormat="1" applyFont="1" applyFill="1" applyBorder="1" applyAlignment="1">
      <alignment horizontal="right"/>
    </xf>
    <xf numFmtId="10" fontId="2" fillId="0" borderId="0" xfId="2" applyNumberFormat="1" applyFont="1" applyFill="1" applyBorder="1" applyAlignment="1">
      <alignment horizontal="right"/>
    </xf>
    <xf numFmtId="10" fontId="0" fillId="0" borderId="0" xfId="2" applyNumberFormat="1" applyFont="1" applyFill="1" applyBorder="1" applyAlignment="1">
      <alignment horizontal="right"/>
    </xf>
    <xf numFmtId="167" fontId="2" fillId="0" borderId="0" xfId="2" applyNumberFormat="1" applyFont="1" applyFill="1" applyBorder="1" applyAlignment="1">
      <alignment horizontal="right"/>
    </xf>
    <xf numFmtId="10" fontId="2" fillId="0" borderId="2" xfId="2" applyNumberFormat="1" applyFont="1" applyFill="1" applyBorder="1" applyAlignment="1">
      <alignment horizontal="right"/>
    </xf>
    <xf numFmtId="166" fontId="26" fillId="0" borderId="0" xfId="0" applyNumberFormat="1" applyFont="1" applyAlignment="1">
      <alignment horizontal="right"/>
    </xf>
    <xf numFmtId="166" fontId="15" fillId="0" borderId="0" xfId="1" applyNumberFormat="1" applyFont="1" applyFill="1" applyAlignment="1">
      <alignment horizontal="right"/>
    </xf>
    <xf numFmtId="166" fontId="18" fillId="0" borderId="0" xfId="1" applyNumberFormat="1" applyFont="1" applyFill="1" applyAlignment="1">
      <alignment horizontal="right"/>
    </xf>
    <xf numFmtId="166" fontId="0" fillId="0" borderId="0" xfId="1" applyNumberFormat="1" applyFont="1" applyFill="1" applyAlignment="1">
      <alignment horizontal="right"/>
    </xf>
    <xf numFmtId="167" fontId="40" fillId="0" borderId="0" xfId="2" applyNumberFormat="1" applyFont="1" applyFill="1" applyAlignment="1">
      <alignment horizontal="right"/>
    </xf>
    <xf numFmtId="9" fontId="0" fillId="0" borderId="2" xfId="2" applyFont="1" applyFill="1" applyBorder="1" applyAlignment="1">
      <alignment horizontal="right"/>
    </xf>
    <xf numFmtId="169" fontId="11" fillId="0" borderId="13" xfId="0" applyNumberFormat="1" applyFont="1" applyBorder="1" applyAlignment="1">
      <alignment horizontal="right"/>
    </xf>
    <xf numFmtId="167" fontId="1" fillId="0" borderId="7" xfId="2" applyNumberFormat="1" applyFont="1" applyFill="1" applyBorder="1" applyAlignment="1">
      <alignment horizontal="right"/>
    </xf>
    <xf numFmtId="9" fontId="0" fillId="0" borderId="0" xfId="2" applyFont="1" applyFill="1" applyAlignment="1">
      <alignment horizontal="right"/>
    </xf>
    <xf numFmtId="169" fontId="3" fillId="0" borderId="0" xfId="0" applyNumberFormat="1" applyFont="1" applyAlignment="1">
      <alignment horizontal="right"/>
    </xf>
    <xf numFmtId="166" fontId="17" fillId="0" borderId="0" xfId="1" applyNumberFormat="1" applyFont="1" applyFill="1" applyAlignment="1">
      <alignment horizontal="right"/>
    </xf>
    <xf numFmtId="3" fontId="3" fillId="0" borderId="0" xfId="0" applyNumberFormat="1" applyFont="1" applyAlignment="1">
      <alignment horizontal="right"/>
    </xf>
    <xf numFmtId="167" fontId="16" fillId="0" borderId="0" xfId="2" applyNumberFormat="1" applyFont="1" applyFill="1" applyAlignment="1">
      <alignment horizontal="right"/>
    </xf>
    <xf numFmtId="37" fontId="18" fillId="0" borderId="0" xfId="0" applyNumberFormat="1" applyFont="1" applyAlignment="1">
      <alignment horizontal="right"/>
    </xf>
    <xf numFmtId="166" fontId="38" fillId="0" borderId="0" xfId="1" applyNumberFormat="1" applyFont="1" applyFill="1" applyAlignment="1">
      <alignment horizontal="right"/>
    </xf>
    <xf numFmtId="37" fontId="3" fillId="0" borderId="0" xfId="1" applyNumberFormat="1" applyFont="1" applyFill="1"/>
    <xf numFmtId="37" fontId="0" fillId="0" borderId="0" xfId="1" applyNumberFormat="1" applyFont="1" applyFill="1"/>
    <xf numFmtId="167" fontId="1" fillId="0" borderId="0" xfId="2" applyNumberFormat="1" applyFont="1" applyFill="1"/>
    <xf numFmtId="167" fontId="0" fillId="0" borderId="0" xfId="2" applyNumberFormat="1" applyFont="1" applyFill="1"/>
    <xf numFmtId="166" fontId="3" fillId="0" borderId="6" xfId="1" applyNumberFormat="1" applyFont="1" applyFill="1" applyBorder="1" applyAlignment="1">
      <alignment horizontal="right"/>
    </xf>
    <xf numFmtId="166" fontId="17" fillId="0" borderId="0" xfId="1" applyNumberFormat="1" applyFont="1" applyFill="1"/>
    <xf numFmtId="166" fontId="25" fillId="0" borderId="0" xfId="1" applyNumberFormat="1" applyFont="1" applyFill="1"/>
    <xf numFmtId="166" fontId="2" fillId="0" borderId="0" xfId="1" applyNumberFormat="1" applyFont="1" applyFill="1"/>
    <xf numFmtId="166" fontId="3" fillId="0" borderId="0" xfId="1" applyNumberFormat="1" applyFont="1" applyFill="1"/>
    <xf numFmtId="166" fontId="3" fillId="0" borderId="6" xfId="1" applyNumberFormat="1" applyFont="1" applyFill="1" applyBorder="1" applyAlignment="1">
      <alignment horizontal="left"/>
    </xf>
    <xf numFmtId="166" fontId="23" fillId="0" borderId="0" xfId="1" applyNumberFormat="1" applyFont="1" applyFill="1"/>
    <xf numFmtId="166" fontId="3" fillId="0" borderId="0" xfId="1" applyNumberFormat="1" applyFont="1" applyFill="1" applyAlignment="1">
      <alignment horizontal="left" indent="2"/>
    </xf>
    <xf numFmtId="166" fontId="18" fillId="0" borderId="6" xfId="1" applyNumberFormat="1" applyFont="1" applyFill="1" applyBorder="1"/>
    <xf numFmtId="166" fontId="0" fillId="0" borderId="0" xfId="1" applyNumberFormat="1" applyFont="1" applyFill="1"/>
    <xf numFmtId="167" fontId="3" fillId="0" borderId="6" xfId="2" applyNumberFormat="1" applyFont="1" applyFill="1" applyBorder="1"/>
    <xf numFmtId="167" fontId="3" fillId="14" borderId="14" xfId="0" applyNumberFormat="1" applyFont="1" applyFill="1" applyBorder="1"/>
    <xf numFmtId="167" fontId="3" fillId="14" borderId="2" xfId="2" applyNumberFormat="1" applyFont="1" applyFill="1" applyBorder="1" applyAlignment="1">
      <alignment horizontal="right"/>
    </xf>
    <xf numFmtId="167" fontId="11" fillId="14" borderId="2" xfId="2" applyNumberFormat="1" applyFont="1" applyFill="1" applyBorder="1" applyAlignment="1">
      <alignment horizontal="right"/>
    </xf>
    <xf numFmtId="167" fontId="11" fillId="0" borderId="2" xfId="2" applyNumberFormat="1" applyFont="1" applyFill="1" applyBorder="1" applyAlignment="1">
      <alignment horizontal="right"/>
    </xf>
    <xf numFmtId="167" fontId="3" fillId="14" borderId="2" xfId="0" applyNumberFormat="1" applyFont="1" applyFill="1" applyBorder="1" applyAlignment="1">
      <alignment horizontal="right"/>
    </xf>
    <xf numFmtId="10" fontId="0" fillId="0" borderId="0" xfId="0" applyNumberFormat="1" applyAlignment="1">
      <alignment horizontal="left" indent="2"/>
    </xf>
    <xf numFmtId="169" fontId="18" fillId="7" borderId="0" xfId="0" applyNumberFormat="1" applyFont="1" applyFill="1" applyAlignment="1">
      <alignment horizontal="right"/>
    </xf>
    <xf numFmtId="10" fontId="3" fillId="0" borderId="0" xfId="0" applyNumberFormat="1" applyFont="1" applyAlignment="1">
      <alignment horizontal="right"/>
    </xf>
    <xf numFmtId="10" fontId="37" fillId="7" borderId="0" xfId="2" applyNumberFormat="1" applyFont="1" applyFill="1" applyAlignment="1">
      <alignment horizontal="right"/>
    </xf>
    <xf numFmtId="166" fontId="18" fillId="7" borderId="0" xfId="0" applyNumberFormat="1" applyFont="1" applyFill="1" applyAlignment="1">
      <alignment horizontal="right"/>
    </xf>
    <xf numFmtId="0" fontId="37" fillId="0" borderId="0" xfId="0" applyFont="1"/>
    <xf numFmtId="166" fontId="37" fillId="0" borderId="0" xfId="1" applyNumberFormat="1" applyFont="1" applyAlignment="1">
      <alignment horizontal="right"/>
    </xf>
    <xf numFmtId="10" fontId="37" fillId="0" borderId="0" xfId="2" applyNumberFormat="1" applyFont="1" applyAlignment="1">
      <alignment horizontal="right"/>
    </xf>
    <xf numFmtId="10" fontId="40" fillId="0" borderId="0" xfId="2" applyNumberFormat="1" applyFont="1" applyAlignment="1">
      <alignment horizontal="right"/>
    </xf>
    <xf numFmtId="10" fontId="40" fillId="0" borderId="0" xfId="2" applyNumberFormat="1" applyFont="1" applyFill="1" applyAlignment="1">
      <alignment horizontal="right"/>
    </xf>
    <xf numFmtId="0" fontId="37" fillId="0" borderId="0" xfId="0" applyFont="1" applyAlignment="1">
      <alignment horizontal="right"/>
    </xf>
    <xf numFmtId="10" fontId="37" fillId="5" borderId="0" xfId="2" applyNumberFormat="1" applyFont="1" applyFill="1" applyAlignment="1">
      <alignment horizontal="right"/>
    </xf>
    <xf numFmtId="0" fontId="37" fillId="11" borderId="0" xfId="0" applyFont="1" applyFill="1"/>
    <xf numFmtId="167" fontId="37" fillId="11" borderId="0" xfId="2" applyNumberFormat="1" applyFont="1" applyFill="1" applyAlignment="1">
      <alignment horizontal="right"/>
    </xf>
    <xf numFmtId="167" fontId="37" fillId="0" borderId="0" xfId="2" applyNumberFormat="1" applyFont="1" applyFill="1" applyAlignment="1">
      <alignment horizontal="right"/>
    </xf>
    <xf numFmtId="10" fontId="3" fillId="0" borderId="0" xfId="0" applyNumberFormat="1" applyFont="1"/>
    <xf numFmtId="10" fontId="3" fillId="0" borderId="0" xfId="2" applyNumberFormat="1" applyFont="1" applyAlignment="1">
      <alignment horizontal="right"/>
    </xf>
    <xf numFmtId="10" fontId="3" fillId="0" borderId="0" xfId="2" applyNumberFormat="1" applyFont="1" applyFill="1" applyAlignment="1">
      <alignment horizontal="right"/>
    </xf>
    <xf numFmtId="165" fontId="0" fillId="0" borderId="0" xfId="1" applyNumberFormat="1" applyFont="1" applyAlignment="1" applyProtection="1">
      <alignment horizontal="right"/>
    </xf>
    <xf numFmtId="43" fontId="2" fillId="0" borderId="0" xfId="1" applyFont="1" applyAlignment="1" applyProtection="1">
      <alignment horizontal="right"/>
    </xf>
    <xf numFmtId="167" fontId="42" fillId="0" borderId="0" xfId="2" applyNumberFormat="1" applyFont="1" applyFill="1" applyAlignment="1">
      <alignment horizontal="left"/>
    </xf>
    <xf numFmtId="167" fontId="43" fillId="0" borderId="0" xfId="2" applyNumberFormat="1" applyFont="1" applyFill="1" applyAlignment="1">
      <alignment horizontal="left"/>
    </xf>
    <xf numFmtId="10" fontId="0" fillId="5" borderId="0" xfId="2" applyNumberFormat="1" applyFont="1" applyFill="1" applyAlignment="1" applyProtection="1">
      <alignment horizontal="right"/>
    </xf>
    <xf numFmtId="0" fontId="13" fillId="0" borderId="0" xfId="0" applyFont="1" applyAlignment="1">
      <alignment horizontal="right"/>
    </xf>
    <xf numFmtId="167" fontId="0" fillId="0" borderId="0" xfId="2" applyNumberFormat="1" applyFont="1" applyAlignment="1" applyProtection="1">
      <alignment horizontal="right" indent="1"/>
    </xf>
    <xf numFmtId="166" fontId="2" fillId="0" borderId="0" xfId="1" applyNumberFormat="1" applyFont="1" applyAlignment="1">
      <alignment horizontal="right"/>
    </xf>
    <xf numFmtId="37" fontId="14" fillId="0" borderId="0" xfId="0" applyNumberFormat="1" applyFont="1" applyAlignment="1">
      <alignment horizontal="right"/>
    </xf>
    <xf numFmtId="37" fontId="11" fillId="0" borderId="0" xfId="0" applyNumberFormat="1" applyFont="1" applyAlignment="1">
      <alignment horizontal="right"/>
    </xf>
    <xf numFmtId="169" fontId="18" fillId="11" borderId="0" xfId="0" applyNumberFormat="1" applyFont="1" applyFill="1" applyAlignment="1">
      <alignment horizontal="right"/>
    </xf>
    <xf numFmtId="3" fontId="18" fillId="11" borderId="0" xfId="0" applyNumberFormat="1" applyFont="1" applyFill="1" applyAlignment="1">
      <alignment horizontal="right"/>
    </xf>
    <xf numFmtId="10" fontId="0" fillId="5" borderId="0" xfId="2" applyNumberFormat="1" applyFont="1" applyFill="1" applyAlignment="1">
      <alignment horizontal="right"/>
    </xf>
    <xf numFmtId="169" fontId="13" fillId="0" borderId="0" xfId="1" applyNumberFormat="1" applyFont="1" applyFill="1" applyBorder="1" applyAlignment="1">
      <alignment horizontal="right"/>
    </xf>
    <xf numFmtId="164" fontId="13" fillId="0" borderId="0" xfId="1" applyNumberFormat="1" applyFont="1" applyFill="1" applyAlignment="1">
      <alignment horizontal="right"/>
    </xf>
    <xf numFmtId="169" fontId="14" fillId="0" borderId="0" xfId="1" applyNumberFormat="1" applyFont="1" applyFill="1" applyAlignment="1">
      <alignment horizontal="right"/>
    </xf>
    <xf numFmtId="169" fontId="44" fillId="0" borderId="0" xfId="1" applyNumberFormat="1" applyFont="1" applyFill="1" applyAlignment="1">
      <alignment horizontal="right"/>
    </xf>
    <xf numFmtId="166" fontId="14" fillId="0" borderId="0" xfId="1" applyNumberFormat="1" applyFont="1" applyFill="1"/>
    <xf numFmtId="169" fontId="10" fillId="0" borderId="0" xfId="1" applyNumberFormat="1" applyFont="1" applyFill="1" applyAlignment="1">
      <alignment horizontal="right"/>
    </xf>
    <xf numFmtId="169" fontId="5" fillId="0" borderId="0" xfId="1" applyNumberFormat="1" applyFont="1" applyFill="1" applyAlignment="1">
      <alignment horizontal="right"/>
    </xf>
    <xf numFmtId="169" fontId="44" fillId="0" borderId="0" xfId="1" applyNumberFormat="1" applyFont="1" applyFill="1"/>
    <xf numFmtId="169" fontId="13" fillId="0" borderId="0" xfId="1" applyNumberFormat="1" applyFont="1" applyFill="1"/>
    <xf numFmtId="169" fontId="44" fillId="0" borderId="0" xfId="0" applyNumberFormat="1" applyFont="1" applyAlignment="1">
      <alignment horizontal="left" indent="2"/>
    </xf>
    <xf numFmtId="169" fontId="13" fillId="0" borderId="0" xfId="0" applyNumberFormat="1" applyFont="1" applyAlignment="1">
      <alignment horizontal="left" indent="2"/>
    </xf>
    <xf numFmtId="169" fontId="14" fillId="0" borderId="6" xfId="0" applyNumberFormat="1" applyFont="1" applyBorder="1" applyAlignment="1">
      <alignment horizontal="left"/>
    </xf>
    <xf numFmtId="169" fontId="14" fillId="0" borderId="6" xfId="1" applyNumberFormat="1" applyFont="1" applyBorder="1" applyAlignment="1">
      <alignment horizontal="right"/>
    </xf>
    <xf numFmtId="169" fontId="14" fillId="9" borderId="6" xfId="1" applyNumberFormat="1" applyFont="1" applyFill="1" applyBorder="1"/>
    <xf numFmtId="169" fontId="5" fillId="0" borderId="0" xfId="0" applyNumberFormat="1" applyFont="1"/>
    <xf numFmtId="43" fontId="13" fillId="0" borderId="6" xfId="1" applyFont="1" applyBorder="1"/>
    <xf numFmtId="10" fontId="18" fillId="0" borderId="0" xfId="2" applyNumberFormat="1" applyFont="1" applyAlignment="1">
      <alignment horizontal="right"/>
    </xf>
    <xf numFmtId="0" fontId="45" fillId="0" borderId="21" xfId="0" applyFont="1" applyBorder="1" applyAlignment="1">
      <alignment horizontal="right"/>
    </xf>
    <xf numFmtId="0" fontId="3" fillId="0" borderId="9" xfId="0" applyFont="1" applyBorder="1"/>
    <xf numFmtId="166" fontId="3" fillId="0" borderId="0" xfId="1" applyNumberFormat="1" applyFont="1" applyFill="1" applyBorder="1"/>
    <xf numFmtId="0" fontId="46" fillId="0" borderId="21" xfId="0" applyFont="1" applyBorder="1" applyAlignment="1">
      <alignment horizontal="right"/>
    </xf>
    <xf numFmtId="167" fontId="46" fillId="0" borderId="0" xfId="2" applyNumberFormat="1" applyFont="1" applyFill="1" applyBorder="1"/>
    <xf numFmtId="10" fontId="23" fillId="0" borderId="0" xfId="2" applyNumberFormat="1" applyFont="1" applyFill="1" applyBorder="1"/>
    <xf numFmtId="0" fontId="3" fillId="0" borderId="21" xfId="0" applyFont="1" applyBorder="1" applyAlignment="1">
      <alignment horizontal="right"/>
    </xf>
    <xf numFmtId="167" fontId="45" fillId="0" borderId="0" xfId="2" applyNumberFormat="1" applyFont="1" applyBorder="1" applyAlignment="1">
      <alignment horizontal="right"/>
    </xf>
    <xf numFmtId="167" fontId="45" fillId="0" borderId="9" xfId="2" applyNumberFormat="1" applyFont="1" applyBorder="1" applyAlignment="1">
      <alignment horizontal="right"/>
    </xf>
    <xf numFmtId="0" fontId="45" fillId="0" borderId="0" xfId="0" applyFont="1" applyAlignment="1">
      <alignment horizontal="right"/>
    </xf>
    <xf numFmtId="10" fontId="47" fillId="0" borderId="0" xfId="2" applyNumberFormat="1" applyFont="1" applyAlignment="1">
      <alignment horizontal="right"/>
    </xf>
    <xf numFmtId="10" fontId="3" fillId="7" borderId="0" xfId="0" applyNumberFormat="1" applyFont="1" applyFill="1"/>
    <xf numFmtId="10" fontId="3" fillId="7" borderId="0" xfId="0" applyNumberFormat="1" applyFont="1" applyFill="1" applyAlignment="1">
      <alignment horizontal="right"/>
    </xf>
    <xf numFmtId="10" fontId="3" fillId="7" borderId="0" xfId="1" applyNumberFormat="1" applyFont="1" applyFill="1" applyAlignment="1">
      <alignment horizontal="right"/>
    </xf>
    <xf numFmtId="43" fontId="0" fillId="0" borderId="0" xfId="1" applyFont="1" applyAlignment="1">
      <alignment horizontal="right"/>
    </xf>
    <xf numFmtId="17" fontId="48" fillId="0" borderId="0" xfId="0" applyNumberFormat="1" applyFont="1"/>
    <xf numFmtId="0" fontId="0" fillId="0" borderId="0" xfId="0" applyAlignment="1">
      <alignment horizontal="center"/>
    </xf>
    <xf numFmtId="0" fontId="48" fillId="0" borderId="0" xfId="0" applyFont="1" applyAlignment="1">
      <alignment horizontal="center"/>
    </xf>
    <xf numFmtId="164" fontId="0" fillId="20" borderId="0" xfId="0" applyNumberFormat="1" applyFill="1" applyAlignment="1">
      <alignment horizontal="right"/>
    </xf>
    <xf numFmtId="169" fontId="0" fillId="0" borderId="0" xfId="9" applyNumberFormat="1" applyFont="1"/>
    <xf numFmtId="175" fontId="0" fillId="20" borderId="0" xfId="0" applyNumberFormat="1" applyFill="1" applyAlignment="1">
      <alignment horizontal="right"/>
    </xf>
    <xf numFmtId="0" fontId="0" fillId="20" borderId="0" xfId="0" applyFill="1" applyAlignment="1">
      <alignment horizontal="right"/>
    </xf>
    <xf numFmtId="0" fontId="49" fillId="0" borderId="0" xfId="0" applyFont="1"/>
    <xf numFmtId="0" fontId="48" fillId="0" borderId="0" xfId="0" applyFont="1"/>
    <xf numFmtId="169" fontId="49" fillId="0" borderId="0" xfId="9" applyNumberFormat="1" applyFont="1"/>
    <xf numFmtId="10" fontId="4" fillId="20" borderId="0" xfId="0" applyNumberFormat="1" applyFont="1" applyFill="1" applyAlignment="1">
      <alignment horizontal="right"/>
    </xf>
    <xf numFmtId="0" fontId="4" fillId="0" borderId="0" xfId="0" applyFont="1"/>
    <xf numFmtId="0" fontId="4" fillId="20" borderId="0" xfId="0" applyFont="1" applyFill="1" applyAlignment="1">
      <alignment horizontal="right"/>
    </xf>
    <xf numFmtId="167" fontId="0" fillId="20" borderId="0" xfId="8" applyNumberFormat="1" applyFont="1" applyFill="1" applyAlignment="1">
      <alignment horizontal="right"/>
    </xf>
    <xf numFmtId="164" fontId="0" fillId="20" borderId="0" xfId="9" applyFont="1" applyFill="1" applyAlignment="1">
      <alignment horizontal="right"/>
    </xf>
    <xf numFmtId="0" fontId="4" fillId="0" borderId="0" xfId="0" applyFont="1" applyAlignment="1">
      <alignment horizontal="right"/>
    </xf>
    <xf numFmtId="9" fontId="0" fillId="20" borderId="0" xfId="0" applyNumberFormat="1" applyFill="1" applyAlignment="1">
      <alignment horizontal="right"/>
    </xf>
    <xf numFmtId="9" fontId="0" fillId="20" borderId="0" xfId="8" applyFont="1" applyFill="1" applyAlignment="1">
      <alignment horizontal="right"/>
    </xf>
    <xf numFmtId="0" fontId="0" fillId="5" borderId="0" xfId="0" applyFill="1"/>
    <xf numFmtId="0" fontId="12" fillId="0" borderId="0" xfId="12"/>
    <xf numFmtId="10" fontId="0" fillId="0" borderId="0" xfId="2" applyNumberFormat="1" applyFont="1" applyFill="1" applyAlignment="1">
      <alignment horizontal="right"/>
    </xf>
    <xf numFmtId="166" fontId="11" fillId="0" borderId="0" xfId="0" applyNumberFormat="1" applyFont="1" applyAlignment="1">
      <alignment horizontal="right"/>
    </xf>
    <xf numFmtId="3" fontId="0" fillId="5" borderId="0" xfId="0" applyNumberFormat="1" applyFill="1" applyAlignment="1">
      <alignment horizontal="right"/>
    </xf>
    <xf numFmtId="167" fontId="3" fillId="11" borderId="0" xfId="2" applyNumberFormat="1" applyFont="1" applyFill="1" applyAlignment="1">
      <alignment horizontal="right"/>
    </xf>
    <xf numFmtId="173" fontId="0" fillId="0" borderId="0" xfId="0" applyNumberFormat="1"/>
    <xf numFmtId="166" fontId="3" fillId="0" borderId="9" xfId="1" applyNumberFormat="1" applyFont="1" applyFill="1" applyBorder="1"/>
    <xf numFmtId="167" fontId="45" fillId="0" borderId="0" xfId="2" applyNumberFormat="1" applyFont="1" applyBorder="1"/>
    <xf numFmtId="167" fontId="45" fillId="0" borderId="9" xfId="2" applyNumberFormat="1" applyFont="1" applyBorder="1"/>
    <xf numFmtId="166" fontId="0" fillId="0" borderId="0" xfId="1" applyNumberFormat="1" applyFont="1" applyFill="1" applyBorder="1"/>
    <xf numFmtId="166" fontId="0" fillId="0" borderId="9" xfId="1" applyNumberFormat="1" applyFont="1" applyFill="1" applyBorder="1"/>
    <xf numFmtId="167" fontId="46" fillId="0" borderId="9" xfId="2" applyNumberFormat="1" applyFont="1" applyFill="1" applyBorder="1"/>
    <xf numFmtId="10" fontId="23" fillId="0" borderId="9" xfId="2" applyNumberFormat="1" applyFont="1" applyFill="1" applyBorder="1"/>
    <xf numFmtId="0" fontId="0" fillId="0" borderId="5" xfId="0" applyBorder="1"/>
    <xf numFmtId="10" fontId="10" fillId="0" borderId="0" xfId="2" applyNumberFormat="1" applyFont="1" applyAlignment="1">
      <alignment horizontal="right"/>
    </xf>
    <xf numFmtId="10" fontId="41" fillId="0" borderId="0" xfId="2" applyNumberFormat="1" applyFont="1" applyFill="1" applyAlignment="1">
      <alignment horizontal="right"/>
    </xf>
    <xf numFmtId="10" fontId="41" fillId="0" borderId="0" xfId="2" applyNumberFormat="1" applyFont="1" applyAlignment="1">
      <alignment horizontal="right"/>
    </xf>
    <xf numFmtId="10" fontId="37" fillId="0" borderId="0" xfId="2" applyNumberFormat="1" applyFont="1" applyFill="1" applyAlignment="1">
      <alignment horizontal="right"/>
    </xf>
    <xf numFmtId="10" fontId="10" fillId="0" borderId="0" xfId="2" applyNumberFormat="1" applyFont="1" applyFill="1" applyAlignment="1">
      <alignment horizontal="right"/>
    </xf>
    <xf numFmtId="10" fontId="10" fillId="5" borderId="0" xfId="2" applyNumberFormat="1" applyFont="1" applyFill="1" applyAlignment="1">
      <alignment horizontal="right"/>
    </xf>
    <xf numFmtId="3" fontId="3" fillId="5" borderId="0" xfId="0" applyNumberFormat="1" applyFont="1" applyFill="1" applyAlignment="1">
      <alignment horizontal="right"/>
    </xf>
    <xf numFmtId="167" fontId="16" fillId="5" borderId="0" xfId="2" applyNumberFormat="1" applyFont="1" applyFill="1" applyAlignment="1">
      <alignment horizontal="right"/>
    </xf>
    <xf numFmtId="0" fontId="27" fillId="11" borderId="0" xfId="0" applyFont="1" applyFill="1" applyAlignment="1">
      <alignment horizontal="center" vertical="center"/>
    </xf>
    <xf numFmtId="2" fontId="28" fillId="15" borderId="0" xfId="11" applyNumberFormat="1" applyFont="1" applyFill="1" applyBorder="1" applyAlignment="1">
      <alignment horizontal="center" vertical="center"/>
    </xf>
    <xf numFmtId="2" fontId="29" fillId="16" borderId="0" xfId="11" applyNumberFormat="1" applyFont="1" applyFill="1" applyBorder="1" applyAlignment="1">
      <alignment horizontal="center" vertical="center"/>
    </xf>
    <xf numFmtId="2" fontId="28" fillId="0" borderId="0" xfId="0" applyNumberFormat="1" applyFont="1" applyAlignment="1">
      <alignment horizontal="center" vertical="center"/>
    </xf>
    <xf numFmtId="172" fontId="31" fillId="16" borderId="0" xfId="11" applyNumberFormat="1" applyFont="1" applyFill="1" applyAlignment="1">
      <alignment horizontal="center" vertical="center"/>
    </xf>
    <xf numFmtId="172" fontId="29" fillId="16" borderId="0" xfId="11" applyNumberFormat="1" applyFont="1" applyFill="1" applyBorder="1" applyAlignment="1">
      <alignment horizontal="center" vertical="center"/>
    </xf>
    <xf numFmtId="172" fontId="28" fillId="0" borderId="0" xfId="0" applyNumberFormat="1" applyFont="1" applyAlignment="1">
      <alignment horizontal="center" vertical="center"/>
    </xf>
    <xf numFmtId="0" fontId="28" fillId="0" borderId="0" xfId="0" applyFont="1" applyAlignment="1">
      <alignment horizontal="center" vertical="center"/>
    </xf>
    <xf numFmtId="4" fontId="28" fillId="0" borderId="0" xfId="0" applyNumberFormat="1" applyFont="1" applyAlignment="1">
      <alignment horizontal="center" vertical="center"/>
    </xf>
    <xf numFmtId="3" fontId="28" fillId="0" borderId="0" xfId="0" applyNumberFormat="1" applyFont="1" applyAlignment="1">
      <alignment horizontal="center" vertical="center"/>
    </xf>
    <xf numFmtId="10" fontId="28" fillId="16" borderId="0" xfId="2" applyNumberFormat="1" applyFont="1" applyFill="1" applyBorder="1" applyAlignment="1">
      <alignment horizontal="center" vertical="center"/>
    </xf>
    <xf numFmtId="10" fontId="27" fillId="16" borderId="0" xfId="2" applyNumberFormat="1" applyFont="1" applyFill="1" applyBorder="1" applyAlignment="1">
      <alignment horizontal="center" vertical="center"/>
    </xf>
    <xf numFmtId="10" fontId="30" fillId="16" borderId="0" xfId="2" applyNumberFormat="1" applyFont="1" applyFill="1" applyBorder="1" applyAlignment="1">
      <alignment horizontal="center" vertical="center"/>
    </xf>
    <xf numFmtId="167" fontId="31" fillId="16" borderId="0" xfId="2" applyNumberFormat="1" applyFont="1" applyFill="1" applyBorder="1" applyAlignment="1">
      <alignment horizontal="center" vertical="center"/>
    </xf>
    <xf numFmtId="4" fontId="30" fillId="16" borderId="0" xfId="11" applyNumberFormat="1" applyFont="1" applyFill="1" applyBorder="1" applyAlignment="1">
      <alignment horizontal="center" vertical="center"/>
    </xf>
    <xf numFmtId="10" fontId="28" fillId="0" borderId="0" xfId="2" applyNumberFormat="1" applyFont="1" applyAlignment="1">
      <alignment horizontal="center" vertical="center"/>
    </xf>
    <xf numFmtId="10" fontId="29" fillId="15" borderId="0" xfId="2" applyNumberFormat="1" applyFont="1" applyFill="1" applyBorder="1" applyAlignment="1">
      <alignment horizontal="center" vertical="center"/>
    </xf>
    <xf numFmtId="167" fontId="29" fillId="15" borderId="0" xfId="2" applyNumberFormat="1" applyFont="1" applyFill="1" applyBorder="1" applyAlignment="1">
      <alignment horizontal="center" vertical="center"/>
    </xf>
    <xf numFmtId="10" fontId="29" fillId="17" borderId="0" xfId="5" applyNumberFormat="1" applyFont="1" applyFill="1" applyBorder="1" applyAlignment="1">
      <alignment horizontal="center" vertical="center"/>
    </xf>
    <xf numFmtId="9" fontId="28" fillId="18" borderId="0" xfId="5" applyFont="1" applyFill="1" applyBorder="1" applyAlignment="1">
      <alignment horizontal="center" vertical="center"/>
    </xf>
    <xf numFmtId="10" fontId="28" fillId="18" borderId="0" xfId="5" applyNumberFormat="1" applyFont="1" applyFill="1" applyBorder="1" applyAlignment="1">
      <alignment horizontal="center" vertical="center"/>
    </xf>
    <xf numFmtId="9" fontId="28" fillId="17" borderId="0" xfId="5" applyFont="1" applyFill="1" applyBorder="1" applyAlignment="1">
      <alignment horizontal="center" vertical="center"/>
    </xf>
    <xf numFmtId="10" fontId="31" fillId="18" borderId="0" xfId="5" applyNumberFormat="1" applyFont="1" applyFill="1" applyBorder="1" applyAlignment="1">
      <alignment horizontal="center" vertical="center"/>
    </xf>
    <xf numFmtId="3" fontId="28" fillId="0" borderId="0" xfId="2" applyNumberFormat="1" applyFont="1" applyAlignment="1">
      <alignment horizontal="center" vertical="center"/>
    </xf>
    <xf numFmtId="4" fontId="28" fillId="7" borderId="0" xfId="0" applyNumberFormat="1" applyFont="1" applyFill="1" applyAlignment="1">
      <alignment horizontal="center" vertical="center"/>
    </xf>
    <xf numFmtId="172" fontId="29" fillId="16" borderId="0" xfId="2" applyNumberFormat="1" applyFont="1" applyFill="1" applyBorder="1" applyAlignment="1">
      <alignment horizontal="center" vertical="center"/>
    </xf>
    <xf numFmtId="4" fontId="28" fillId="7" borderId="0" xfId="11" applyNumberFormat="1" applyFont="1" applyFill="1" applyBorder="1" applyAlignment="1">
      <alignment horizontal="center" vertical="center"/>
    </xf>
    <xf numFmtId="0" fontId="28" fillId="0" borderId="9" xfId="0" applyFont="1" applyBorder="1" applyAlignment="1">
      <alignment horizontal="center" vertical="center"/>
    </xf>
    <xf numFmtId="166" fontId="3" fillId="0" borderId="0" xfId="2" applyNumberFormat="1" applyFont="1" applyAlignment="1">
      <alignment horizontal="right"/>
    </xf>
    <xf numFmtId="10" fontId="50" fillId="0" borderId="0" xfId="2" applyNumberFormat="1" applyFont="1" applyAlignment="1">
      <alignment horizontal="right"/>
    </xf>
    <xf numFmtId="167" fontId="3" fillId="0" borderId="0" xfId="2" applyNumberFormat="1" applyFont="1" applyBorder="1" applyAlignment="1">
      <alignment horizontal="right"/>
    </xf>
    <xf numFmtId="167" fontId="3" fillId="0" borderId="0" xfId="2" applyNumberFormat="1" applyFont="1" applyFill="1" applyBorder="1" applyAlignment="1">
      <alignment horizontal="right"/>
    </xf>
    <xf numFmtId="0" fontId="0" fillId="0" borderId="0" xfId="0" applyAlignment="1">
      <alignment horizontal="right" indent="1"/>
    </xf>
    <xf numFmtId="166" fontId="10" fillId="0" borderId="0" xfId="1" applyNumberFormat="1" applyFont="1" applyAlignment="1">
      <alignment horizontal="right"/>
    </xf>
    <xf numFmtId="167" fontId="3" fillId="5" borderId="0" xfId="0" applyNumberFormat="1" applyFont="1" applyFill="1"/>
    <xf numFmtId="167" fontId="3" fillId="5" borderId="0" xfId="2" applyNumberFormat="1" applyFont="1" applyFill="1" applyAlignment="1">
      <alignment horizontal="right"/>
    </xf>
    <xf numFmtId="167" fontId="3" fillId="5" borderId="0" xfId="0" applyNumberFormat="1" applyFont="1" applyFill="1" applyAlignment="1">
      <alignment horizontal="right"/>
    </xf>
    <xf numFmtId="167" fontId="18" fillId="5" borderId="0" xfId="2" applyNumberFormat="1" applyFont="1" applyFill="1" applyAlignment="1">
      <alignment horizontal="right"/>
    </xf>
    <xf numFmtId="10" fontId="51" fillId="0" borderId="0" xfId="0" applyNumberFormat="1" applyFont="1" applyAlignment="1">
      <alignment horizontal="right"/>
    </xf>
    <xf numFmtId="10" fontId="21" fillId="0" borderId="0" xfId="0" applyNumberFormat="1" applyFont="1"/>
    <xf numFmtId="10" fontId="21" fillId="0" borderId="0" xfId="2" applyNumberFormat="1" applyFont="1" applyAlignment="1">
      <alignment horizontal="right"/>
    </xf>
    <xf numFmtId="10" fontId="21" fillId="0" borderId="0" xfId="2" applyNumberFormat="1" applyFont="1" applyFill="1" applyAlignment="1">
      <alignment horizontal="right"/>
    </xf>
    <xf numFmtId="10" fontId="21" fillId="0" borderId="0" xfId="0" applyNumberFormat="1" applyFont="1" applyAlignment="1">
      <alignment horizontal="right"/>
    </xf>
    <xf numFmtId="10" fontId="52" fillId="0" borderId="0" xfId="2" applyNumberFormat="1" applyFont="1" applyAlignment="1">
      <alignment horizontal="right"/>
    </xf>
    <xf numFmtId="10" fontId="21" fillId="0" borderId="0" xfId="0" applyNumberFormat="1" applyFont="1" applyFill="1"/>
    <xf numFmtId="10" fontId="21" fillId="0" borderId="0" xfId="0" applyNumberFormat="1" applyFont="1" applyFill="1" applyAlignment="1">
      <alignment horizontal="right"/>
    </xf>
    <xf numFmtId="10" fontId="52" fillId="0" borderId="0" xfId="2" applyNumberFormat="1" applyFont="1" applyFill="1" applyAlignment="1">
      <alignment horizontal="right"/>
    </xf>
    <xf numFmtId="0" fontId="51" fillId="0" borderId="21" xfId="0" applyFont="1" applyBorder="1" applyAlignment="1">
      <alignment horizontal="right"/>
    </xf>
    <xf numFmtId="0" fontId="51" fillId="0" borderId="0" xfId="0" applyFont="1" applyAlignment="1">
      <alignment horizontal="right"/>
    </xf>
    <xf numFmtId="165" fontId="51" fillId="0" borderId="0" xfId="1" applyNumberFormat="1" applyFont="1" applyAlignment="1">
      <alignment horizontal="right"/>
    </xf>
    <xf numFmtId="0" fontId="51" fillId="0" borderId="9" xfId="0" applyFont="1" applyBorder="1" applyAlignment="1">
      <alignment horizontal="right"/>
    </xf>
    <xf numFmtId="43" fontId="51" fillId="0" borderId="0" xfId="1" applyFont="1" applyAlignment="1">
      <alignment horizontal="right"/>
    </xf>
    <xf numFmtId="166" fontId="13" fillId="0" borderId="0" xfId="1" applyNumberFormat="1" applyFont="1" applyAlignment="1"/>
    <xf numFmtId="166" fontId="17" fillId="0" borderId="0" xfId="1" applyNumberFormat="1" applyFont="1" applyAlignment="1"/>
    <xf numFmtId="166" fontId="17" fillId="0" borderId="0" xfId="1" applyNumberFormat="1" applyFont="1" applyFill="1" applyAlignment="1"/>
    <xf numFmtId="167" fontId="43" fillId="0" borderId="0" xfId="2" applyNumberFormat="1" applyFont="1" applyFill="1" applyAlignment="1"/>
    <xf numFmtId="166" fontId="0" fillId="0" borderId="0" xfId="1" applyNumberFormat="1" applyFont="1" applyAlignment="1"/>
    <xf numFmtId="0" fontId="53" fillId="0" borderId="0" xfId="0" applyFont="1" applyAlignment="1">
      <alignment horizontal="left" indent="1"/>
    </xf>
    <xf numFmtId="3" fontId="53" fillId="0" borderId="0" xfId="0" applyNumberFormat="1" applyFont="1" applyAlignment="1">
      <alignment horizontal="right"/>
    </xf>
    <xf numFmtId="0" fontId="53" fillId="0" borderId="0" xfId="0" applyFont="1" applyAlignment="1">
      <alignment horizontal="right"/>
    </xf>
    <xf numFmtId="166" fontId="2" fillId="7" borderId="0" xfId="0" applyNumberFormat="1" applyFont="1" applyFill="1" applyAlignment="1">
      <alignment horizontal="right"/>
    </xf>
    <xf numFmtId="166" fontId="37" fillId="0" borderId="0" xfId="1" applyNumberFormat="1" applyFont="1" applyFill="1" applyAlignment="1">
      <alignment horizontal="right"/>
    </xf>
  </cellXfs>
  <cellStyles count="13">
    <cellStyle name="1" xfId="10" xr:uid="{00000000-0005-0000-0000-000000000000}"/>
    <cellStyle name="Comma" xfId="1" builtinId="3"/>
    <cellStyle name="Comma 10 2" xfId="9" xr:uid="{00000000-0005-0000-0000-000001000000}"/>
    <cellStyle name="Comma 3" xfId="11" xr:uid="{0ED8D4CA-F298-4AD2-B97D-E877F8CE7E96}"/>
    <cellStyle name="Hipervínculo" xfId="12" xr:uid="{00000000-0005-0000-0000-000002000000}"/>
    <cellStyle name="Normal" xfId="0" builtinId="0"/>
    <cellStyle name="Normal 10 2" xfId="7" xr:uid="{00000000-0005-0000-0000-000005000000}"/>
    <cellStyle name="Normal 2" xfId="3" xr:uid="{00000000-0005-0000-0000-000006000000}"/>
    <cellStyle name="Normal 2 2 2" xfId="6" xr:uid="{00000000-0005-0000-0000-000007000000}"/>
    <cellStyle name="Normal 5 2 2 2" xfId="4" xr:uid="{00000000-0005-0000-0000-000008000000}"/>
    <cellStyle name="Percent" xfId="2" builtinId="5"/>
    <cellStyle name="Percent 10" xfId="8" xr:uid="{00000000-0005-0000-0000-000009000000}"/>
    <cellStyle name="Percent 2 2" xfId="5" xr:uid="{00000000-0005-0000-0000-00000A000000}"/>
  </cellStyles>
  <dxfs count="0"/>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externalLink" Target="externalLinks/externalLink1.xml"/><Relationship Id="rId12" Type="http://schemas.microsoft.com/office/2017/06/relationships/rdRichValue" Target="richData/rdrichvalu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aredStrings" Target="sharedString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ichStyles" Target="richData/richStyles.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FAT!$A$138</c:f>
              <c:strCache>
                <c:ptCount val="1"/>
                <c:pt idx="0">
                  <c:v>NIM PORTFOLIO</c:v>
                </c:pt>
              </c:strCache>
            </c:strRef>
          </c:tx>
          <c:spPr>
            <a:ln w="28575" cap="rnd">
              <a:solidFill>
                <a:schemeClr val="accent1"/>
              </a:solidFill>
              <a:round/>
            </a:ln>
            <a:effectLst/>
          </c:spPr>
          <c:marker>
            <c:symbol val="none"/>
          </c:marker>
          <c:cat>
            <c:numRef>
              <c:f>FAT!$B$4:$AG$4</c:f>
              <c:numCache>
                <c:formatCode>mmm\-yy</c:formatCode>
                <c:ptCount val="32"/>
                <c:pt idx="0">
                  <c:v>43555</c:v>
                </c:pt>
                <c:pt idx="1">
                  <c:v>43646</c:v>
                </c:pt>
                <c:pt idx="2">
                  <c:v>43738</c:v>
                </c:pt>
                <c:pt idx="3">
                  <c:v>43830</c:v>
                </c:pt>
                <c:pt idx="4">
                  <c:v>43921</c:v>
                </c:pt>
                <c:pt idx="5">
                  <c:v>44012</c:v>
                </c:pt>
                <c:pt idx="6">
                  <c:v>44104</c:v>
                </c:pt>
                <c:pt idx="7">
                  <c:v>44196</c:v>
                </c:pt>
                <c:pt idx="8">
                  <c:v>44286</c:v>
                </c:pt>
                <c:pt idx="9">
                  <c:v>44377</c:v>
                </c:pt>
                <c:pt idx="10">
                  <c:v>44469</c:v>
                </c:pt>
                <c:pt idx="11">
                  <c:v>44561</c:v>
                </c:pt>
                <c:pt idx="12">
                  <c:v>44651</c:v>
                </c:pt>
                <c:pt idx="13">
                  <c:v>44742</c:v>
                </c:pt>
                <c:pt idx="14">
                  <c:v>44834</c:v>
                </c:pt>
                <c:pt idx="15">
                  <c:v>44926</c:v>
                </c:pt>
                <c:pt idx="16">
                  <c:v>45016</c:v>
                </c:pt>
                <c:pt idx="17">
                  <c:v>45107</c:v>
                </c:pt>
                <c:pt idx="18">
                  <c:v>45199</c:v>
                </c:pt>
                <c:pt idx="19">
                  <c:v>45291</c:v>
                </c:pt>
                <c:pt idx="20">
                  <c:v>45382</c:v>
                </c:pt>
                <c:pt idx="21">
                  <c:v>45473</c:v>
                </c:pt>
                <c:pt idx="22">
                  <c:v>45565</c:v>
                </c:pt>
                <c:pt idx="23">
                  <c:v>45657</c:v>
                </c:pt>
                <c:pt idx="24">
                  <c:v>45747</c:v>
                </c:pt>
                <c:pt idx="25">
                  <c:v>45838</c:v>
                </c:pt>
                <c:pt idx="26">
                  <c:v>45930</c:v>
                </c:pt>
                <c:pt idx="27">
                  <c:v>46022</c:v>
                </c:pt>
                <c:pt idx="28">
                  <c:v>46112</c:v>
                </c:pt>
                <c:pt idx="29">
                  <c:v>46203</c:v>
                </c:pt>
                <c:pt idx="30">
                  <c:v>46295</c:v>
                </c:pt>
                <c:pt idx="31">
                  <c:v>46387</c:v>
                </c:pt>
              </c:numCache>
            </c:numRef>
          </c:cat>
          <c:val>
            <c:numRef>
              <c:f>FAT!$B$138:$AG$138</c:f>
              <c:numCache>
                <c:formatCode>0.0%</c:formatCode>
                <c:ptCount val="32"/>
                <c:pt idx="0">
                  <c:v>7.4769335007273674E-2</c:v>
                </c:pt>
                <c:pt idx="1">
                  <c:v>7.4397352157230312E-2</c:v>
                </c:pt>
                <c:pt idx="2">
                  <c:v>7.5486399809953669E-2</c:v>
                </c:pt>
                <c:pt idx="3">
                  <c:v>7.3061085716444416E-2</c:v>
                </c:pt>
                <c:pt idx="4">
                  <c:v>7.2407035986813292E-2</c:v>
                </c:pt>
                <c:pt idx="5">
                  <c:v>6.7341533326076702E-2</c:v>
                </c:pt>
                <c:pt idx="6">
                  <c:v>6.658730885450051E-2</c:v>
                </c:pt>
                <c:pt idx="7">
                  <c:v>6.9116461237184651E-2</c:v>
                </c:pt>
                <c:pt idx="8">
                  <c:v>6.6657194843050355E-2</c:v>
                </c:pt>
                <c:pt idx="9">
                  <c:v>6.62784523027352E-2</c:v>
                </c:pt>
                <c:pt idx="10">
                  <c:v>6.7180518717624649E-2</c:v>
                </c:pt>
                <c:pt idx="11">
                  <c:v>7.0972893760036501E-2</c:v>
                </c:pt>
                <c:pt idx="12">
                  <c:v>7.1537368862418918E-2</c:v>
                </c:pt>
                <c:pt idx="13">
                  <c:v>7.5339063354441738E-2</c:v>
                </c:pt>
                <c:pt idx="14">
                  <c:v>8.2519089901472789E-2</c:v>
                </c:pt>
                <c:pt idx="15">
                  <c:v>0.10850184822787562</c:v>
                </c:pt>
                <c:pt idx="16">
                  <c:v>8.2263485189802366E-2</c:v>
                </c:pt>
                <c:pt idx="17">
                  <c:v>8.2557013295764731E-2</c:v>
                </c:pt>
                <c:pt idx="18">
                  <c:v>8.9182392089100268E-2</c:v>
                </c:pt>
                <c:pt idx="19">
                  <c:v>8.9830254867080087E-2</c:v>
                </c:pt>
                <c:pt idx="20">
                  <c:v>8.8708010335917312E-2</c:v>
                </c:pt>
                <c:pt idx="21">
                  <c:v>8.7977106978689143E-2</c:v>
                </c:pt>
                <c:pt idx="22">
                  <c:v>8.825759521011628E-2</c:v>
                </c:pt>
                <c:pt idx="23">
                  <c:v>8.8107375017537293E-2</c:v>
                </c:pt>
                <c:pt idx="24">
                  <c:v>8.4613636363636363E-2</c:v>
                </c:pt>
                <c:pt idx="25">
                  <c:v>8.5162665714213964E-2</c:v>
                </c:pt>
                <c:pt idx="26">
                  <c:v>8.5517113003583292E-2</c:v>
                </c:pt>
                <c:pt idx="27">
                  <c:v>8.6332865571764728E-2</c:v>
                </c:pt>
                <c:pt idx="28">
                  <c:v>8.4787793694568056E-2</c:v>
                </c:pt>
                <c:pt idx="29">
                  <c:v>7.9866896204637119E-2</c:v>
                </c:pt>
                <c:pt idx="30">
                  <c:v>7.925128881831385E-2</c:v>
                </c:pt>
                <c:pt idx="31">
                  <c:v>7.9536394207713704E-2</c:v>
                </c:pt>
              </c:numCache>
            </c:numRef>
          </c:val>
          <c:smooth val="0"/>
          <c:extLst>
            <c:ext xmlns:c16="http://schemas.microsoft.com/office/drawing/2014/chart" uri="{C3380CC4-5D6E-409C-BE32-E72D297353CC}">
              <c16:uniqueId val="{00000000-C5F7-4A17-95B4-584B604C97A2}"/>
            </c:ext>
          </c:extLst>
        </c:ser>
        <c:dLbls>
          <c:showLegendKey val="0"/>
          <c:showVal val="0"/>
          <c:showCatName val="0"/>
          <c:showSerName val="0"/>
          <c:showPercent val="0"/>
          <c:showBubbleSize val="0"/>
        </c:dLbls>
        <c:smooth val="0"/>
        <c:axId val="300869888"/>
        <c:axId val="389077248"/>
      </c:lineChart>
      <c:dateAx>
        <c:axId val="30086988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077248"/>
        <c:crosses val="autoZero"/>
        <c:auto val="1"/>
        <c:lblOffset val="100"/>
        <c:baseTimeUnit val="months"/>
      </c:dateAx>
      <c:valAx>
        <c:axId val="389077248"/>
        <c:scaling>
          <c:orientation val="minMax"/>
          <c:min val="6.0000000000000012E-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69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FAT!$C$81:$AG$81</c:f>
              <c:numCache>
                <c:formatCode>0.00%</c:formatCode>
                <c:ptCount val="31"/>
                <c:pt idx="0">
                  <c:v>8.488699999999999E-2</c:v>
                </c:pt>
                <c:pt idx="1">
                  <c:v>8.0274999999999999E-2</c:v>
                </c:pt>
                <c:pt idx="2">
                  <c:v>0</c:v>
                </c:pt>
                <c:pt idx="3">
                  <c:v>0</c:v>
                </c:pt>
                <c:pt idx="4">
                  <c:v>5.2843000000000001E-2</c:v>
                </c:pt>
                <c:pt idx="5">
                  <c:v>4.7500000000000001E-2</c:v>
                </c:pt>
                <c:pt idx="6">
                  <c:v>4.2500000000000003E-2</c:v>
                </c:pt>
                <c:pt idx="7">
                  <c:v>4.2875000000000003E-2</c:v>
                </c:pt>
                <c:pt idx="8">
                  <c:v>4.53E-2</c:v>
                </c:pt>
                <c:pt idx="9">
                  <c:v>4.7500000000000001E-2</c:v>
                </c:pt>
                <c:pt idx="10">
                  <c:v>5.7099999999999998E-2</c:v>
                </c:pt>
                <c:pt idx="11">
                  <c:v>6.7199999999999996E-2</c:v>
                </c:pt>
                <c:pt idx="12">
                  <c:v>8.0299999999999996E-2</c:v>
                </c:pt>
                <c:pt idx="13">
                  <c:v>9.5000000000000001E-2</c:v>
                </c:pt>
                <c:pt idx="14">
                  <c:v>0.105</c:v>
                </c:pt>
                <c:pt idx="15">
                  <c:v>0.115</c:v>
                </c:pt>
                <c:pt idx="16">
                  <c:v>0.115</c:v>
                </c:pt>
                <c:pt idx="17">
                  <c:v>0.11502800000000001</c:v>
                </c:pt>
                <c:pt idx="18">
                  <c:v>0.11502499999999999</c:v>
                </c:pt>
                <c:pt idx="19">
                  <c:v>0.112485</c:v>
                </c:pt>
                <c:pt idx="20">
                  <c:v>0.112445</c:v>
                </c:pt>
                <c:pt idx="21">
                  <c:v>0.1074</c:v>
                </c:pt>
                <c:pt idx="22">
                  <c:v>0.10244999999999999</c:v>
                </c:pt>
                <c:pt idx="23">
                  <c:v>9.2704000000000009E-2</c:v>
                </c:pt>
                <c:pt idx="24">
                  <c:v>9.2704000000000009E-2</c:v>
                </c:pt>
                <c:pt idx="25">
                  <c:v>7.7499999999999999E-2</c:v>
                </c:pt>
                <c:pt idx="26">
                  <c:v>7.4999999999999997E-2</c:v>
                </c:pt>
                <c:pt idx="27">
                  <c:v>7.2999999999999995E-2</c:v>
                </c:pt>
                <c:pt idx="28">
                  <c:v>7.0999999999999994E-2</c:v>
                </c:pt>
                <c:pt idx="29">
                  <c:v>7.0499999999999993E-2</c:v>
                </c:pt>
                <c:pt idx="30">
                  <c:v>6.8000000000000005E-2</c:v>
                </c:pt>
              </c:numCache>
            </c:numRef>
          </c:val>
          <c:smooth val="0"/>
          <c:extLst>
            <c:ext xmlns:c16="http://schemas.microsoft.com/office/drawing/2014/chart" uri="{C3380CC4-5D6E-409C-BE32-E72D297353CC}">
              <c16:uniqueId val="{00000000-A026-4BA3-9E48-F45219A25E3F}"/>
            </c:ext>
          </c:extLst>
        </c:ser>
        <c:ser>
          <c:idx val="1"/>
          <c:order val="1"/>
          <c:spPr>
            <a:ln w="28575" cap="rnd">
              <a:solidFill>
                <a:schemeClr val="accent2"/>
              </a:solidFill>
              <a:round/>
            </a:ln>
            <a:effectLst/>
          </c:spPr>
          <c:marker>
            <c:symbol val="none"/>
          </c:marker>
          <c:val>
            <c:numRef>
              <c:f>FAT!$C$80:$AG$80</c:f>
              <c:numCache>
                <c:formatCode>0.0%</c:formatCode>
                <c:ptCount val="31"/>
                <c:pt idx="0">
                  <c:v>0.16785292365972487</c:v>
                </c:pt>
                <c:pt idx="1">
                  <c:v>0.16484618125668132</c:v>
                </c:pt>
                <c:pt idx="2">
                  <c:v>0.16191303690831477</c:v>
                </c:pt>
                <c:pt idx="3">
                  <c:v>0.1551790119187588</c:v>
                </c:pt>
                <c:pt idx="4">
                  <c:v>0.14237509524327854</c:v>
                </c:pt>
                <c:pt idx="5">
                  <c:v>0.1321490705979306</c:v>
                </c:pt>
                <c:pt idx="6">
                  <c:v>0.12945973966132934</c:v>
                </c:pt>
                <c:pt idx="7">
                  <c:v>0.11861167509200654</c:v>
                </c:pt>
                <c:pt idx="8">
                  <c:v>0.11286417597451105</c:v>
                </c:pt>
                <c:pt idx="9">
                  <c:v>0.12154440429357211</c:v>
                </c:pt>
                <c:pt idx="10">
                  <c:v>0.13260909625391587</c:v>
                </c:pt>
                <c:pt idx="11">
                  <c:v>0.1389331005801715</c:v>
                </c:pt>
                <c:pt idx="12">
                  <c:v>0.15562058299277418</c:v>
                </c:pt>
                <c:pt idx="13">
                  <c:v>0.17760254559286057</c:v>
                </c:pt>
                <c:pt idx="14">
                  <c:v>0.21336936601124468</c:v>
                </c:pt>
                <c:pt idx="15">
                  <c:v>0.19042203413307671</c:v>
                </c:pt>
                <c:pt idx="16">
                  <c:v>0.19988377212291977</c:v>
                </c:pt>
                <c:pt idx="17">
                  <c:v>0.20885870216078425</c:v>
                </c:pt>
                <c:pt idx="18">
                  <c:v>0.19899915210560443</c:v>
                </c:pt>
                <c:pt idx="19">
                  <c:v>0.18635658914728681</c:v>
                </c:pt>
                <c:pt idx="20">
                  <c:v>0.18379326378465083</c:v>
                </c:pt>
                <c:pt idx="21">
                  <c:v>0.18613362494751245</c:v>
                </c:pt>
                <c:pt idx="22">
                  <c:v>0.18547444231398774</c:v>
                </c:pt>
                <c:pt idx="23">
                  <c:v>0.17349999999999999</c:v>
                </c:pt>
                <c:pt idx="24">
                  <c:v>0.17282551977967089</c:v>
                </c:pt>
                <c:pt idx="25">
                  <c:v>0.16496809532803916</c:v>
                </c:pt>
                <c:pt idx="26">
                  <c:v>0.16238392045012437</c:v>
                </c:pt>
                <c:pt idx="27" formatCode="0.00%">
                  <c:v>0.16138392045012437</c:v>
                </c:pt>
                <c:pt idx="28" formatCode="0.00%">
                  <c:v>0.15938392045012437</c:v>
                </c:pt>
                <c:pt idx="29" formatCode="0.00%">
                  <c:v>0.15813392045012437</c:v>
                </c:pt>
                <c:pt idx="30" formatCode="0.00%">
                  <c:v>0.15663392045012436</c:v>
                </c:pt>
              </c:numCache>
            </c:numRef>
          </c:val>
          <c:smooth val="0"/>
          <c:extLst>
            <c:ext xmlns:c16="http://schemas.microsoft.com/office/drawing/2014/chart" uri="{C3380CC4-5D6E-409C-BE32-E72D297353CC}">
              <c16:uniqueId val="{00000001-A026-4BA3-9E48-F45219A25E3F}"/>
            </c:ext>
          </c:extLst>
        </c:ser>
        <c:dLbls>
          <c:showLegendKey val="0"/>
          <c:showVal val="0"/>
          <c:showCatName val="0"/>
          <c:showSerName val="0"/>
          <c:showPercent val="0"/>
          <c:showBubbleSize val="0"/>
        </c:dLbls>
        <c:smooth val="0"/>
        <c:axId val="1052752536"/>
        <c:axId val="1052753976"/>
      </c:lineChart>
      <c:catAx>
        <c:axId val="10527525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753976"/>
        <c:crosses val="autoZero"/>
        <c:auto val="1"/>
        <c:lblAlgn val="ctr"/>
        <c:lblOffset val="100"/>
        <c:noMultiLvlLbl val="0"/>
      </c:catAx>
      <c:valAx>
        <c:axId val="1052753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752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v>NPL</c:v>
          </c:tx>
          <c:spPr>
            <a:ln w="28575" cap="rnd">
              <a:solidFill>
                <a:schemeClr val="accent1"/>
              </a:solidFill>
              <a:round/>
            </a:ln>
            <a:effectLst/>
          </c:spPr>
          <c:marker>
            <c:symbol val="none"/>
          </c:marker>
          <c:cat>
            <c:numRef>
              <c:f>FAT!$B$4:$AG$4</c:f>
              <c:numCache>
                <c:formatCode>mmm\-yy</c:formatCode>
                <c:ptCount val="32"/>
                <c:pt idx="0">
                  <c:v>43555</c:v>
                </c:pt>
                <c:pt idx="1">
                  <c:v>43646</c:v>
                </c:pt>
                <c:pt idx="2">
                  <c:v>43738</c:v>
                </c:pt>
                <c:pt idx="3">
                  <c:v>43830</c:v>
                </c:pt>
                <c:pt idx="4">
                  <c:v>43921</c:v>
                </c:pt>
                <c:pt idx="5">
                  <c:v>44012</c:v>
                </c:pt>
                <c:pt idx="6">
                  <c:v>44104</c:v>
                </c:pt>
                <c:pt idx="7">
                  <c:v>44196</c:v>
                </c:pt>
                <c:pt idx="8">
                  <c:v>44286</c:v>
                </c:pt>
                <c:pt idx="9">
                  <c:v>44377</c:v>
                </c:pt>
                <c:pt idx="10">
                  <c:v>44469</c:v>
                </c:pt>
                <c:pt idx="11">
                  <c:v>44561</c:v>
                </c:pt>
                <c:pt idx="12">
                  <c:v>44651</c:v>
                </c:pt>
                <c:pt idx="13">
                  <c:v>44742</c:v>
                </c:pt>
                <c:pt idx="14">
                  <c:v>44834</c:v>
                </c:pt>
                <c:pt idx="15">
                  <c:v>44926</c:v>
                </c:pt>
                <c:pt idx="16">
                  <c:v>45016</c:v>
                </c:pt>
                <c:pt idx="17">
                  <c:v>45107</c:v>
                </c:pt>
                <c:pt idx="18">
                  <c:v>45199</c:v>
                </c:pt>
                <c:pt idx="19">
                  <c:v>45291</c:v>
                </c:pt>
                <c:pt idx="20">
                  <c:v>45382</c:v>
                </c:pt>
                <c:pt idx="21">
                  <c:v>45473</c:v>
                </c:pt>
                <c:pt idx="22">
                  <c:v>45565</c:v>
                </c:pt>
                <c:pt idx="23">
                  <c:v>45657</c:v>
                </c:pt>
                <c:pt idx="24">
                  <c:v>45747</c:v>
                </c:pt>
                <c:pt idx="25">
                  <c:v>45838</c:v>
                </c:pt>
                <c:pt idx="26">
                  <c:v>45930</c:v>
                </c:pt>
                <c:pt idx="27">
                  <c:v>46022</c:v>
                </c:pt>
                <c:pt idx="28">
                  <c:v>46112</c:v>
                </c:pt>
                <c:pt idx="29">
                  <c:v>46203</c:v>
                </c:pt>
                <c:pt idx="30">
                  <c:v>46295</c:v>
                </c:pt>
                <c:pt idx="31">
                  <c:v>46387</c:v>
                </c:pt>
              </c:numCache>
            </c:numRef>
          </c:cat>
          <c:val>
            <c:numRef>
              <c:f>FAT!$B$39:$AG$39</c:f>
              <c:numCache>
                <c:formatCode>0.00%</c:formatCode>
                <c:ptCount val="32"/>
                <c:pt idx="0">
                  <c:v>1.7663628183560893E-2</c:v>
                </c:pt>
                <c:pt idx="1">
                  <c:v>1.6980842617983778E-2</c:v>
                </c:pt>
                <c:pt idx="2">
                  <c:v>1.6070253699098033E-2</c:v>
                </c:pt>
                <c:pt idx="3">
                  <c:v>1.7767649538207857E-2</c:v>
                </c:pt>
                <c:pt idx="4">
                  <c:v>1.8680017713030826E-2</c:v>
                </c:pt>
                <c:pt idx="5">
                  <c:v>1.5283939860052814E-2</c:v>
                </c:pt>
                <c:pt idx="6">
                  <c:v>1.2230713278675276E-2</c:v>
                </c:pt>
                <c:pt idx="7">
                  <c:v>1.4009432897795229E-2</c:v>
                </c:pt>
                <c:pt idx="8">
                  <c:v>1.7418808549911069E-2</c:v>
                </c:pt>
                <c:pt idx="9">
                  <c:v>1.6157704831470561E-2</c:v>
                </c:pt>
                <c:pt idx="10">
                  <c:v>1.6654043371899675E-2</c:v>
                </c:pt>
                <c:pt idx="11">
                  <c:v>1.8309128408306428E-2</c:v>
                </c:pt>
                <c:pt idx="12">
                  <c:v>1.5636889680489006E-2</c:v>
                </c:pt>
                <c:pt idx="13">
                  <c:v>1.3416293197481789E-2</c:v>
                </c:pt>
                <c:pt idx="14">
                  <c:v>1.3255488726022512E-2</c:v>
                </c:pt>
                <c:pt idx="15">
                  <c:v>1.351176573519678E-2</c:v>
                </c:pt>
                <c:pt idx="16">
                  <c:v>1.2606451705011885E-2</c:v>
                </c:pt>
                <c:pt idx="17">
                  <c:v>1.3255761051637496E-2</c:v>
                </c:pt>
                <c:pt idx="18">
                  <c:v>1.3569311655476115E-2</c:v>
                </c:pt>
                <c:pt idx="19">
                  <c:v>1.337128267920645E-2</c:v>
                </c:pt>
                <c:pt idx="20">
                  <c:v>1.2894567759782495E-2</c:v>
                </c:pt>
                <c:pt idx="21">
                  <c:v>1.3183330886311359E-2</c:v>
                </c:pt>
                <c:pt idx="22">
                  <c:v>1.2544627646178688E-2</c:v>
                </c:pt>
                <c:pt idx="23">
                  <c:v>1.2772345146078315E-2</c:v>
                </c:pt>
                <c:pt idx="24">
                  <c:v>1.3848481971845142E-2</c:v>
                </c:pt>
                <c:pt idx="25">
                  <c:v>1.5299911161806158E-2</c:v>
                </c:pt>
                <c:pt idx="26">
                  <c:v>1.6481004351544558E-2</c:v>
                </c:pt>
                <c:pt idx="27">
                  <c:v>1.2909627330831631E-2</c:v>
                </c:pt>
                <c:pt idx="28">
                  <c:v>1.2992572454261095E-2</c:v>
                </c:pt>
                <c:pt idx="29">
                  <c:v>1.3222438033813136E-2</c:v>
                </c:pt>
                <c:pt idx="30">
                  <c:v>1.3043148681668053E-2</c:v>
                </c:pt>
                <c:pt idx="31">
                  <c:v>1.2937913369417626E-2</c:v>
                </c:pt>
              </c:numCache>
            </c:numRef>
          </c:val>
          <c:smooth val="0"/>
          <c:extLst>
            <c:ext xmlns:c16="http://schemas.microsoft.com/office/drawing/2014/chart" uri="{C3380CC4-5D6E-409C-BE32-E72D297353CC}">
              <c16:uniqueId val="{00000000-4699-45A4-893C-32B7CF9513C3}"/>
            </c:ext>
          </c:extLst>
        </c:ser>
        <c:dLbls>
          <c:showLegendKey val="0"/>
          <c:showVal val="0"/>
          <c:showCatName val="0"/>
          <c:showSerName val="0"/>
          <c:showPercent val="0"/>
          <c:showBubbleSize val="0"/>
        </c:dLbls>
        <c:smooth val="0"/>
        <c:axId val="1231709679"/>
        <c:axId val="1231710159"/>
      </c:lineChart>
      <c:dateAx>
        <c:axId val="1231709679"/>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31710159"/>
        <c:crosses val="autoZero"/>
        <c:auto val="1"/>
        <c:lblOffset val="100"/>
        <c:baseTimeUnit val="months"/>
        <c:majorUnit val="6"/>
        <c:majorTimeUnit val="months"/>
      </c:dateAx>
      <c:valAx>
        <c:axId val="1231710159"/>
        <c:scaling>
          <c:orientation val="minMax"/>
          <c:min val="1.0000000000000002E-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3170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spPr>
            <a:ln w="28575" cap="rnd">
              <a:solidFill>
                <a:schemeClr val="accent1"/>
              </a:solidFill>
              <a:round/>
            </a:ln>
            <a:effectLst/>
          </c:spPr>
          <c:marker>
            <c:symbol val="none"/>
          </c:marker>
          <c:val>
            <c:numRef>
              <c:f>FAT!$L$81:$AE$81</c:f>
              <c:numCache>
                <c:formatCode>0.00%</c:formatCode>
                <c:ptCount val="20"/>
                <c:pt idx="0">
                  <c:v>4.7500000000000001E-2</c:v>
                </c:pt>
                <c:pt idx="1">
                  <c:v>5.7099999999999998E-2</c:v>
                </c:pt>
                <c:pt idx="2">
                  <c:v>6.7199999999999996E-2</c:v>
                </c:pt>
                <c:pt idx="3">
                  <c:v>8.0299999999999996E-2</c:v>
                </c:pt>
                <c:pt idx="4">
                  <c:v>9.5000000000000001E-2</c:v>
                </c:pt>
                <c:pt idx="5">
                  <c:v>0.105</c:v>
                </c:pt>
                <c:pt idx="6">
                  <c:v>0.115</c:v>
                </c:pt>
                <c:pt idx="7">
                  <c:v>0.115</c:v>
                </c:pt>
                <c:pt idx="8">
                  <c:v>0.11502800000000001</c:v>
                </c:pt>
                <c:pt idx="9">
                  <c:v>0.11502499999999999</c:v>
                </c:pt>
                <c:pt idx="10">
                  <c:v>0.112485</c:v>
                </c:pt>
                <c:pt idx="11">
                  <c:v>0.112445</c:v>
                </c:pt>
                <c:pt idx="12">
                  <c:v>0.1074</c:v>
                </c:pt>
                <c:pt idx="13">
                  <c:v>0.10244999999999999</c:v>
                </c:pt>
                <c:pt idx="14">
                  <c:v>9.2704000000000009E-2</c:v>
                </c:pt>
                <c:pt idx="15">
                  <c:v>9.2704000000000009E-2</c:v>
                </c:pt>
                <c:pt idx="16">
                  <c:v>7.7499999999999999E-2</c:v>
                </c:pt>
                <c:pt idx="17">
                  <c:v>7.4999999999999997E-2</c:v>
                </c:pt>
                <c:pt idx="18">
                  <c:v>7.2999999999999995E-2</c:v>
                </c:pt>
                <c:pt idx="19">
                  <c:v>7.0999999999999994E-2</c:v>
                </c:pt>
              </c:numCache>
            </c:numRef>
          </c:val>
          <c:smooth val="0"/>
          <c:extLst>
            <c:ext xmlns:c16="http://schemas.microsoft.com/office/drawing/2014/chart" uri="{C3380CC4-5D6E-409C-BE32-E72D297353CC}">
              <c16:uniqueId val="{00000000-0312-4F72-BBAC-FF4E9C6387F0}"/>
            </c:ext>
          </c:extLst>
        </c:ser>
        <c:ser>
          <c:idx val="1"/>
          <c:order val="1"/>
          <c:spPr>
            <a:ln w="28575" cap="rnd">
              <a:solidFill>
                <a:schemeClr val="accent2"/>
              </a:solidFill>
              <a:round/>
            </a:ln>
            <a:effectLst/>
          </c:spPr>
          <c:marker>
            <c:symbol val="none"/>
          </c:marker>
          <c:val>
            <c:numRef>
              <c:f>FAT!$L$82:$AE$82</c:f>
              <c:numCache>
                <c:formatCode>0.0%</c:formatCode>
                <c:ptCount val="20"/>
                <c:pt idx="0">
                  <c:v>7.4044404293572105E-2</c:v>
                </c:pt>
                <c:pt idx="1">
                  <c:v>7.5509096253915872E-2</c:v>
                </c:pt>
                <c:pt idx="2">
                  <c:v>7.1733100580171502E-2</c:v>
                </c:pt>
                <c:pt idx="3">
                  <c:v>7.5320582992774179E-2</c:v>
                </c:pt>
                <c:pt idx="4">
                  <c:v>8.2602545592860566E-2</c:v>
                </c:pt>
                <c:pt idx="5">
                  <c:v>0.10836936601124468</c:v>
                </c:pt>
                <c:pt idx="6">
                  <c:v>7.5422034133076701E-2</c:v>
                </c:pt>
                <c:pt idx="7">
                  <c:v>8.4883772122919768E-2</c:v>
                </c:pt>
                <c:pt idx="8">
                  <c:v>9.3830702160784249E-2</c:v>
                </c:pt>
                <c:pt idx="9">
                  <c:v>8.3974152105604438E-2</c:v>
                </c:pt>
                <c:pt idx="10">
                  <c:v>7.3871589147286809E-2</c:v>
                </c:pt>
                <c:pt idx="11">
                  <c:v>7.1348263784650826E-2</c:v>
                </c:pt>
                <c:pt idx="12">
                  <c:v>7.8733624947512459E-2</c:v>
                </c:pt>
                <c:pt idx="13">
                  <c:v>8.3024442313987756E-2</c:v>
                </c:pt>
                <c:pt idx="14">
                  <c:v>8.0795999999999979E-2</c:v>
                </c:pt>
                <c:pt idx="15">
                  <c:v>8.0121519779670886E-2</c:v>
                </c:pt>
                <c:pt idx="16">
                  <c:v>8.7468095328039161E-2</c:v>
                </c:pt>
                <c:pt idx="17">
                  <c:v>8.7383920450124372E-2</c:v>
                </c:pt>
                <c:pt idx="18">
                  <c:v>8.7383920450124372E-2</c:v>
                </c:pt>
                <c:pt idx="19">
                  <c:v>8.7383920450124372E-2</c:v>
                </c:pt>
              </c:numCache>
            </c:numRef>
          </c:val>
          <c:smooth val="0"/>
          <c:extLst>
            <c:ext xmlns:c16="http://schemas.microsoft.com/office/drawing/2014/chart" uri="{C3380CC4-5D6E-409C-BE32-E72D297353CC}">
              <c16:uniqueId val="{00000001-0312-4F72-BBAC-FF4E9C6387F0}"/>
            </c:ext>
          </c:extLst>
        </c:ser>
        <c:dLbls>
          <c:showLegendKey val="0"/>
          <c:showVal val="0"/>
          <c:showCatName val="0"/>
          <c:showSerName val="0"/>
          <c:showPercent val="0"/>
          <c:showBubbleSize val="0"/>
        </c:dLbls>
        <c:smooth val="0"/>
        <c:axId val="1685752672"/>
        <c:axId val="1685753152"/>
      </c:lineChart>
      <c:catAx>
        <c:axId val="168575267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85753152"/>
        <c:crosses val="autoZero"/>
        <c:auto val="1"/>
        <c:lblAlgn val="ctr"/>
        <c:lblOffset val="100"/>
        <c:noMultiLvlLbl val="0"/>
      </c:catAx>
      <c:valAx>
        <c:axId val="16857531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85752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NII</c:v>
          </c:tx>
          <c:spPr>
            <a:ln w="28575" cap="rnd">
              <a:solidFill>
                <a:schemeClr val="accent1"/>
              </a:solidFill>
              <a:round/>
            </a:ln>
            <a:effectLst/>
          </c:spPr>
          <c:marker>
            <c:symbol val="none"/>
          </c:marker>
          <c:cat>
            <c:numRef>
              <c:f>FAT!$B$4:$AG$4</c:f>
              <c:numCache>
                <c:formatCode>mmm\-yy</c:formatCode>
                <c:ptCount val="32"/>
                <c:pt idx="0">
                  <c:v>43555</c:v>
                </c:pt>
                <c:pt idx="1">
                  <c:v>43646</c:v>
                </c:pt>
                <c:pt idx="2">
                  <c:v>43738</c:v>
                </c:pt>
                <c:pt idx="3">
                  <c:v>43830</c:v>
                </c:pt>
                <c:pt idx="4">
                  <c:v>43921</c:v>
                </c:pt>
                <c:pt idx="5">
                  <c:v>44012</c:v>
                </c:pt>
                <c:pt idx="6">
                  <c:v>44104</c:v>
                </c:pt>
                <c:pt idx="7">
                  <c:v>44196</c:v>
                </c:pt>
                <c:pt idx="8">
                  <c:v>44286</c:v>
                </c:pt>
                <c:pt idx="9">
                  <c:v>44377</c:v>
                </c:pt>
                <c:pt idx="10">
                  <c:v>44469</c:v>
                </c:pt>
                <c:pt idx="11">
                  <c:v>44561</c:v>
                </c:pt>
                <c:pt idx="12">
                  <c:v>44651</c:v>
                </c:pt>
                <c:pt idx="13">
                  <c:v>44742</c:v>
                </c:pt>
                <c:pt idx="14">
                  <c:v>44834</c:v>
                </c:pt>
                <c:pt idx="15">
                  <c:v>44926</c:v>
                </c:pt>
                <c:pt idx="16">
                  <c:v>45016</c:v>
                </c:pt>
                <c:pt idx="17">
                  <c:v>45107</c:v>
                </c:pt>
                <c:pt idx="18">
                  <c:v>45199</c:v>
                </c:pt>
                <c:pt idx="19">
                  <c:v>45291</c:v>
                </c:pt>
                <c:pt idx="20">
                  <c:v>45382</c:v>
                </c:pt>
                <c:pt idx="21">
                  <c:v>45473</c:v>
                </c:pt>
                <c:pt idx="22">
                  <c:v>45565</c:v>
                </c:pt>
                <c:pt idx="23">
                  <c:v>45657</c:v>
                </c:pt>
                <c:pt idx="24">
                  <c:v>45747</c:v>
                </c:pt>
                <c:pt idx="25">
                  <c:v>45838</c:v>
                </c:pt>
                <c:pt idx="26">
                  <c:v>45930</c:v>
                </c:pt>
                <c:pt idx="27">
                  <c:v>46022</c:v>
                </c:pt>
                <c:pt idx="28">
                  <c:v>46112</c:v>
                </c:pt>
                <c:pt idx="29">
                  <c:v>46203</c:v>
                </c:pt>
                <c:pt idx="30">
                  <c:v>46295</c:v>
                </c:pt>
                <c:pt idx="31">
                  <c:v>46387</c:v>
                </c:pt>
              </c:numCache>
            </c:numRef>
          </c:cat>
          <c:val>
            <c:numRef>
              <c:f>FAT!$B$80:$AG$80</c:f>
              <c:numCache>
                <c:formatCode>0.0%</c:formatCode>
                <c:ptCount val="32"/>
                <c:pt idx="1">
                  <c:v>0.16785292365972487</c:v>
                </c:pt>
                <c:pt idx="2">
                  <c:v>0.16484618125668132</c:v>
                </c:pt>
                <c:pt idx="3">
                  <c:v>0.16191303690831477</c:v>
                </c:pt>
                <c:pt idx="4">
                  <c:v>0.1551790119187588</c:v>
                </c:pt>
                <c:pt idx="5">
                  <c:v>0.14237509524327854</c:v>
                </c:pt>
                <c:pt idx="6">
                  <c:v>0.1321490705979306</c:v>
                </c:pt>
                <c:pt idx="7">
                  <c:v>0.12945973966132934</c:v>
                </c:pt>
                <c:pt idx="8">
                  <c:v>0.11861167509200654</c:v>
                </c:pt>
                <c:pt idx="9">
                  <c:v>0.11286417597451105</c:v>
                </c:pt>
                <c:pt idx="10">
                  <c:v>0.12154440429357211</c:v>
                </c:pt>
                <c:pt idx="11">
                  <c:v>0.13260909625391587</c:v>
                </c:pt>
                <c:pt idx="12">
                  <c:v>0.1389331005801715</c:v>
                </c:pt>
                <c:pt idx="13">
                  <c:v>0.15562058299277418</c:v>
                </c:pt>
                <c:pt idx="14">
                  <c:v>0.17760254559286057</c:v>
                </c:pt>
                <c:pt idx="15">
                  <c:v>0.21336936601124468</c:v>
                </c:pt>
                <c:pt idx="16">
                  <c:v>0.19042203413307671</c:v>
                </c:pt>
                <c:pt idx="17">
                  <c:v>0.19988377212291977</c:v>
                </c:pt>
                <c:pt idx="18">
                  <c:v>0.20885870216078425</c:v>
                </c:pt>
                <c:pt idx="19">
                  <c:v>0.19899915210560443</c:v>
                </c:pt>
                <c:pt idx="20">
                  <c:v>0.18635658914728681</c:v>
                </c:pt>
                <c:pt idx="21">
                  <c:v>0.18379326378465083</c:v>
                </c:pt>
                <c:pt idx="22">
                  <c:v>0.18613362494751245</c:v>
                </c:pt>
                <c:pt idx="23">
                  <c:v>0.18547444231398774</c:v>
                </c:pt>
                <c:pt idx="24">
                  <c:v>0.17349999999999999</c:v>
                </c:pt>
                <c:pt idx="25">
                  <c:v>0.17282551977967089</c:v>
                </c:pt>
                <c:pt idx="26">
                  <c:v>0.16496809532803916</c:v>
                </c:pt>
                <c:pt idx="27">
                  <c:v>0.16238392045012437</c:v>
                </c:pt>
                <c:pt idx="28" formatCode="0.00%">
                  <c:v>0.16138392045012437</c:v>
                </c:pt>
                <c:pt idx="29" formatCode="0.00%">
                  <c:v>0.15938392045012437</c:v>
                </c:pt>
                <c:pt idx="30" formatCode="0.00%">
                  <c:v>0.15813392045012437</c:v>
                </c:pt>
                <c:pt idx="31" formatCode="0.00%">
                  <c:v>0.15663392045012436</c:v>
                </c:pt>
              </c:numCache>
            </c:numRef>
          </c:val>
          <c:smooth val="0"/>
          <c:extLst>
            <c:ext xmlns:c16="http://schemas.microsoft.com/office/drawing/2014/chart" uri="{C3380CC4-5D6E-409C-BE32-E72D297353CC}">
              <c16:uniqueId val="{00000000-A955-409E-A20E-AD4E5C2E614F}"/>
            </c:ext>
          </c:extLst>
        </c:ser>
        <c:ser>
          <c:idx val="1"/>
          <c:order val="1"/>
          <c:tx>
            <c:v>RFR</c:v>
          </c:tx>
          <c:spPr>
            <a:ln w="28575" cap="rnd">
              <a:solidFill>
                <a:schemeClr val="accent2"/>
              </a:solidFill>
              <a:round/>
            </a:ln>
            <a:effectLst/>
          </c:spPr>
          <c:marker>
            <c:symbol val="none"/>
          </c:marker>
          <c:val>
            <c:numRef>
              <c:f>FAT!$B$2:$AG$2</c:f>
              <c:numCache>
                <c:formatCode>0.00%</c:formatCode>
                <c:ptCount val="32"/>
                <c:pt idx="0">
                  <c:v>8.5150000000000003E-2</c:v>
                </c:pt>
                <c:pt idx="1">
                  <c:v>8.488699999999999E-2</c:v>
                </c:pt>
                <c:pt idx="2">
                  <c:v>8.0274999999999999E-2</c:v>
                </c:pt>
                <c:pt idx="3">
                  <c:v>0</c:v>
                </c:pt>
                <c:pt idx="4">
                  <c:v>0</c:v>
                </c:pt>
                <c:pt idx="5">
                  <c:v>5.2843000000000001E-2</c:v>
                </c:pt>
                <c:pt idx="6">
                  <c:v>4.7500000000000001E-2</c:v>
                </c:pt>
                <c:pt idx="7">
                  <c:v>4.2500000000000003E-2</c:v>
                </c:pt>
                <c:pt idx="8">
                  <c:v>4.2875000000000003E-2</c:v>
                </c:pt>
                <c:pt idx="9">
                  <c:v>4.53E-2</c:v>
                </c:pt>
                <c:pt idx="10">
                  <c:v>4.7500000000000001E-2</c:v>
                </c:pt>
                <c:pt idx="11">
                  <c:v>5.7099999999999998E-2</c:v>
                </c:pt>
                <c:pt idx="12">
                  <c:v>6.7199999999999996E-2</c:v>
                </c:pt>
                <c:pt idx="13">
                  <c:v>8.0299999999999996E-2</c:v>
                </c:pt>
                <c:pt idx="14">
                  <c:v>9.5000000000000001E-2</c:v>
                </c:pt>
                <c:pt idx="15">
                  <c:v>0.105</c:v>
                </c:pt>
                <c:pt idx="16">
                  <c:v>0.115</c:v>
                </c:pt>
                <c:pt idx="17">
                  <c:v>0.115</c:v>
                </c:pt>
                <c:pt idx="18">
                  <c:v>0.11502800000000001</c:v>
                </c:pt>
                <c:pt idx="19">
                  <c:v>0.11502499999999999</c:v>
                </c:pt>
                <c:pt idx="20">
                  <c:v>0.112485</c:v>
                </c:pt>
                <c:pt idx="21">
                  <c:v>0.112445</c:v>
                </c:pt>
                <c:pt idx="22">
                  <c:v>0.1074</c:v>
                </c:pt>
                <c:pt idx="23">
                  <c:v>0.10244999999999999</c:v>
                </c:pt>
                <c:pt idx="24">
                  <c:v>9.2704000000000009E-2</c:v>
                </c:pt>
                <c:pt idx="25">
                  <c:v>9.2704000000000009E-2</c:v>
                </c:pt>
                <c:pt idx="26">
                  <c:v>7.7499999999999999E-2</c:v>
                </c:pt>
                <c:pt idx="27">
                  <c:v>7.4999999999999997E-2</c:v>
                </c:pt>
                <c:pt idx="28">
                  <c:v>7.2999999999999995E-2</c:v>
                </c:pt>
                <c:pt idx="29">
                  <c:v>7.0999999999999994E-2</c:v>
                </c:pt>
                <c:pt idx="30">
                  <c:v>7.0499999999999993E-2</c:v>
                </c:pt>
                <c:pt idx="31">
                  <c:v>6.8000000000000005E-2</c:v>
                </c:pt>
              </c:numCache>
            </c:numRef>
          </c:val>
          <c:smooth val="0"/>
          <c:extLst>
            <c:ext xmlns:c16="http://schemas.microsoft.com/office/drawing/2014/chart" uri="{C3380CC4-5D6E-409C-BE32-E72D297353CC}">
              <c16:uniqueId val="{00000001-A955-409E-A20E-AD4E5C2E614F}"/>
            </c:ext>
          </c:extLst>
        </c:ser>
        <c:ser>
          <c:idx val="2"/>
          <c:order val="2"/>
          <c:tx>
            <c:v>Cost Funding</c:v>
          </c:tx>
          <c:spPr>
            <a:ln w="28575" cap="rnd">
              <a:solidFill>
                <a:schemeClr val="accent3"/>
              </a:solidFill>
              <a:round/>
            </a:ln>
            <a:effectLst/>
          </c:spPr>
          <c:marker>
            <c:symbol val="none"/>
          </c:marker>
          <c:val>
            <c:numRef>
              <c:f>FAT!$B$132:$AG$132</c:f>
              <c:numCache>
                <c:formatCode>0.0%</c:formatCode>
                <c:ptCount val="32"/>
                <c:pt idx="0">
                  <c:v>8.881631352556954E-2</c:v>
                </c:pt>
                <c:pt idx="1">
                  <c:v>9.278520399755727E-2</c:v>
                </c:pt>
                <c:pt idx="2">
                  <c:v>8.8979723144757633E-2</c:v>
                </c:pt>
                <c:pt idx="3">
                  <c:v>8.6430868167202579E-2</c:v>
                </c:pt>
                <c:pt idx="4">
                  <c:v>7.9097638350370106E-2</c:v>
                </c:pt>
                <c:pt idx="5">
                  <c:v>7.5961688568096458E-2</c:v>
                </c:pt>
                <c:pt idx="6">
                  <c:v>6.6278499291856821E-2</c:v>
                </c:pt>
                <c:pt idx="7">
                  <c:v>5.8742262492150352E-2</c:v>
                </c:pt>
                <c:pt idx="8">
                  <c:v>4.9861885743441775E-2</c:v>
                </c:pt>
                <c:pt idx="9">
                  <c:v>4.3763528138528136E-2</c:v>
                </c:pt>
                <c:pt idx="10">
                  <c:v>5.165851925776823E-2</c:v>
                </c:pt>
                <c:pt idx="11">
                  <c:v>5.907435597682105E-2</c:v>
                </c:pt>
                <c:pt idx="12">
                  <c:v>5.0082028716409557E-2</c:v>
                </c:pt>
                <c:pt idx="13">
                  <c:v>5.9619319238638474E-2</c:v>
                </c:pt>
                <c:pt idx="14">
                  <c:v>6.697202777057587E-2</c:v>
                </c:pt>
                <c:pt idx="15">
                  <c:v>7.4200248359836032E-2</c:v>
                </c:pt>
                <c:pt idx="16">
                  <c:v>7.637816354687918E-2</c:v>
                </c:pt>
                <c:pt idx="17">
                  <c:v>8.0314778382131705E-2</c:v>
                </c:pt>
                <c:pt idx="18">
                  <c:v>8.472539824037828E-2</c:v>
                </c:pt>
                <c:pt idx="19">
                  <c:v>8.181981299467693E-2</c:v>
                </c:pt>
                <c:pt idx="20">
                  <c:v>7.8998667328647201E-2</c:v>
                </c:pt>
                <c:pt idx="21">
                  <c:v>7.664273661298214E-2</c:v>
                </c:pt>
                <c:pt idx="22">
                  <c:v>7.7240695356975975E-2</c:v>
                </c:pt>
                <c:pt idx="23">
                  <c:v>7.838744746638554E-2</c:v>
                </c:pt>
                <c:pt idx="24">
                  <c:v>7.1919492830577275E-2</c:v>
                </c:pt>
                <c:pt idx="25">
                  <c:v>6.7944115229897489E-2</c:v>
                </c:pt>
                <c:pt idx="26">
                  <c:v>6.1345958741968208E-2</c:v>
                </c:pt>
                <c:pt idx="27">
                  <c:v>5.7538651422632196E-2</c:v>
                </c:pt>
                <c:pt idx="28">
                  <c:v>6.2985177076122847E-2</c:v>
                </c:pt>
                <c:pt idx="29">
                  <c:v>6.5403275981249898E-2</c:v>
                </c:pt>
                <c:pt idx="30">
                  <c:v>6.4352708414787435E-2</c:v>
                </c:pt>
                <c:pt idx="31">
                  <c:v>6.4042679242289943E-2</c:v>
                </c:pt>
              </c:numCache>
            </c:numRef>
          </c:val>
          <c:smooth val="0"/>
          <c:extLst>
            <c:ext xmlns:c16="http://schemas.microsoft.com/office/drawing/2014/chart" uri="{C3380CC4-5D6E-409C-BE32-E72D297353CC}">
              <c16:uniqueId val="{00000004-A955-409E-A20E-AD4E5C2E614F}"/>
            </c:ext>
          </c:extLst>
        </c:ser>
        <c:dLbls>
          <c:showLegendKey val="0"/>
          <c:showVal val="0"/>
          <c:showCatName val="0"/>
          <c:showSerName val="0"/>
          <c:showPercent val="0"/>
          <c:showBubbleSize val="0"/>
        </c:dLbls>
        <c:smooth val="0"/>
        <c:axId val="997426312"/>
        <c:axId val="997428112"/>
      </c:lineChart>
      <c:dateAx>
        <c:axId val="99742631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428112"/>
        <c:crosses val="autoZero"/>
        <c:auto val="1"/>
        <c:lblOffset val="100"/>
        <c:baseTimeUnit val="months"/>
        <c:majorUnit val="6"/>
        <c:majorTimeUnit val="months"/>
      </c:dateAx>
      <c:valAx>
        <c:axId val="997428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426312"/>
        <c:crosses val="autoZero"/>
        <c:crossBetween val="between"/>
        <c:majorUnit val="2.0000000000000004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inflacion Trimestral ARGENTINA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318-4853-B62C-6DD7C4288DD1}"/>
                </c:ext>
              </c:extLst>
            </c:dLbl>
            <c:dLbl>
              <c:idx val="2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18-4853-B62C-6DD7C4288DD1}"/>
                </c:ext>
              </c:extLst>
            </c:dLbl>
            <c:dLbl>
              <c:idx val="2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18-4853-B62C-6DD7C4288DD1}"/>
                </c:ext>
              </c:extLst>
            </c:dLbl>
            <c:dLbl>
              <c:idx val="28"/>
              <c:layout>
                <c:manualLayout>
                  <c:x val="-8.2027389474491224E-17"/>
                  <c:y val="-4.20361204467248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18-4853-B62C-6DD7C4288DD1}"/>
                </c:ext>
              </c:extLst>
            </c:dLbl>
            <c:dLbl>
              <c:idx val="2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318-4853-B62C-6DD7C4288DD1}"/>
                </c:ext>
              </c:extLst>
            </c:dLbl>
            <c:dLbl>
              <c:idx val="4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318-4853-B62C-6DD7C4288DD1}"/>
                </c:ext>
              </c:extLst>
            </c:dLbl>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318-4853-B62C-6DD7C4288DD1}"/>
                </c:ext>
              </c:extLst>
            </c:dLbl>
            <c:dLbl>
              <c:idx val="4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318-4853-B62C-6DD7C4288DD1}"/>
                </c:ext>
              </c:extLst>
            </c:dLbl>
            <c:dLbl>
              <c:idx val="6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318-4853-B62C-6DD7C4288D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[1]Macro!$F$2:$BO$2</c:f>
              <c:numCache>
                <c:formatCode>General</c:formatCode>
                <c:ptCount val="62"/>
                <c:pt idx="0">
                  <c:v>40268</c:v>
                </c:pt>
                <c:pt idx="1">
                  <c:v>40359</c:v>
                </c:pt>
                <c:pt idx="2">
                  <c:v>40451</c:v>
                </c:pt>
                <c:pt idx="3">
                  <c:v>40543</c:v>
                </c:pt>
                <c:pt idx="4">
                  <c:v>40633</c:v>
                </c:pt>
                <c:pt idx="5">
                  <c:v>40724</c:v>
                </c:pt>
                <c:pt idx="6">
                  <c:v>40816</c:v>
                </c:pt>
                <c:pt idx="7">
                  <c:v>40908</c:v>
                </c:pt>
                <c:pt idx="8">
                  <c:v>40999</c:v>
                </c:pt>
                <c:pt idx="9">
                  <c:v>41090</c:v>
                </c:pt>
                <c:pt idx="10">
                  <c:v>41182</c:v>
                </c:pt>
                <c:pt idx="11">
                  <c:v>41274</c:v>
                </c:pt>
                <c:pt idx="12">
                  <c:v>41364</c:v>
                </c:pt>
                <c:pt idx="13">
                  <c:v>41455</c:v>
                </c:pt>
                <c:pt idx="14">
                  <c:v>41547</c:v>
                </c:pt>
                <c:pt idx="15">
                  <c:v>41639</c:v>
                </c:pt>
                <c:pt idx="16">
                  <c:v>41729</c:v>
                </c:pt>
                <c:pt idx="17">
                  <c:v>41820</c:v>
                </c:pt>
                <c:pt idx="18">
                  <c:v>41912</c:v>
                </c:pt>
                <c:pt idx="19">
                  <c:v>42004</c:v>
                </c:pt>
                <c:pt idx="20">
                  <c:v>42094</c:v>
                </c:pt>
                <c:pt idx="21">
                  <c:v>42185</c:v>
                </c:pt>
                <c:pt idx="22">
                  <c:v>42277</c:v>
                </c:pt>
                <c:pt idx="23">
                  <c:v>42369</c:v>
                </c:pt>
                <c:pt idx="24">
                  <c:v>42460</c:v>
                </c:pt>
                <c:pt idx="25">
                  <c:v>42551</c:v>
                </c:pt>
                <c:pt idx="26">
                  <c:v>42643</c:v>
                </c:pt>
                <c:pt idx="27">
                  <c:v>42735</c:v>
                </c:pt>
                <c:pt idx="28">
                  <c:v>42825</c:v>
                </c:pt>
                <c:pt idx="29">
                  <c:v>42916</c:v>
                </c:pt>
                <c:pt idx="30">
                  <c:v>43008</c:v>
                </c:pt>
                <c:pt idx="31">
                  <c:v>43100</c:v>
                </c:pt>
                <c:pt idx="32">
                  <c:v>43190</c:v>
                </c:pt>
                <c:pt idx="33">
                  <c:v>43281</c:v>
                </c:pt>
                <c:pt idx="34">
                  <c:v>43373</c:v>
                </c:pt>
                <c:pt idx="35">
                  <c:v>43465</c:v>
                </c:pt>
                <c:pt idx="36">
                  <c:v>43555</c:v>
                </c:pt>
                <c:pt idx="37">
                  <c:v>43646</c:v>
                </c:pt>
                <c:pt idx="38">
                  <c:v>43738</c:v>
                </c:pt>
                <c:pt idx="39">
                  <c:v>43830</c:v>
                </c:pt>
                <c:pt idx="40">
                  <c:v>43921</c:v>
                </c:pt>
                <c:pt idx="41">
                  <c:v>44012</c:v>
                </c:pt>
                <c:pt idx="42">
                  <c:v>44104</c:v>
                </c:pt>
                <c:pt idx="43">
                  <c:v>44196</c:v>
                </c:pt>
                <c:pt idx="44">
                  <c:v>44286</c:v>
                </c:pt>
                <c:pt idx="45">
                  <c:v>44377</c:v>
                </c:pt>
                <c:pt idx="46">
                  <c:v>44469</c:v>
                </c:pt>
                <c:pt idx="47">
                  <c:v>44561</c:v>
                </c:pt>
                <c:pt idx="48">
                  <c:v>44651</c:v>
                </c:pt>
                <c:pt idx="49">
                  <c:v>44742</c:v>
                </c:pt>
                <c:pt idx="50">
                  <c:v>44834</c:v>
                </c:pt>
                <c:pt idx="51">
                  <c:v>44926</c:v>
                </c:pt>
                <c:pt idx="52">
                  <c:v>45016</c:v>
                </c:pt>
                <c:pt idx="53">
                  <c:v>45107</c:v>
                </c:pt>
                <c:pt idx="54">
                  <c:v>45199</c:v>
                </c:pt>
                <c:pt idx="55">
                  <c:v>45291</c:v>
                </c:pt>
                <c:pt idx="56">
                  <c:v>45382</c:v>
                </c:pt>
                <c:pt idx="57">
                  <c:v>45473</c:v>
                </c:pt>
                <c:pt idx="58">
                  <c:v>45565</c:v>
                </c:pt>
                <c:pt idx="59">
                  <c:v>45657</c:v>
                </c:pt>
                <c:pt idx="60">
                  <c:v>45747</c:v>
                </c:pt>
                <c:pt idx="61">
                  <c:v>45838</c:v>
                </c:pt>
              </c:numCache>
            </c:numRef>
          </c:cat>
          <c:val>
            <c:numRef>
              <c:f>[1]Macro!$F$20:$BO$20</c:f>
              <c:numCache>
                <c:formatCode>General</c:formatCode>
                <c:ptCount val="62"/>
                <c:pt idx="0">
                  <c:v>7.7706740131035623E-2</c:v>
                </c:pt>
                <c:pt idx="1">
                  <c:v>3.711028219462853E-2</c:v>
                </c:pt>
                <c:pt idx="2">
                  <c:v>4.7694638667892253E-2</c:v>
                </c:pt>
                <c:pt idx="3">
                  <c:v>4.9715337090813883E-2</c:v>
                </c:pt>
                <c:pt idx="4">
                  <c:v>5.6477277516836955E-2</c:v>
                </c:pt>
                <c:pt idx="5">
                  <c:v>4.6153770290300988E-2</c:v>
                </c:pt>
                <c:pt idx="6">
                  <c:v>5.1020922738755248E-2</c:v>
                </c:pt>
                <c:pt idx="7">
                  <c:v>4.3695526760997305E-2</c:v>
                </c:pt>
                <c:pt idx="8">
                  <c:v>6.2174920142764378E-2</c:v>
                </c:pt>
                <c:pt idx="9">
                  <c:v>4.8217584968295091E-2</c:v>
                </c:pt>
                <c:pt idx="10">
                  <c:v>5.6785867172653548E-2</c:v>
                </c:pt>
                <c:pt idx="11">
                  <c:v>5.2996541573487432E-2</c:v>
                </c:pt>
                <c:pt idx="12">
                  <c:v>5.2678172916810428E-2</c:v>
                </c:pt>
                <c:pt idx="13">
                  <c:v>5.0617317192603872E-2</c:v>
                </c:pt>
                <c:pt idx="14">
                  <c:v>6.8180142994029636E-2</c:v>
                </c:pt>
                <c:pt idx="15">
                  <c:v>6.9969638421198077E-2</c:v>
                </c:pt>
                <c:pt idx="16">
                  <c:v>0.13375467560944143</c:v>
                </c:pt>
                <c:pt idx="17">
                  <c:v>8.1626848691694898E-2</c:v>
                </c:pt>
                <c:pt idx="18">
                  <c:v>6.8998159347883226E-2</c:v>
                </c:pt>
                <c:pt idx="19">
                  <c:v>5.2983716239484391E-2</c:v>
                </c:pt>
                <c:pt idx="20">
                  <c:v>5.1579144085217798E-2</c:v>
                </c:pt>
                <c:pt idx="21">
                  <c:v>6.0467389372667268E-2</c:v>
                </c:pt>
                <c:pt idx="22">
                  <c:v>5.6307344254053593E-2</c:v>
                </c:pt>
                <c:pt idx="23">
                  <c:v>7.74997025344073E-2</c:v>
                </c:pt>
                <c:pt idx="24">
                  <c:v>0.11863658114624398</c:v>
                </c:pt>
                <c:pt idx="25">
                  <c:v>0.14461416446199404</c:v>
                </c:pt>
                <c:pt idx="26">
                  <c:v>3.3282440000000024E-2</c:v>
                </c:pt>
                <c:pt idx="27">
                  <c:v>5.2868608000000039E-2</c:v>
                </c:pt>
                <c:pt idx="28">
                  <c:v>6.2232064000000031E-2</c:v>
                </c:pt>
                <c:pt idx="29">
                  <c:v>5.3874535999999917E-2</c:v>
                </c:pt>
                <c:pt idx="30">
                  <c:v>5.083152199999974E-2</c:v>
                </c:pt>
                <c:pt idx="31">
                  <c:v>6.1115509999999817E-2</c:v>
                </c:pt>
                <c:pt idx="32">
                  <c:v>6.6407936000000056E-2</c:v>
                </c:pt>
                <c:pt idx="33">
                  <c:v>8.7363978999999814E-2</c:v>
                </c:pt>
                <c:pt idx="34">
                  <c:v>0.14083758499999965</c:v>
                </c:pt>
                <c:pt idx="35">
                  <c:v>0.11600892800000029</c:v>
                </c:pt>
                <c:pt idx="36">
                  <c:v>0.11830279399999988</c:v>
                </c:pt>
                <c:pt idx="37">
                  <c:v>9.4837457999999986E-2</c:v>
                </c:pt>
                <c:pt idx="38">
                  <c:v>0.12558991999999991</c:v>
                </c:pt>
                <c:pt idx="39">
                  <c:v>0.11718103346340314</c:v>
                </c:pt>
                <c:pt idx="40">
                  <c:v>7.8005927180355705E-2</c:v>
                </c:pt>
                <c:pt idx="41">
                  <c:v>5.37391588937981E-2</c:v>
                </c:pt>
                <c:pt idx="42">
                  <c:v>7.6559927943597117E-2</c:v>
                </c:pt>
                <c:pt idx="43">
                  <c:v>0.11326524724482145</c:v>
                </c:pt>
                <c:pt idx="44">
                  <c:v>0.12954804602467096</c:v>
                </c:pt>
                <c:pt idx="45">
                  <c:v>0.1095051276756831</c:v>
                </c:pt>
                <c:pt idx="46">
                  <c:v>9.2845326716294307E-2</c:v>
                </c:pt>
                <c:pt idx="47">
                  <c:v>0.10210028382213809</c:v>
                </c:pt>
                <c:pt idx="48">
                  <c:v>0.16069773031624468</c:v>
                </c:pt>
                <c:pt idx="49">
                  <c:v>0.17301718782356601</c:v>
                </c:pt>
                <c:pt idx="50">
                  <c:v>0.21976469994829961</c:v>
                </c:pt>
                <c:pt idx="51">
                  <c:v>0.17293318584528228</c:v>
                </c:pt>
                <c:pt idx="52">
                  <c:v>0.21732079429573692</c:v>
                </c:pt>
                <c:pt idx="53">
                  <c:v>0.23780735034318967</c:v>
                </c:pt>
                <c:pt idx="54">
                  <c:v>0.3482139201338319</c:v>
                </c:pt>
                <c:pt idx="55">
                  <c:v>0.53289051246897934</c:v>
                </c:pt>
                <c:pt idx="56">
                  <c:v>0.51621905416917868</c:v>
                </c:pt>
                <c:pt idx="57">
                  <c:v>0.18566423188708803</c:v>
                </c:pt>
                <c:pt idx="58">
                  <c:v>0.12131063918220453</c:v>
                </c:pt>
                <c:pt idx="59">
                  <c:v>8.0279518803073158E-2</c:v>
                </c:pt>
                <c:pt idx="60">
                  <c:v>8.5691336507230931E-2</c:v>
                </c:pt>
                <c:pt idx="61">
                  <c:v>6.0125794294962898E-2</c:v>
                </c:pt>
              </c:numCache>
            </c:numRef>
          </c:val>
          <c:extLst>
            <c:ext xmlns:c16="http://schemas.microsoft.com/office/drawing/2014/chart" uri="{C3380CC4-5D6E-409C-BE32-E72D297353CC}">
              <c16:uniqueId val="{00000009-5318-4853-B62C-6DD7C4288DD1}"/>
            </c:ext>
          </c:extLst>
        </c:ser>
        <c:dLbls>
          <c:showLegendKey val="0"/>
          <c:showVal val="0"/>
          <c:showCatName val="0"/>
          <c:showSerName val="0"/>
          <c:showPercent val="0"/>
          <c:showBubbleSize val="0"/>
        </c:dLbls>
        <c:gapWidth val="219"/>
        <c:overlap val="-27"/>
        <c:axId val="784344912"/>
        <c:axId val="784357392"/>
      </c:barChart>
      <c:catAx>
        <c:axId val="78434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357392"/>
        <c:crosses val="autoZero"/>
        <c:auto val="0"/>
        <c:lblAlgn val="ctr"/>
        <c:lblOffset val="100"/>
        <c:noMultiLvlLbl val="0"/>
      </c:catAx>
      <c:valAx>
        <c:axId val="784357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34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26</xdr:col>
      <xdr:colOff>342900</xdr:colOff>
      <xdr:row>83</xdr:row>
      <xdr:rowOff>38100</xdr:rowOff>
    </xdr:from>
    <xdr:to>
      <xdr:col>32</xdr:col>
      <xdr:colOff>742950</xdr:colOff>
      <xdr:row>96</xdr:row>
      <xdr:rowOff>133350</xdr:rowOff>
    </xdr:to>
    <xdr:graphicFrame macro="">
      <xdr:nvGraphicFramePr>
        <xdr:cNvPr id="3" name="Chart 2">
          <a:extLst>
            <a:ext uri="{FF2B5EF4-FFF2-40B4-BE49-F238E27FC236}">
              <a16:creationId xmlns:a16="http://schemas.microsoft.com/office/drawing/2014/main" id="{F4AF80F5-0D31-4739-A2CA-82F5C3FAF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152400</xdr:colOff>
      <xdr:row>84</xdr:row>
      <xdr:rowOff>52387</xdr:rowOff>
    </xdr:from>
    <xdr:to>
      <xdr:col>24</xdr:col>
      <xdr:colOff>152400</xdr:colOff>
      <xdr:row>98</xdr:row>
      <xdr:rowOff>109537</xdr:rowOff>
    </xdr:to>
    <xdr:graphicFrame macro="">
      <xdr:nvGraphicFramePr>
        <xdr:cNvPr id="4" name="Chart 3">
          <a:extLst>
            <a:ext uri="{FF2B5EF4-FFF2-40B4-BE49-F238E27FC236}">
              <a16:creationId xmlns:a16="http://schemas.microsoft.com/office/drawing/2014/main" id="{85A9DABF-C080-C996-78ED-75F019D9D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104775</xdr:colOff>
      <xdr:row>28</xdr:row>
      <xdr:rowOff>138112</xdr:rowOff>
    </xdr:from>
    <xdr:to>
      <xdr:col>41</xdr:col>
      <xdr:colOff>257175</xdr:colOff>
      <xdr:row>43</xdr:row>
      <xdr:rowOff>23812</xdr:rowOff>
    </xdr:to>
    <xdr:graphicFrame macro="">
      <xdr:nvGraphicFramePr>
        <xdr:cNvPr id="2" name="Chart 1">
          <a:extLst>
            <a:ext uri="{FF2B5EF4-FFF2-40B4-BE49-F238E27FC236}">
              <a16:creationId xmlns:a16="http://schemas.microsoft.com/office/drawing/2014/main" id="{D3B93B09-F3B7-5462-1601-B8F7034CA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142875</xdr:colOff>
      <xdr:row>84</xdr:row>
      <xdr:rowOff>176212</xdr:rowOff>
    </xdr:from>
    <xdr:to>
      <xdr:col>17</xdr:col>
      <xdr:colOff>142875</xdr:colOff>
      <xdr:row>99</xdr:row>
      <xdr:rowOff>42862</xdr:rowOff>
    </xdr:to>
    <xdr:graphicFrame macro="">
      <xdr:nvGraphicFramePr>
        <xdr:cNvPr id="6" name="Chart 5">
          <a:extLst>
            <a:ext uri="{FF2B5EF4-FFF2-40B4-BE49-F238E27FC236}">
              <a16:creationId xmlns:a16="http://schemas.microsoft.com/office/drawing/2014/main" id="{C4196370-EB48-4484-9280-289C46399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4</xdr:row>
      <xdr:rowOff>114300</xdr:rowOff>
    </xdr:from>
    <xdr:to>
      <xdr:col>8</xdr:col>
      <xdr:colOff>333375</xdr:colOff>
      <xdr:row>19</xdr:row>
      <xdr:rowOff>0</xdr:rowOff>
    </xdr:to>
    <xdr:graphicFrame macro="">
      <xdr:nvGraphicFramePr>
        <xdr:cNvPr id="2" name="Chart 1">
          <a:extLst>
            <a:ext uri="{FF2B5EF4-FFF2-40B4-BE49-F238E27FC236}">
              <a16:creationId xmlns:a16="http://schemas.microsoft.com/office/drawing/2014/main" id="{24963C4B-931F-4096-99C5-BD15A88E4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66675</xdr:colOff>
      <xdr:row>7</xdr:row>
      <xdr:rowOff>100012</xdr:rowOff>
    </xdr:from>
    <xdr:to>
      <xdr:col>27</xdr:col>
      <xdr:colOff>85725</xdr:colOff>
      <xdr:row>36</xdr:row>
      <xdr:rowOff>104775</xdr:rowOff>
    </xdr:to>
    <xdr:graphicFrame macro="">
      <xdr:nvGraphicFramePr>
        <xdr:cNvPr id="2" name="Chart 1">
          <a:extLst>
            <a:ext uri="{FF2B5EF4-FFF2-40B4-BE49-F238E27FC236}">
              <a16:creationId xmlns:a16="http://schemas.microsoft.com/office/drawing/2014/main" id="{5B24AB06-D232-4F25-AAC7-CC7BFCD7C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fundamentainvestments-my.sharepoint.com/personal/sebastianl_fundamentainvestments_onmicrosoft_com/Documents/FAM/Research/Macro/Premisas%20Macro%20Modelos%20Latam.xlsx" TargetMode="External"/><Relationship Id="rId1" Type="http://schemas.openxmlformats.org/officeDocument/2006/relationships/externalLinkPath" Target="/personal/sebastianl_fundamentainvestments_onmicrosoft_com/Documents/FAM/Research/Macro/Premisas%20Macro%20Modelos%20Lata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cro"/>
      <sheetName val="CPI"/>
      <sheetName val="FX"/>
      <sheetName val="Rates"/>
      <sheetName val="Calc2"/>
      <sheetName val="Calc3"/>
      <sheetName val="COREPO"/>
      <sheetName val="ARS"/>
      <sheetName val="value"/>
      <sheetName val="Sheet1"/>
    </sheetNames>
    <sheetDataSet>
      <sheetData sheetId="0">
        <row r="2">
          <cell r="F2">
            <v>40268</v>
          </cell>
          <cell r="G2">
            <v>40359</v>
          </cell>
          <cell r="H2">
            <v>40451</v>
          </cell>
          <cell r="I2">
            <v>40543</v>
          </cell>
          <cell r="J2">
            <v>40633</v>
          </cell>
          <cell r="K2">
            <v>40724</v>
          </cell>
          <cell r="L2">
            <v>40816</v>
          </cell>
          <cell r="M2">
            <v>40908</v>
          </cell>
          <cell r="N2">
            <v>40999</v>
          </cell>
          <cell r="O2">
            <v>41090</v>
          </cell>
          <cell r="P2">
            <v>41182</v>
          </cell>
          <cell r="Q2">
            <v>41274</v>
          </cell>
          <cell r="R2">
            <v>41364</v>
          </cell>
          <cell r="S2">
            <v>41455</v>
          </cell>
          <cell r="T2">
            <v>41547</v>
          </cell>
          <cell r="U2">
            <v>41639</v>
          </cell>
          <cell r="V2">
            <v>41729</v>
          </cell>
          <cell r="W2">
            <v>41820</v>
          </cell>
          <cell r="X2">
            <v>41912</v>
          </cell>
          <cell r="Y2">
            <v>42004</v>
          </cell>
          <cell r="Z2">
            <v>42094</v>
          </cell>
          <cell r="AA2">
            <v>42185</v>
          </cell>
          <cell r="AB2">
            <v>42277</v>
          </cell>
          <cell r="AC2">
            <v>42369</v>
          </cell>
          <cell r="AD2">
            <v>42460</v>
          </cell>
          <cell r="AE2">
            <v>42551</v>
          </cell>
          <cell r="AF2">
            <v>42643</v>
          </cell>
          <cell r="AG2">
            <v>42735</v>
          </cell>
          <cell r="AH2">
            <v>42825</v>
          </cell>
          <cell r="AI2">
            <v>42916</v>
          </cell>
          <cell r="AJ2">
            <v>43008</v>
          </cell>
          <cell r="AK2">
            <v>43100</v>
          </cell>
          <cell r="AL2">
            <v>43190</v>
          </cell>
          <cell r="AM2">
            <v>43281</v>
          </cell>
          <cell r="AN2">
            <v>43373</v>
          </cell>
          <cell r="AO2">
            <v>43465</v>
          </cell>
          <cell r="AP2">
            <v>43555</v>
          </cell>
          <cell r="AQ2">
            <v>43646</v>
          </cell>
          <cell r="AR2">
            <v>43738</v>
          </cell>
          <cell r="AS2">
            <v>43830</v>
          </cell>
          <cell r="AT2">
            <v>43921</v>
          </cell>
          <cell r="AU2">
            <v>44012</v>
          </cell>
          <cell r="AV2">
            <v>44104</v>
          </cell>
          <cell r="AW2">
            <v>44196</v>
          </cell>
          <cell r="AX2">
            <v>44286</v>
          </cell>
          <cell r="AY2">
            <v>44377</v>
          </cell>
          <cell r="AZ2">
            <v>44469</v>
          </cell>
          <cell r="BA2">
            <v>44561</v>
          </cell>
          <cell r="BB2">
            <v>44651</v>
          </cell>
          <cell r="BC2">
            <v>44742</v>
          </cell>
          <cell r="BD2">
            <v>44834</v>
          </cell>
          <cell r="BE2">
            <v>44926</v>
          </cell>
          <cell r="BF2">
            <v>45016</v>
          </cell>
          <cell r="BG2">
            <v>45107</v>
          </cell>
          <cell r="BH2">
            <v>45199</v>
          </cell>
          <cell r="BI2">
            <v>45291</v>
          </cell>
          <cell r="BJ2">
            <v>45382</v>
          </cell>
          <cell r="BK2">
            <v>45473</v>
          </cell>
          <cell r="BL2">
            <v>45565</v>
          </cell>
          <cell r="BM2">
            <v>45657</v>
          </cell>
          <cell r="BN2">
            <v>45747</v>
          </cell>
          <cell r="BO2">
            <v>45838</v>
          </cell>
        </row>
        <row r="20">
          <cell r="F20">
            <v>7.7706740131035623E-2</v>
          </cell>
          <cell r="G20">
            <v>3.711028219462853E-2</v>
          </cell>
          <cell r="H20">
            <v>4.7694638667892253E-2</v>
          </cell>
          <cell r="I20">
            <v>4.9715337090813883E-2</v>
          </cell>
          <cell r="J20">
            <v>5.6477277516836955E-2</v>
          </cell>
          <cell r="K20">
            <v>4.6153770290300988E-2</v>
          </cell>
          <cell r="L20">
            <v>5.1020922738755248E-2</v>
          </cell>
          <cell r="M20">
            <v>4.3695526760997305E-2</v>
          </cell>
          <cell r="N20">
            <v>6.2174920142764378E-2</v>
          </cell>
          <cell r="O20">
            <v>4.8217584968295091E-2</v>
          </cell>
          <cell r="P20">
            <v>5.6785867172653548E-2</v>
          </cell>
          <cell r="Q20">
            <v>5.2996541573487432E-2</v>
          </cell>
          <cell r="R20">
            <v>5.2678172916810428E-2</v>
          </cell>
          <cell r="S20">
            <v>5.0617317192603872E-2</v>
          </cell>
          <cell r="T20">
            <v>6.8180142994029636E-2</v>
          </cell>
          <cell r="U20">
            <v>6.9969638421198077E-2</v>
          </cell>
          <cell r="V20">
            <v>0.13375467560944143</v>
          </cell>
          <cell r="W20">
            <v>8.1626848691694898E-2</v>
          </cell>
          <cell r="X20">
            <v>6.8998159347883226E-2</v>
          </cell>
          <cell r="Y20">
            <v>5.2983716239484391E-2</v>
          </cell>
          <cell r="Z20">
            <v>5.1579144085217798E-2</v>
          </cell>
          <cell r="AA20">
            <v>6.0467389372667268E-2</v>
          </cell>
          <cell r="AB20">
            <v>5.6307344254053593E-2</v>
          </cell>
          <cell r="AC20">
            <v>7.74997025344073E-2</v>
          </cell>
          <cell r="AD20">
            <v>0.11863658114624398</v>
          </cell>
          <cell r="AE20">
            <v>0.14461416446199404</v>
          </cell>
          <cell r="AF20">
            <v>3.3282440000000024E-2</v>
          </cell>
          <cell r="AG20">
            <v>5.2868608000000039E-2</v>
          </cell>
          <cell r="AH20">
            <v>6.2232064000000031E-2</v>
          </cell>
          <cell r="AI20">
            <v>5.3874535999999917E-2</v>
          </cell>
          <cell r="AJ20">
            <v>5.083152199999974E-2</v>
          </cell>
          <cell r="AK20">
            <v>6.1115509999999817E-2</v>
          </cell>
          <cell r="AL20">
            <v>6.6407936000000056E-2</v>
          </cell>
          <cell r="AM20">
            <v>8.7363978999999814E-2</v>
          </cell>
          <cell r="AN20">
            <v>0.14083758499999965</v>
          </cell>
          <cell r="AO20">
            <v>0.11600892800000029</v>
          </cell>
          <cell r="AP20">
            <v>0.11830279399999988</v>
          </cell>
          <cell r="AQ20">
            <v>9.4837457999999986E-2</v>
          </cell>
          <cell r="AR20">
            <v>0.12558991999999991</v>
          </cell>
          <cell r="AS20">
            <v>0.11718103346340314</v>
          </cell>
          <cell r="AT20">
            <v>7.8005927180355705E-2</v>
          </cell>
          <cell r="AU20">
            <v>5.37391588937981E-2</v>
          </cell>
          <cell r="AV20">
            <v>7.6559927943597117E-2</v>
          </cell>
          <cell r="AW20">
            <v>0.11326524724482145</v>
          </cell>
          <cell r="AX20">
            <v>0.12954804602467096</v>
          </cell>
          <cell r="AY20">
            <v>0.1095051276756831</v>
          </cell>
          <cell r="AZ20">
            <v>9.2845326716294307E-2</v>
          </cell>
          <cell r="BA20">
            <v>0.10210028382213809</v>
          </cell>
          <cell r="BB20">
            <v>0.16069773031624468</v>
          </cell>
          <cell r="BC20">
            <v>0.17301718782356601</v>
          </cell>
          <cell r="BD20">
            <v>0.21976469994829961</v>
          </cell>
          <cell r="BE20">
            <v>0.17293318584528228</v>
          </cell>
          <cell r="BF20">
            <v>0.21732079429573692</v>
          </cell>
          <cell r="BG20">
            <v>0.23780735034318967</v>
          </cell>
          <cell r="BH20">
            <v>0.3482139201338319</v>
          </cell>
          <cell r="BI20">
            <v>0.53289051246897934</v>
          </cell>
          <cell r="BJ20">
            <v>0.51621905416917868</v>
          </cell>
          <cell r="BK20">
            <v>0.18566423188708803</v>
          </cell>
          <cell r="BL20">
            <v>0.12131063918220453</v>
          </cell>
          <cell r="BM20">
            <v>8.0279518803073158E-2</v>
          </cell>
          <cell r="BN20">
            <v>8.5691336507230931E-2</v>
          </cell>
          <cell r="BO20">
            <v>6.0125794294962898E-2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persons/person.xml><?xml version="1.0" encoding="utf-8"?>
<personList xmlns="http://schemas.microsoft.com/office/spreadsheetml/2018/threadedcomments" xmlns:x="http://schemas.openxmlformats.org/spreadsheetml/2006/main">
  <person displayName="Jorge Mauro" id="{FB19E9C3-A2CC-4E88-901B-F2F9CC36E2D0}" userId="jorgem@fundamentainvestments.onmicrosoft.com" providerId="PeoplePicker"/>
  <person displayName="Martin Zetzsche" id="{4FB5B132-8CEB-46AE-8316-B2168E99685A}" userId="S::martinz@fundamentainvestments.onmicrosoft.com::6f28b6b7-6254-441f-b3bc-a4542d3304b5"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https://www.bing.com/financeapi/forcetrigger?t=b11p6h&amp;q=XMEX%3aRA&amp;form=skydnc</v>
    <v>Learn more on Bing</v>
  </rv>
  <rv s="1">
    <v>en-US</v>
    <v>b11p6h</v>
    <v>268435456</v>
    <v>1</v>
    <v>Powered by Refinitiv</v>
    <v>0</v>
    <v>Regional SAB de CV (XMEX:RA)</v>
    <v>2</v>
    <v>3</v>
    <v>Finance</v>
    <v>4</v>
    <v>165.75</v>
    <v>121.9</v>
    <v>1.0314000000000001</v>
    <v>0.04</v>
    <v>2.4620000000000002E-4</v>
    <v>MXN</v>
    <v>Regional SAB de CV is a Mexico-based bank. The Company's business unit are divided in Medium Business, Automotive Business, Personal and Patrimonial Banking, Consumer Credits, Mortgage and Intermediation and Markets. The Medium Business unit offers credit to the medium-sized business sector. The Automotive Business unit offers credit for the acquisition of transport equipment. The Personal and Patrimonial Banking unit offers savings and investment products for medium and high income individuals. The Consumer Credits unit offers personal credit products, such as credit card and personal loans to the middle and high income segment. The Mortgage unit offers loans for house and land acquisition, for completion of construction and remodeling and the refinancing of existing credits. The Intermediation and Markets unit offers currency exchanges and investment fund distribution services. The Company is active in more than 20 Mexican states.</v>
    <v>7261</v>
    <v>Mexican Stock Exchange</v>
    <v>XMEX</v>
    <v>XMEX</v>
    <v>Av. Pedro Ramirez Vazquez #200-12 Parque Corporativo Ucaly, SAN PEDRO GARZA GARCIA, NUEVO LEON, 66278 MX</v>
    <v>164.46</v>
    <v>Banking Services</v>
    <v>Stock</v>
    <v>46071.8</v>
    <v>0</v>
    <v>159.43</v>
    <v>53282277624</v>
    <v>Regional SAB de CV</v>
    <v>Regional SAB de CV</v>
    <v>159.43</v>
    <v>162.44</v>
    <v>162.47999999999999</v>
    <v>327931300</v>
    <v>RA</v>
    <v>Regional SAB de CV (XMEX:RA)</v>
    <v>240437</v>
    <v>728350</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s>
  <s t="_linkedentity">
    <k n="%cvi" t="r"/>
  </s>
</rvStructures>
</file>

<file path=xl/richData/rdsupportingpropertybag.xml><?xml version="1.0" encoding="utf-8"?>
<supportingPropertyBags xmlns="http://schemas.microsoft.com/office/spreadsheetml/2017/richdata2">
  <spbArrays count="1">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_Flags</v>
      <v t="s">UniqueName</v>
      <v t="s">_DisplayString</v>
      <v t="s">LearnMoreOnLink</v>
      <v t="s">ExchangeID</v>
      <v t="s">%ProviderInfo</v>
    </a>
  </spbArrays>
  <spbData count="5">
    <spb s="0">
      <v>0</v>
      <v>Name</v>
      <v>LearnMoreOnLink</v>
    </spb>
    <spb s="1">
      <v>0</v>
      <v>0</v>
      <v>0</v>
    </spb>
    <spb s="2">
      <v>1</v>
      <v>1</v>
      <v>1</v>
      <v>1</v>
    </spb>
    <spb s="3">
      <v>1</v>
      <v>2</v>
      <v>1</v>
      <v>3</v>
      <v>1</v>
      <v>1</v>
      <v>1</v>
      <v>4</v>
      <v>4</v>
      <v>5</v>
      <v>6</v>
      <v>1</v>
      <v>1</v>
      <v>1</v>
      <v>4</v>
      <v>7</v>
      <v>8</v>
      <v>4</v>
    </spb>
    <spb s="4">
      <v>Delayed 20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2" formatCode="0.00"/>
    </x:dxf>
    <x:dxf>
      <x:numFmt numFmtId="0" formatCode="General"/>
    </x:dxf>
    <x:dxf>
      <x:numFmt numFmtId="27" formatCode="d/m/yyyy\ hh:mm"/>
    </x:dxf>
    <x:dxf>
      <x:numFmt numFmtId="14" formatCode="0.00%"/>
    </x:dxf>
    <x:dxf>
      <x:numFmt numFmtId="3" formatCode="#,##0"/>
    </x:dxf>
    <x:dxf>
      <x:numFmt numFmtId="4" formatCode="#,##0.00"/>
    </x:dxf>
  </dxfs>
  <richProperties>
    <rPr n="NumberFormat" t="s"/>
    <rPr n="IsTitleField" t="b"/>
  </richProperties>
  <richStyles>
    <rSty dxfid="1">
      <rpv i="0">_-[$$-es-MX]* #,##0.00_-;-[$$-es-MX]* #,##0.00_-;_-[$$-es-MX]* "-"??_-;_-@_-</rpv>
    </rSty>
    <rSty dxfid="5">
      <rpv i="0">#,##0.00</rpv>
    </rSty>
    <rSty>
      <rpv i="1">1</rpv>
    </rSty>
    <rSty dxfid="4">
      <rpv i="0">#,##0</rpv>
    </rSty>
    <rSty dxfid="3"/>
    <rSty dxfid="1">
      <rpv i="0">_-[$$-es-MX]* #,##0_-;-[$$-es-MX]* #,##0_-;_-[$$-es-MX]* "-"_-;_-@_-</rpv>
    </rSty>
    <rSty dxfid="2"/>
    <rSty dxfid="0">
      <rpv i="0">0.00</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9" dT="2024-02-28T14:34:02.62" personId="{4FB5B132-8CEB-46AE-8316-B2168E99685A}" id="{2D3DD3AA-5EBC-4BC5-8FA8-A02A15AF5C6C}">
    <text>@Jorge Mauro esta te la dejo toda a vos</text>
    <mentions>
      <mention mentionpersonId="{FB19E9C3-A2CC-4E88-901B-F2F9CC36E2D0}" mentionId="{BD0026E6-2B8B-4627-BCD2-A84A984587FF}" startIndex="0" length="12"/>
    </mentions>
  </threadedComment>
  <threadedComment ref="BE48" dT="2024-02-28T19:58:46.08" personId="{4FB5B132-8CEB-46AE-8316-B2168E99685A}" id="{4958283A-9080-4BEF-A6B6-C24C0BF16B46}">
    <text>SOFR</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materiality.sasb.or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A338-1F3D-440D-99B5-FF413D114F16}">
  <dimension ref="B2:V50"/>
  <sheetViews>
    <sheetView showGridLines="0" tabSelected="1" topLeftCell="A19" workbookViewId="0">
      <selection activeCell="F41" sqref="F41"/>
    </sheetView>
  </sheetViews>
  <sheetFormatPr defaultRowHeight="15" x14ac:dyDescent="0.25"/>
  <cols>
    <col min="2" max="2" width="20.5703125" bestFit="1" customWidth="1"/>
    <col min="3" max="3" width="11.5703125" bestFit="1" customWidth="1"/>
    <col min="4" max="14" width="9.5703125" bestFit="1" customWidth="1"/>
    <col min="15" max="15" width="10.85546875" bestFit="1" customWidth="1"/>
    <col min="16" max="16" width="9.5703125" bestFit="1" customWidth="1"/>
    <col min="17" max="17" width="10.42578125" bestFit="1" customWidth="1"/>
    <col min="18" max="18" width="9.5703125" bestFit="1" customWidth="1"/>
    <col min="20" max="20" width="13.7109375" customWidth="1"/>
    <col min="21" max="21" width="10.85546875" bestFit="1" customWidth="1"/>
    <col min="22" max="22" width="11.28515625" bestFit="1" customWidth="1"/>
  </cols>
  <sheetData>
    <row r="2" spans="2:22" x14ac:dyDescent="0.25">
      <c r="O2" s="17">
        <f ca="1">+TODAY()</f>
        <v>46071</v>
      </c>
    </row>
    <row r="3" spans="2:22" x14ac:dyDescent="0.25">
      <c r="B3" s="377" t="s">
        <v>0</v>
      </c>
      <c r="C3" s="378">
        <v>2020</v>
      </c>
      <c r="D3" s="378">
        <f t="shared" ref="D3:R3" si="0">+C3+1</f>
        <v>2021</v>
      </c>
      <c r="E3" s="378">
        <f t="shared" si="0"/>
        <v>2022</v>
      </c>
      <c r="F3" s="378">
        <f t="shared" si="0"/>
        <v>2023</v>
      </c>
      <c r="G3" s="378">
        <f t="shared" si="0"/>
        <v>2024</v>
      </c>
      <c r="H3" s="378">
        <f t="shared" si="0"/>
        <v>2025</v>
      </c>
      <c r="I3" s="378">
        <f t="shared" si="0"/>
        <v>2026</v>
      </c>
      <c r="J3" s="378">
        <f t="shared" si="0"/>
        <v>2027</v>
      </c>
      <c r="K3" s="378">
        <f t="shared" si="0"/>
        <v>2028</v>
      </c>
      <c r="L3" s="378">
        <f t="shared" si="0"/>
        <v>2029</v>
      </c>
      <c r="M3" s="378">
        <f t="shared" si="0"/>
        <v>2030</v>
      </c>
      <c r="N3" s="378">
        <f t="shared" si="0"/>
        <v>2031</v>
      </c>
      <c r="O3" s="378">
        <f t="shared" si="0"/>
        <v>2032</v>
      </c>
      <c r="P3" s="378">
        <f t="shared" si="0"/>
        <v>2033</v>
      </c>
      <c r="Q3" s="378">
        <f t="shared" si="0"/>
        <v>2034</v>
      </c>
      <c r="R3" s="379">
        <f t="shared" si="0"/>
        <v>2035</v>
      </c>
      <c r="T3" s="2" t="e" vm="1">
        <v>#VALUE!</v>
      </c>
    </row>
    <row r="4" spans="2:22" x14ac:dyDescent="0.25">
      <c r="B4" s="387"/>
      <c r="C4" s="2"/>
      <c r="D4" s="2"/>
      <c r="E4" s="2"/>
      <c r="F4" s="2"/>
      <c r="G4" s="2"/>
      <c r="H4" s="2"/>
      <c r="I4" s="2"/>
      <c r="J4" s="2"/>
      <c r="K4" s="2"/>
      <c r="L4" s="2"/>
      <c r="M4" s="2"/>
      <c r="N4" s="2"/>
      <c r="O4" s="2"/>
      <c r="P4" s="2"/>
      <c r="Q4" s="2"/>
      <c r="R4" s="514"/>
      <c r="T4" s="2"/>
    </row>
    <row r="5" spans="2:22" x14ac:dyDescent="0.25">
      <c r="B5" s="387" t="s">
        <v>1</v>
      </c>
      <c r="C5" s="515">
        <f>+FAT!AM7</f>
        <v>110416</v>
      </c>
      <c r="D5" s="515">
        <f>+FAT!AN7</f>
        <v>117952</v>
      </c>
      <c r="E5" s="515">
        <f>+FAT!AO7</f>
        <v>136876</v>
      </c>
      <c r="F5" s="515">
        <f>+FAT!AP7</f>
        <v>155301</v>
      </c>
      <c r="G5" s="515">
        <f>+FAT!AQ7</f>
        <v>177176</v>
      </c>
      <c r="H5" s="515">
        <f>+FAT!AR7</f>
        <v>190842</v>
      </c>
      <c r="I5" s="515">
        <f>+FAT!AS7</f>
        <v>206164.95832315509</v>
      </c>
      <c r="J5" s="515">
        <f>+FAT!AT7</f>
        <v>226042.93057098714</v>
      </c>
      <c r="K5" s="515">
        <f>+FAT!AU7</f>
        <v>240263.14860875768</v>
      </c>
      <c r="L5" s="515">
        <f>+FAT!AV7</f>
        <v>255286.71728343601</v>
      </c>
      <c r="M5" s="515">
        <f>+FAT!AW7</f>
        <v>271436.31086128985</v>
      </c>
      <c r="N5" s="515">
        <f>+FAT!AX7</f>
        <v>288604.63091316307</v>
      </c>
      <c r="O5" s="515">
        <f>+FAT!AY7</f>
        <v>302990.24106919754</v>
      </c>
      <c r="P5" s="515">
        <f>+FAT!AZ7</f>
        <v>318111.32599200006</v>
      </c>
      <c r="Q5" s="515">
        <f>+FAT!BA7</f>
        <v>334073.23727052839</v>
      </c>
      <c r="R5" s="553">
        <f>+FAT!BB7</f>
        <v>350896.08325915976</v>
      </c>
      <c r="T5" s="2"/>
    </row>
    <row r="6" spans="2:22" x14ac:dyDescent="0.25">
      <c r="B6" s="513" t="s">
        <v>2</v>
      </c>
      <c r="D6" s="554">
        <f>+D5/C5-1</f>
        <v>6.8250978119113181E-2</v>
      </c>
      <c r="E6" s="554">
        <f t="shared" ref="E6" si="1">+E5/D5-1</f>
        <v>0.160438144329897</v>
      </c>
      <c r="F6" s="554">
        <f t="shared" ref="F6" si="2">+F5/E5-1</f>
        <v>0.13461088868757121</v>
      </c>
      <c r="G6" s="554">
        <f t="shared" ref="G6" si="3">+G5/F5-1</f>
        <v>0.1408554999645848</v>
      </c>
      <c r="H6" s="554">
        <f t="shared" ref="H6" si="4">+H5/G5-1</f>
        <v>7.7132342980990698E-2</v>
      </c>
      <c r="I6" s="554">
        <f t="shared" ref="I6" si="5">+I5/H5-1</f>
        <v>8.0291331694045898E-2</v>
      </c>
      <c r="J6" s="554">
        <f t="shared" ref="J6" si="6">+J5/I5-1</f>
        <v>9.6417802566981958E-2</v>
      </c>
      <c r="K6" s="554">
        <f t="shared" ref="K6" si="7">+K5/J5-1</f>
        <v>6.2909368595824189E-2</v>
      </c>
      <c r="L6" s="554">
        <f t="shared" ref="L6" si="8">+L5/K5-1</f>
        <v>6.2529642026553978E-2</v>
      </c>
      <c r="M6" s="554">
        <f t="shared" ref="M6" si="9">+M5/L5-1</f>
        <v>6.3260610460682543E-2</v>
      </c>
      <c r="N6" s="554">
        <f t="shared" ref="N6" si="10">+N5/M5-1</f>
        <v>6.3249901965572342E-2</v>
      </c>
      <c r="O6" s="554">
        <f t="shared" ref="O6" si="11">+O5/N5-1</f>
        <v>4.9845389211245594E-2</v>
      </c>
      <c r="P6" s="554">
        <f t="shared" ref="P6" si="12">+P5/O5-1</f>
        <v>4.9906178065151297E-2</v>
      </c>
      <c r="Q6" s="554">
        <f t="shared" ref="Q6" si="13">+Q5/P5-1</f>
        <v>5.0177123460639628E-2</v>
      </c>
      <c r="R6" s="555">
        <f t="shared" ref="R6" si="14">+R5/Q5-1</f>
        <v>5.0356760469886019E-2</v>
      </c>
    </row>
    <row r="7" spans="2:22" x14ac:dyDescent="0.25">
      <c r="B7" s="387" t="s">
        <v>3</v>
      </c>
      <c r="C7" s="556">
        <f>+FAT!AM9</f>
        <v>108864</v>
      </c>
      <c r="D7" s="556">
        <f>+FAT!AN9</f>
        <v>115817</v>
      </c>
      <c r="E7" s="556">
        <f>+FAT!AO9</f>
        <v>135100</v>
      </c>
      <c r="F7" s="556">
        <f>+FAT!AP9</f>
        <v>153248</v>
      </c>
      <c r="G7" s="556">
        <f>+FAT!AQ9</f>
        <v>174951</v>
      </c>
      <c r="H7" s="556">
        <f>+FAT!AR9</f>
        <v>188396</v>
      </c>
      <c r="I7" s="556">
        <f>+FAT!AS9</f>
        <v>203501.18</v>
      </c>
      <c r="J7" s="556">
        <f>+FAT!AT9</f>
        <v>222959.31400000001</v>
      </c>
      <c r="K7" s="556">
        <f>+FAT!AU9</f>
        <v>236823.55244000006</v>
      </c>
      <c r="L7" s="556">
        <f>+FAT!AV9</f>
        <v>251586.52914640008</v>
      </c>
      <c r="M7" s="556">
        <f>+FAT!AW9</f>
        <v>267308.85681118409</v>
      </c>
      <c r="N7" s="556">
        <f>+FAT!AX9</f>
        <v>284055.45372745511</v>
      </c>
      <c r="O7" s="556">
        <f>+FAT!AY9</f>
        <v>298047.79522543558</v>
      </c>
      <c r="P7" s="556">
        <f>+FAT!AZ9</f>
        <v>312804.43869884964</v>
      </c>
      <c r="Q7" s="556">
        <f>+FAT!BA9</f>
        <v>328373.24239739432</v>
      </c>
      <c r="R7" s="557">
        <f>+FAT!BB9</f>
        <v>344805.56465808314</v>
      </c>
      <c r="T7" s="2"/>
    </row>
    <row r="8" spans="2:22" x14ac:dyDescent="0.25">
      <c r="B8" s="387" t="s">
        <v>4</v>
      </c>
      <c r="C8" s="556">
        <f>+FAT!AM10</f>
        <v>1552</v>
      </c>
      <c r="D8" s="556">
        <f>+FAT!AN10</f>
        <v>2135</v>
      </c>
      <c r="E8" s="556">
        <f>+FAT!AO10</f>
        <v>1776</v>
      </c>
      <c r="F8" s="556">
        <f>+FAT!AP10</f>
        <v>2053</v>
      </c>
      <c r="G8" s="556">
        <f>+FAT!AQ10</f>
        <v>2225</v>
      </c>
      <c r="H8" s="556">
        <f>+FAT!AR10</f>
        <v>2446</v>
      </c>
      <c r="I8" s="556">
        <f>+FAT!AS10</f>
        <v>2663.7783231550884</v>
      </c>
      <c r="J8" s="556">
        <f>+FAT!AT10</f>
        <v>3083.6165709871375</v>
      </c>
      <c r="K8" s="556">
        <f>+FAT!AU10</f>
        <v>3439.5961687576141</v>
      </c>
      <c r="L8" s="556">
        <f>+FAT!AV10</f>
        <v>3700.1881370359342</v>
      </c>
      <c r="M8" s="556">
        <f>+FAT!AW10</f>
        <v>4127.4540501057818</v>
      </c>
      <c r="N8" s="556">
        <f>+FAT!AX10</f>
        <v>4549.1771857079693</v>
      </c>
      <c r="O8" s="556">
        <f>+FAT!AY10</f>
        <v>4942.4458437619378</v>
      </c>
      <c r="P8" s="556">
        <f>+FAT!AZ10</f>
        <v>5306.8872931504193</v>
      </c>
      <c r="Q8" s="556">
        <f>+FAT!BA10</f>
        <v>5699.9948731340573</v>
      </c>
      <c r="R8" s="557">
        <f>+FAT!BB10</f>
        <v>6090.5186010766083</v>
      </c>
      <c r="T8" s="2"/>
    </row>
    <row r="9" spans="2:22" x14ac:dyDescent="0.25">
      <c r="B9" s="516" t="s">
        <v>5</v>
      </c>
      <c r="C9" s="517">
        <f t="shared" ref="C9" si="15">+C8/AVERAGE(B5:C5)</f>
        <v>1.4055933922619911E-2</v>
      </c>
      <c r="D9" s="517">
        <f>+D8/AVERAGE(C5:D5)</f>
        <v>1.869789112309956E-2</v>
      </c>
      <c r="E9" s="517">
        <f t="shared" ref="E9:R9" si="16">+E8/AVERAGE(D5:E5)</f>
        <v>1.3938813631155133E-2</v>
      </c>
      <c r="F9" s="517">
        <f t="shared" si="16"/>
        <v>1.4053125331562718E-2</v>
      </c>
      <c r="G9" s="517">
        <f t="shared" si="16"/>
        <v>1.3384384483738725E-2</v>
      </c>
      <c r="H9" s="517">
        <f t="shared" si="16"/>
        <v>1.3292828068192316E-2</v>
      </c>
      <c r="I9" s="517">
        <f t="shared" si="16"/>
        <v>1.3419302948271403E-2</v>
      </c>
      <c r="J9" s="517">
        <f t="shared" si="16"/>
        <v>1.4269135988595465E-2</v>
      </c>
      <c r="K9" s="517">
        <f t="shared" si="16"/>
        <v>1.4752525529189034E-2</v>
      </c>
      <c r="L9" s="517">
        <f t="shared" si="16"/>
        <v>1.4933666182611402E-2</v>
      </c>
      <c r="M9" s="517">
        <f t="shared" si="16"/>
        <v>1.5672198971986833E-2</v>
      </c>
      <c r="N9" s="517">
        <f t="shared" si="16"/>
        <v>1.6245873636645921E-2</v>
      </c>
      <c r="O9" s="517">
        <f t="shared" si="16"/>
        <v>1.6708886698765385E-2</v>
      </c>
      <c r="P9" s="517">
        <f t="shared" si="16"/>
        <v>1.7088629540126497E-2</v>
      </c>
      <c r="Q9" s="517">
        <f t="shared" si="16"/>
        <v>1.7479698828258214E-2</v>
      </c>
      <c r="R9" s="558">
        <f t="shared" si="16"/>
        <v>1.7783332533395212E-2</v>
      </c>
      <c r="T9" s="2"/>
    </row>
    <row r="10" spans="2:22" x14ac:dyDescent="0.25">
      <c r="B10" s="387" t="s">
        <v>6</v>
      </c>
      <c r="C10" s="2"/>
      <c r="D10" s="2"/>
      <c r="E10" s="2"/>
      <c r="F10" s="2"/>
      <c r="G10" s="2"/>
      <c r="H10" s="2"/>
      <c r="I10" s="2"/>
      <c r="J10" s="2"/>
      <c r="K10" s="2"/>
      <c r="L10" s="2"/>
      <c r="M10" s="2"/>
      <c r="N10" s="2"/>
      <c r="O10" s="2"/>
      <c r="P10" s="2"/>
      <c r="Q10" s="2"/>
      <c r="R10" s="514"/>
      <c r="T10" s="2"/>
    </row>
    <row r="11" spans="2:22" x14ac:dyDescent="0.25">
      <c r="B11" s="387" t="s">
        <v>7</v>
      </c>
      <c r="C11" s="381">
        <f>+FAT!AM137</f>
        <v>7512</v>
      </c>
      <c r="D11" s="381">
        <f>+FAT!AN137</f>
        <v>7568</v>
      </c>
      <c r="E11" s="381">
        <f>+FAT!AO137</f>
        <v>10361</v>
      </c>
      <c r="F11" s="381">
        <f>+FAT!AP137</f>
        <v>12386</v>
      </c>
      <c r="G11" s="381">
        <f>+FAT!AQ137</f>
        <v>14377</v>
      </c>
      <c r="H11" s="381">
        <f>+FAT!AR137</f>
        <v>15465</v>
      </c>
      <c r="I11" s="381">
        <f>+FAT!AS137</f>
        <v>15792.259837756474</v>
      </c>
      <c r="J11" s="381">
        <f>+FAT!AT137</f>
        <v>16840.707497223277</v>
      </c>
      <c r="K11" s="381">
        <f>+FAT!AU137</f>
        <v>18299.335592860538</v>
      </c>
      <c r="L11" s="381">
        <f>+FAT!AV137</f>
        <v>19547.388961657376</v>
      </c>
      <c r="M11" s="381">
        <f>+FAT!AW137</f>
        <v>20885.029446184311</v>
      </c>
      <c r="N11" s="381">
        <f>+FAT!AX137</f>
        <v>22325.93781679092</v>
      </c>
      <c r="O11" s="381">
        <f>+FAT!AY137</f>
        <v>23687.243950586591</v>
      </c>
      <c r="P11" s="381">
        <f>+FAT!AZ137</f>
        <v>24951.936897671691</v>
      </c>
      <c r="Q11" s="381">
        <f>+FAT!BA137</f>
        <v>26294.749423402027</v>
      </c>
      <c r="R11" s="382">
        <f>+FAT!BB137</f>
        <v>27721.717202049134</v>
      </c>
      <c r="T11" s="22" t="s">
        <v>8</v>
      </c>
      <c r="U11" s="321" cm="1">
        <f t="array" aca="1" ref="U11" ca="1">+_FV(T3,"Price")</f>
        <v>162.47999999999999</v>
      </c>
    </row>
    <row r="12" spans="2:22" x14ac:dyDescent="0.25">
      <c r="B12" s="513" t="s">
        <v>2</v>
      </c>
      <c r="D12" s="554">
        <f>+D11/C11-1</f>
        <v>7.4547390841319672E-3</v>
      </c>
      <c r="E12" s="554">
        <f t="shared" ref="E12:R12" si="17">+E11/D11-1</f>
        <v>0.36905391120507391</v>
      </c>
      <c r="F12" s="554">
        <f t="shared" si="17"/>
        <v>0.19544445516842002</v>
      </c>
      <c r="G12" s="554">
        <f t="shared" si="17"/>
        <v>0.16074600355239776</v>
      </c>
      <c r="H12" s="554">
        <f t="shared" si="17"/>
        <v>7.567642762746063E-2</v>
      </c>
      <c r="I12" s="554">
        <f t="shared" si="17"/>
        <v>2.1161321549076906E-2</v>
      </c>
      <c r="J12" s="554">
        <f t="shared" si="17"/>
        <v>6.6389970165014134E-2</v>
      </c>
      <c r="K12" s="554">
        <f t="shared" si="17"/>
        <v>8.6613231414283565E-2</v>
      </c>
      <c r="L12" s="554">
        <f t="shared" si="17"/>
        <v>6.8202113812468879E-2</v>
      </c>
      <c r="M12" s="554">
        <f t="shared" si="17"/>
        <v>6.8430647548413992E-2</v>
      </c>
      <c r="N12" s="554">
        <f t="shared" si="17"/>
        <v>6.8992403114368717E-2</v>
      </c>
      <c r="O12" s="554">
        <f t="shared" si="17"/>
        <v>6.0974197140863495E-2</v>
      </c>
      <c r="P12" s="554">
        <f t="shared" si="17"/>
        <v>5.3391308407316096E-2</v>
      </c>
      <c r="Q12" s="554">
        <f t="shared" si="17"/>
        <v>5.381596351566742E-2</v>
      </c>
      <c r="R12" s="555">
        <f t="shared" si="17"/>
        <v>5.4268164174902545E-2</v>
      </c>
      <c r="T12" t="s">
        <v>35</v>
      </c>
      <c r="U12" s="356" cm="1">
        <f t="array" aca="1" ref="U12" ca="1">+_FV(T3,"Shares outstanding",TRUE)/1000000</f>
        <v>327.93130000000002</v>
      </c>
      <c r="V12" s="552">
        <f ca="1">+U12*U11</f>
        <v>53282.277624000002</v>
      </c>
    </row>
    <row r="13" spans="2:22" x14ac:dyDescent="0.25">
      <c r="B13" s="519" t="s">
        <v>9</v>
      </c>
      <c r="C13" s="393">
        <f>+FAT!AM142</f>
        <v>5.6879466187118449E-2</v>
      </c>
      <c r="D13" s="393">
        <f>+FAT!AN142</f>
        <v>5.2181047826881377E-2</v>
      </c>
      <c r="E13" s="393">
        <f>+FAT!AO142</f>
        <v>6.0077176645222267E-2</v>
      </c>
      <c r="F13" s="393">
        <f>+FAT!AP142</f>
        <v>5.8380742744828171E-2</v>
      </c>
      <c r="G13" s="393">
        <f>+FAT!AQ142</f>
        <v>6.5769730461673587E-2</v>
      </c>
      <c r="H13" s="393">
        <f>+FAT!AR142</f>
        <v>6.461656949233556E-2</v>
      </c>
      <c r="I13" s="393">
        <f>+FAT!AS142</f>
        <v>6.1138133138365462E-2</v>
      </c>
      <c r="J13" s="393">
        <f>+FAT!AT142</f>
        <v>6.0421980125963254E-2</v>
      </c>
      <c r="K13" s="393">
        <f>+FAT!AU142</f>
        <v>6.0621917383216983E-2</v>
      </c>
      <c r="L13" s="393">
        <f>+FAT!AV142</f>
        <v>6.042020193072898E-2</v>
      </c>
      <c r="M13" s="393">
        <f>+FAT!AW142</f>
        <v>6.0231429236960302E-2</v>
      </c>
      <c r="N13" s="393">
        <f>+FAT!AX142</f>
        <v>6.0056703457998732E-2</v>
      </c>
      <c r="O13" s="393">
        <f>+FAT!AY142</f>
        <v>5.9717988327994659E-2</v>
      </c>
      <c r="P13" s="393">
        <f>+FAT!AZ142</f>
        <v>5.9235955965696696E-2</v>
      </c>
      <c r="Q13" s="393">
        <f>+FAT!BA142</f>
        <v>5.8788051437726321E-2</v>
      </c>
      <c r="R13" s="394">
        <f>+FAT!BB142</f>
        <v>5.8370491274984768E-2</v>
      </c>
      <c r="T13" t="s">
        <v>10</v>
      </c>
      <c r="U13" s="402">
        <f ca="1">8*H35/H41</f>
        <v>161.43625204425439</v>
      </c>
    </row>
    <row r="14" spans="2:22" x14ac:dyDescent="0.25">
      <c r="B14" s="519"/>
      <c r="C14" s="393"/>
      <c r="D14" s="393"/>
      <c r="E14" s="393"/>
      <c r="F14" s="393"/>
      <c r="G14" s="393"/>
      <c r="H14" s="393"/>
      <c r="I14" s="393"/>
      <c r="J14" s="393"/>
      <c r="K14" s="393"/>
      <c r="L14" s="393"/>
      <c r="M14" s="393"/>
      <c r="N14" s="393"/>
      <c r="O14" s="393"/>
      <c r="P14" s="393"/>
      <c r="Q14" s="393"/>
      <c r="R14" s="394"/>
      <c r="U14" s="402"/>
    </row>
    <row r="15" spans="2:22" s="617" customFormat="1" ht="12" x14ac:dyDescent="0.2">
      <c r="B15" s="616" t="s">
        <v>318</v>
      </c>
      <c r="D15" s="618">
        <f t="shared" ref="D15:G15" si="18">+(D13/C13-1)*10000</f>
        <v>-826.03067067832831</v>
      </c>
      <c r="E15" s="618">
        <f t="shared" si="18"/>
        <v>1513.2177576306071</v>
      </c>
      <c r="F15" s="618">
        <f t="shared" si="18"/>
        <v>-282.37576982223402</v>
      </c>
      <c r="G15" s="618">
        <f t="shared" si="18"/>
        <v>1265.6549693348995</v>
      </c>
      <c r="H15" s="618">
        <f>+(H13/G13-1)*10000</f>
        <v>-175.3330842689127</v>
      </c>
      <c r="I15" s="618">
        <f t="shared" ref="I15" si="19">+(I13/H13-1)*10000</f>
        <v>-538.31956436230951</v>
      </c>
      <c r="J15" s="618"/>
      <c r="R15" s="619"/>
    </row>
    <row r="16" spans="2:22" s="617" customFormat="1" ht="12" x14ac:dyDescent="0.2">
      <c r="B16" s="616" t="s">
        <v>317</v>
      </c>
      <c r="D16" s="607">
        <f>+macro!DI51</f>
        <v>5.7099999999999998E-2</v>
      </c>
      <c r="E16" s="607">
        <f>+macro!DJ51</f>
        <v>0.105</v>
      </c>
      <c r="F16" s="607">
        <f>+macro!DK51</f>
        <v>0.11502499999999999</v>
      </c>
      <c r="G16" s="607">
        <f>+macro!DL51</f>
        <v>0.10244999999999999</v>
      </c>
      <c r="H16" s="607">
        <f>+macro!DM51</f>
        <v>7.4999999999999997E-2</v>
      </c>
      <c r="I16" s="607">
        <f>+macro!DN51</f>
        <v>6.8000000000000005E-2</v>
      </c>
      <c r="J16" s="607"/>
      <c r="R16" s="619"/>
    </row>
    <row r="17" spans="2:21" s="617" customFormat="1" ht="12" x14ac:dyDescent="0.2">
      <c r="B17" s="616" t="s">
        <v>318</v>
      </c>
      <c r="D17" s="620" t="e">
        <f t="shared" ref="D17:G17" si="20">+(D16/C16-1)*10000</f>
        <v>#DIV/0!</v>
      </c>
      <c r="E17" s="620">
        <f t="shared" si="20"/>
        <v>8388.7915936952704</v>
      </c>
      <c r="F17" s="620">
        <f t="shared" si="20"/>
        <v>954.76190476190493</v>
      </c>
      <c r="G17" s="620">
        <f t="shared" si="20"/>
        <v>-1093.2405998695938</v>
      </c>
      <c r="H17" s="620">
        <f>+(H16/G16-1)*10000</f>
        <v>-2679.3557833089299</v>
      </c>
      <c r="I17" s="620">
        <f t="shared" ref="I17" si="21">+(I16/H16-1)*10000</f>
        <v>-933.33333333333269</v>
      </c>
      <c r="J17" s="618"/>
      <c r="R17" s="619"/>
    </row>
    <row r="18" spans="2:21" s="617" customFormat="1" ht="12" x14ac:dyDescent="0.2">
      <c r="B18" s="616" t="s">
        <v>90</v>
      </c>
      <c r="D18" s="620" t="e">
        <f t="shared" ref="D18:G18" si="22">+D15/D17*100</f>
        <v>#DIV/0!</v>
      </c>
      <c r="E18" s="620">
        <f t="shared" si="22"/>
        <v>18.038566588874254</v>
      </c>
      <c r="F18" s="620">
        <f t="shared" si="22"/>
        <v>-29.575517038737726</v>
      </c>
      <c r="G18" s="620">
        <f t="shared" si="22"/>
        <v>-115.77094461053423</v>
      </c>
      <c r="H18" s="620">
        <f>+H15/H17*100</f>
        <v>6.5438522708014997</v>
      </c>
      <c r="I18" s="620">
        <f t="shared" ref="I18" si="23">+I15/I17*100</f>
        <v>57.677096181676056</v>
      </c>
      <c r="J18" s="620"/>
      <c r="R18" s="619"/>
    </row>
    <row r="19" spans="2:21" x14ac:dyDescent="0.25">
      <c r="B19" s="380"/>
      <c r="R19" s="292"/>
    </row>
    <row r="20" spans="2:21" x14ac:dyDescent="0.25">
      <c r="B20" s="380" t="s">
        <v>11</v>
      </c>
      <c r="C20" s="385">
        <f>+FAT!AM164</f>
        <v>2649</v>
      </c>
      <c r="D20" s="385">
        <f>+FAT!AN164</f>
        <v>3092</v>
      </c>
      <c r="E20" s="385">
        <f>+FAT!AO164</f>
        <v>2851</v>
      </c>
      <c r="F20" s="385">
        <f>+FAT!AP164</f>
        <v>2613</v>
      </c>
      <c r="G20" s="385">
        <f>+FAT!AQ164</f>
        <v>3041</v>
      </c>
      <c r="H20" s="385">
        <f>+FAT!AR164</f>
        <v>3231</v>
      </c>
      <c r="I20" s="385">
        <f>+FAT!AS164</f>
        <v>3563.0087596105923</v>
      </c>
      <c r="J20" s="385">
        <f>+FAT!AT164</f>
        <v>3869.2194626501841</v>
      </c>
      <c r="K20" s="385">
        <f>+FAT!AU164</f>
        <v>4099.2171368616864</v>
      </c>
      <c r="L20" s="385">
        <f>+FAT!AV164</f>
        <v>4303.9385596467409</v>
      </c>
      <c r="M20" s="385">
        <f>+FAT!AW164</f>
        <v>4546.31232803276</v>
      </c>
      <c r="N20" s="385">
        <f>+FAT!AX164</f>
        <v>4796.6892312470982</v>
      </c>
      <c r="O20" s="385">
        <f>+FAT!AY164</f>
        <v>5032.9686308351174</v>
      </c>
      <c r="P20" s="385">
        <f>+FAT!AZ164</f>
        <v>5283.1972875695901</v>
      </c>
      <c r="Q20" s="385">
        <f>+FAT!BA164</f>
        <v>5552.7368093195555</v>
      </c>
      <c r="R20" s="386">
        <f>+FAT!BB164</f>
        <v>5841.1514708315553</v>
      </c>
    </row>
    <row r="21" spans="2:21" x14ac:dyDescent="0.25">
      <c r="B21" s="513" t="s">
        <v>2</v>
      </c>
      <c r="D21" s="554">
        <f>+D20/C20-1</f>
        <v>0.16723291808229512</v>
      </c>
      <c r="E21" s="554">
        <f t="shared" ref="E21" si="24">+E20/D20-1</f>
        <v>-7.7943078913324748E-2</v>
      </c>
      <c r="F21" s="554">
        <f t="shared" ref="F21" si="25">+F20/E20-1</f>
        <v>-8.3479480883900337E-2</v>
      </c>
      <c r="G21" s="554">
        <f t="shared" ref="G21" si="26">+G20/F20-1</f>
        <v>0.16379640260237283</v>
      </c>
      <c r="H21" s="554">
        <f t="shared" ref="H21" si="27">+H20/G20-1</f>
        <v>6.2479447550148004E-2</v>
      </c>
      <c r="I21" s="554">
        <f t="shared" ref="I21" si="28">+I20/H20-1</f>
        <v>0.10275727626449771</v>
      </c>
      <c r="J21" s="554">
        <f t="shared" ref="J21" si="29">+J20/I20-1</f>
        <v>8.5941608258369273E-2</v>
      </c>
      <c r="K21" s="554">
        <f t="shared" ref="K21" si="30">+K20/J20-1</f>
        <v>5.9442912564584116E-2</v>
      </c>
      <c r="L21" s="554">
        <f t="shared" ref="L21" si="31">+L20/K20-1</f>
        <v>4.994159029638201E-2</v>
      </c>
      <c r="M21" s="554">
        <f t="shared" ref="M21" si="32">+M20/L20-1</f>
        <v>5.6314411794464059E-2</v>
      </c>
      <c r="N21" s="554">
        <f t="shared" ref="N21" si="33">+N20/M20-1</f>
        <v>5.5072525851447507E-2</v>
      </c>
      <c r="O21" s="554">
        <f t="shared" ref="O21" si="34">+O20/N20-1</f>
        <v>4.9258850885903316E-2</v>
      </c>
      <c r="P21" s="554">
        <f t="shared" ref="P21" si="35">+P20/O20-1</f>
        <v>4.9717905095099324E-2</v>
      </c>
      <c r="Q21" s="554">
        <f t="shared" ref="Q21" si="36">+Q20/P20-1</f>
        <v>5.1018257899273056E-2</v>
      </c>
      <c r="R21" s="555">
        <f t="shared" ref="R21" si="37">+R20/Q20-1</f>
        <v>5.1940992598088265E-2</v>
      </c>
      <c r="T21" t="s">
        <v>12</v>
      </c>
      <c r="U21" s="1">
        <f>+AVERAGE(H48:R48)</f>
        <v>0.1465044995280842</v>
      </c>
    </row>
    <row r="22" spans="2:21" x14ac:dyDescent="0.25">
      <c r="B22" s="513"/>
      <c r="D22" s="554"/>
      <c r="E22" s="554"/>
      <c r="F22" s="554"/>
      <c r="G22" s="554"/>
      <c r="H22" s="554"/>
      <c r="I22" s="554"/>
      <c r="J22" s="554"/>
      <c r="K22" s="554"/>
      <c r="L22" s="554"/>
      <c r="M22" s="554"/>
      <c r="N22" s="554"/>
      <c r="O22" s="554"/>
      <c r="P22" s="554"/>
      <c r="Q22" s="554"/>
      <c r="R22" s="555"/>
      <c r="U22" s="1"/>
    </row>
    <row r="23" spans="2:21" x14ac:dyDescent="0.25">
      <c r="B23" s="380" t="s">
        <v>13</v>
      </c>
      <c r="C23" s="400">
        <f>+FAT!AM160</f>
        <v>-1064</v>
      </c>
      <c r="D23" s="400">
        <f>+FAT!AN160</f>
        <v>-853</v>
      </c>
      <c r="E23" s="400">
        <f>+FAT!AO160</f>
        <v>-444</v>
      </c>
      <c r="F23" s="400">
        <f>+FAT!AP160</f>
        <v>-1270</v>
      </c>
      <c r="G23" s="400">
        <f>+FAT!AQ160</f>
        <v>-1648</v>
      </c>
      <c r="H23" s="400">
        <f>+FAT!AR160</f>
        <v>-1757</v>
      </c>
      <c r="I23" s="400">
        <f>+FAT!AS160</f>
        <v>-1959.5548068943344</v>
      </c>
      <c r="J23" s="400">
        <f>+FAT!AT160</f>
        <v>-2014.9948405811872</v>
      </c>
      <c r="K23" s="400">
        <f>+FAT!AU160</f>
        <v>-2207.6622227424964</v>
      </c>
      <c r="L23" s="400">
        <f>+FAT!AV160</f>
        <v>-2344.9408809064807</v>
      </c>
      <c r="M23" s="400">
        <f>+FAT!AW160</f>
        <v>-2491.1185192622697</v>
      </c>
      <c r="N23" s="400">
        <f>+FAT!AX160</f>
        <v>-2646.7953026915684</v>
      </c>
      <c r="O23" s="400">
        <f>+FAT!AY160</f>
        <v>-2812.6140285760025</v>
      </c>
      <c r="P23" s="400">
        <f>+FAT!AZ160</f>
        <v>-2951.1611167357892</v>
      </c>
      <c r="Q23" s="400">
        <f>+FAT!BA160</f>
        <v>-3097.2760457166701</v>
      </c>
      <c r="R23" s="401">
        <f>+FAT!BB160</f>
        <v>-3251.4326905409844</v>
      </c>
      <c r="T23" s="2" t="s">
        <v>14</v>
      </c>
      <c r="U23" s="405">
        <v>0.15</v>
      </c>
    </row>
    <row r="24" spans="2:21" x14ac:dyDescent="0.25">
      <c r="B24" s="513" t="s">
        <v>15</v>
      </c>
      <c r="C24" s="518">
        <f t="shared" ref="C24:G24" si="38">+C23/AVERAGE(B5:C5)</f>
        <v>-9.6362845964352989E-3</v>
      </c>
      <c r="D24" s="518">
        <f t="shared" si="38"/>
        <v>-7.4703986548027741E-3</v>
      </c>
      <c r="E24" s="518">
        <f t="shared" si="38"/>
        <v>-3.4847034077887832E-3</v>
      </c>
      <c r="F24" s="518">
        <f t="shared" si="38"/>
        <v>-8.6933605314586711E-3</v>
      </c>
      <c r="G24" s="518">
        <f t="shared" si="38"/>
        <v>-9.9134676985174908E-3</v>
      </c>
      <c r="H24" s="518">
        <f>+H23/AVERAGE(G5:H5)</f>
        <v>-9.5484459999239171E-3</v>
      </c>
      <c r="I24" s="518">
        <f t="shared" ref="I24:R24" si="39">+I23/AVERAGE(H5:I5)</f>
        <v>-9.8716396063733437E-3</v>
      </c>
      <c r="J24" s="518">
        <f t="shared" si="39"/>
        <v>-9.324192789431968E-3</v>
      </c>
      <c r="K24" s="518">
        <f t="shared" si="39"/>
        <v>-9.4687258919115194E-3</v>
      </c>
      <c r="L24" s="518">
        <f t="shared" si="39"/>
        <v>-9.4639956230625644E-3</v>
      </c>
      <c r="M24" s="518">
        <f t="shared" si="39"/>
        <v>-9.4589314920850345E-3</v>
      </c>
      <c r="N24" s="518">
        <f t="shared" si="39"/>
        <v>-9.4521493171744603E-3</v>
      </c>
      <c r="O24" s="518">
        <f t="shared" si="39"/>
        <v>-9.5085815032550352E-3</v>
      </c>
      <c r="P24" s="518">
        <f t="shared" si="39"/>
        <v>-9.5029904068653203E-3</v>
      </c>
      <c r="Q24" s="518">
        <f t="shared" si="39"/>
        <v>-9.4981580987524884E-3</v>
      </c>
      <c r="R24" s="559">
        <f t="shared" si="39"/>
        <v>-9.4936593306884018E-3</v>
      </c>
      <c r="T24" s="2"/>
      <c r="U24" s="405"/>
    </row>
    <row r="25" spans="2:21" x14ac:dyDescent="0.25">
      <c r="B25" s="513"/>
      <c r="C25" s="518"/>
      <c r="D25" s="518"/>
      <c r="E25" s="518"/>
      <c r="F25" s="518"/>
      <c r="G25" s="518"/>
      <c r="H25" s="518"/>
      <c r="I25" s="518"/>
      <c r="J25" s="518"/>
      <c r="K25" s="518"/>
      <c r="L25" s="518"/>
      <c r="M25" s="518"/>
      <c r="N25" s="518"/>
      <c r="O25" s="518"/>
      <c r="P25" s="518"/>
      <c r="Q25" s="518"/>
      <c r="R25" s="559"/>
      <c r="T25" s="2"/>
      <c r="U25" s="405"/>
    </row>
    <row r="26" spans="2:21" x14ac:dyDescent="0.25">
      <c r="B26" s="380" t="s">
        <v>16</v>
      </c>
      <c r="C26" s="400">
        <f>+FAT!AM183</f>
        <v>-4747</v>
      </c>
      <c r="D26" s="400">
        <f>+FAT!AN183</f>
        <v>-4857</v>
      </c>
      <c r="E26" s="400">
        <f>+FAT!AO183</f>
        <v>-5369.5</v>
      </c>
      <c r="F26" s="400">
        <f>+FAT!AP183</f>
        <v>-6139</v>
      </c>
      <c r="G26" s="400">
        <f>+FAT!AQ183</f>
        <v>-6910</v>
      </c>
      <c r="H26" s="400">
        <f>+FAT!AR183</f>
        <v>-7896.5</v>
      </c>
      <c r="I26" s="400">
        <f>+FAT!AS183</f>
        <v>-8578.7002394152933</v>
      </c>
      <c r="J26" s="400">
        <f>+FAT!AT183</f>
        <v>-8698.0680995633284</v>
      </c>
      <c r="K26" s="400">
        <f>+FAT!AU183</f>
        <v>-8997.8107970412002</v>
      </c>
      <c r="L26" s="400">
        <f>+FAT!AV183</f>
        <v>-9287.660503833964</v>
      </c>
      <c r="M26" s="400">
        <f>+FAT!AW183</f>
        <v>-9596.2175652608857</v>
      </c>
      <c r="N26" s="400">
        <f>+FAT!AX183</f>
        <v>-9913.4512894397885</v>
      </c>
      <c r="O26" s="400">
        <f>+FAT!AY183</f>
        <v>-10239.986457529965</v>
      </c>
      <c r="P26" s="400">
        <f>+FAT!AZ183</f>
        <v>-10573.922417060268</v>
      </c>
      <c r="Q26" s="400">
        <f>+FAT!BA183</f>
        <v>-10920.989774803456</v>
      </c>
      <c r="R26" s="401">
        <f>+FAT!BB183</f>
        <v>-11281.059741852043</v>
      </c>
      <c r="T26" t="s">
        <v>17</v>
      </c>
      <c r="U26" s="406">
        <v>0.02</v>
      </c>
    </row>
    <row r="27" spans="2:21" x14ac:dyDescent="0.25">
      <c r="B27" s="513" t="s">
        <v>2</v>
      </c>
      <c r="D27" s="554">
        <f>+D26/C26-1</f>
        <v>2.3172530018959359E-2</v>
      </c>
      <c r="E27" s="554">
        <f t="shared" ref="E27" si="40">+E26/D26-1</f>
        <v>0.10551780934733368</v>
      </c>
      <c r="F27" s="554">
        <f t="shared" ref="F27" si="41">+F26/E26-1</f>
        <v>0.14330943290809195</v>
      </c>
      <c r="G27" s="554">
        <f t="shared" ref="G27" si="42">+G26/F26-1</f>
        <v>0.12559048705000819</v>
      </c>
      <c r="H27" s="554">
        <f t="shared" ref="H27" si="43">+H26/G26-1</f>
        <v>0.14276410998552813</v>
      </c>
      <c r="I27" s="554">
        <f t="shared" ref="I27" si="44">+I26/H26-1</f>
        <v>8.6392735948241928E-2</v>
      </c>
      <c r="J27" s="554">
        <f t="shared" ref="J27" si="45">+J26/I26-1</f>
        <v>1.3914445873699277E-2</v>
      </c>
      <c r="K27" s="554">
        <f t="shared" ref="K27" si="46">+K26/J26-1</f>
        <v>3.4460835905954834E-2</v>
      </c>
      <c r="L27" s="554">
        <f t="shared" ref="L27" si="47">+L26/K26-1</f>
        <v>3.2213358708106821E-2</v>
      </c>
      <c r="M27" s="554">
        <f t="shared" ref="M27" si="48">+M26/L26-1</f>
        <v>3.3222258856204778E-2</v>
      </c>
      <c r="N27" s="554">
        <f t="shared" ref="N27" si="49">+N26/M26-1</f>
        <v>3.3058204654229151E-2</v>
      </c>
      <c r="O27" s="554">
        <f t="shared" ref="O27" si="50">+O26/N26-1</f>
        <v>3.2938596111125928E-2</v>
      </c>
      <c r="P27" s="554">
        <f t="shared" ref="P27" si="51">+P26/O26-1</f>
        <v>3.2610976676120895E-2</v>
      </c>
      <c r="Q27" s="554">
        <f t="shared" ref="Q27" si="52">+Q26/P26-1</f>
        <v>3.2822952926458093E-2</v>
      </c>
      <c r="R27" s="555">
        <f t="shared" ref="R27" si="53">+R26/Q26-1</f>
        <v>3.2970451806422219E-2</v>
      </c>
      <c r="T27" t="s">
        <v>12</v>
      </c>
      <c r="U27" s="1" t="e">
        <f>+AVERAGE(H54:R54)</f>
        <v>#DIV/0!</v>
      </c>
    </row>
    <row r="28" spans="2:21" x14ac:dyDescent="0.25">
      <c r="B28" s="513" t="s">
        <v>18</v>
      </c>
      <c r="C28" s="383">
        <f>+C26/(C11+C20)</f>
        <v>-0.46717842732014564</v>
      </c>
      <c r="D28" s="383">
        <f t="shared" ref="D28:R28" si="54">+D26/(D11+D20)</f>
        <v>-0.45562851782363978</v>
      </c>
      <c r="E28" s="383">
        <f t="shared" si="54"/>
        <v>-0.40641083863154709</v>
      </c>
      <c r="F28" s="383">
        <f t="shared" si="54"/>
        <v>-0.40929395293019533</v>
      </c>
      <c r="G28" s="383">
        <f t="shared" si="54"/>
        <v>-0.39671604087725343</v>
      </c>
      <c r="H28" s="383">
        <f t="shared" si="54"/>
        <v>-0.4223630723149337</v>
      </c>
      <c r="I28" s="383">
        <f t="shared" si="54"/>
        <v>-0.44322300133733455</v>
      </c>
      <c r="J28" s="383">
        <f t="shared" si="54"/>
        <v>-0.41999511231576425</v>
      </c>
      <c r="K28" s="383">
        <f t="shared" si="54"/>
        <v>-0.40171393686081192</v>
      </c>
      <c r="L28" s="383">
        <f t="shared" si="54"/>
        <v>-0.3893980532336484</v>
      </c>
      <c r="M28" s="383">
        <f t="shared" si="54"/>
        <v>-0.37733823289614121</v>
      </c>
      <c r="N28" s="383">
        <f t="shared" si="54"/>
        <v>-0.36550483372726617</v>
      </c>
      <c r="O28" s="383">
        <f t="shared" si="54"/>
        <v>-0.35654285038801986</v>
      </c>
      <c r="P28" s="383">
        <f t="shared" si="54"/>
        <v>-0.34972301932834593</v>
      </c>
      <c r="Q28" s="383">
        <f t="shared" si="54"/>
        <v>-0.34291528364278639</v>
      </c>
      <c r="R28" s="384">
        <f t="shared" si="54"/>
        <v>-0.3361172685148725</v>
      </c>
      <c r="T28" t="s">
        <v>19</v>
      </c>
      <c r="U28" s="406">
        <v>0.02</v>
      </c>
    </row>
    <row r="29" spans="2:21" x14ac:dyDescent="0.25">
      <c r="B29" s="513"/>
      <c r="C29" s="383"/>
      <c r="D29" s="383"/>
      <c r="E29" s="383"/>
      <c r="F29" s="383"/>
      <c r="G29" s="383"/>
      <c r="H29" s="383"/>
      <c r="I29" s="383"/>
      <c r="J29" s="383"/>
      <c r="K29" s="383"/>
      <c r="L29" s="383"/>
      <c r="M29" s="383"/>
      <c r="N29" s="383"/>
      <c r="O29" s="383"/>
      <c r="P29" s="383"/>
      <c r="Q29" s="383"/>
      <c r="R29" s="384"/>
      <c r="U29" s="406"/>
    </row>
    <row r="30" spans="2:21" s="2" customFormat="1" x14ac:dyDescent="0.25">
      <c r="B30" s="387" t="s">
        <v>20</v>
      </c>
      <c r="C30" s="381">
        <f>+FAT!AM210</f>
        <v>4780</v>
      </c>
      <c r="D30" s="381">
        <f>+FAT!AN210</f>
        <v>5390</v>
      </c>
      <c r="E30" s="381">
        <f>+FAT!AO210</f>
        <v>7398.5</v>
      </c>
      <c r="F30" s="381">
        <f>+FAT!AP210</f>
        <v>7590</v>
      </c>
      <c r="G30" s="381">
        <f>+FAT!AQ210</f>
        <v>8860</v>
      </c>
      <c r="H30" s="381">
        <f>+FAT!AR210</f>
        <v>9042.5</v>
      </c>
      <c r="I30" s="381">
        <f>+FAT!AS210</f>
        <v>8817.0135510574382</v>
      </c>
      <c r="J30" s="381">
        <f>+FAT!AT210</f>
        <v>9996.8640197289442</v>
      </c>
      <c r="K30" s="381">
        <f>+FAT!AU210</f>
        <v>11193.079709938529</v>
      </c>
      <c r="L30" s="381">
        <f>+FAT!AV210</f>
        <v>12218.726136563671</v>
      </c>
      <c r="M30" s="381">
        <f>+FAT!AW210</f>
        <v>13344.005689693917</v>
      </c>
      <c r="N30" s="381">
        <f>+FAT!AX210</f>
        <v>14562.380455906663</v>
      </c>
      <c r="O30" s="381">
        <f>+FAT!AY210</f>
        <v>15667.612095315744</v>
      </c>
      <c r="P30" s="381">
        <f>+FAT!AZ210</f>
        <v>16710.050651445225</v>
      </c>
      <c r="Q30" s="381">
        <f>+FAT!BA210</f>
        <v>17829.220412201455</v>
      </c>
      <c r="R30" s="382">
        <f>+FAT!BB210</f>
        <v>19030.376240487662</v>
      </c>
      <c r="T30" t="s">
        <v>21</v>
      </c>
      <c r="U30" s="1">
        <f>+(U36+U33)+(U38*U37)</f>
        <v>0.13500000000000001</v>
      </c>
    </row>
    <row r="31" spans="2:21" x14ac:dyDescent="0.25">
      <c r="B31" s="380"/>
      <c r="C31" s="385"/>
      <c r="D31" s="385"/>
      <c r="E31" s="385"/>
      <c r="F31" s="385"/>
      <c r="G31" s="385"/>
      <c r="H31" s="385"/>
      <c r="I31" s="385"/>
      <c r="J31" s="385"/>
      <c r="K31" s="385"/>
      <c r="L31" s="385"/>
      <c r="M31" s="385"/>
      <c r="N31" s="385"/>
      <c r="O31" s="385"/>
      <c r="P31" s="385"/>
      <c r="Q31" s="385"/>
      <c r="R31" s="386"/>
      <c r="T31" t="s">
        <v>22</v>
      </c>
      <c r="U31" s="407">
        <v>5</v>
      </c>
    </row>
    <row r="32" spans="2:21" x14ac:dyDescent="0.25">
      <c r="B32" s="380" t="s">
        <v>23</v>
      </c>
      <c r="C32" s="400">
        <f>+FAT!AM212</f>
        <v>-1180</v>
      </c>
      <c r="D32" s="400">
        <f>+FAT!AN212</f>
        <v>-1206</v>
      </c>
      <c r="E32" s="400">
        <f>+FAT!AO212</f>
        <v>-1571</v>
      </c>
      <c r="F32" s="400">
        <f>+FAT!AP212</f>
        <v>-1918</v>
      </c>
      <c r="G32" s="400">
        <f>+FAT!AQ212</f>
        <v>-2310</v>
      </c>
      <c r="H32" s="400">
        <f>+FAT!AR212</f>
        <v>-2425</v>
      </c>
      <c r="I32" s="400">
        <f>+FAT!AS212</f>
        <v>-2424.6787265407957</v>
      </c>
      <c r="J32" s="400">
        <f>+FAT!AT212</f>
        <v>-2749.1376054254597</v>
      </c>
      <c r="K32" s="400">
        <f>+FAT!AU212</f>
        <v>-3078.0969202330957</v>
      </c>
      <c r="L32" s="400">
        <f>+FAT!AV212</f>
        <v>-3360.1496875550097</v>
      </c>
      <c r="M32" s="400">
        <f>+FAT!AW212</f>
        <v>-3669.6015646658275</v>
      </c>
      <c r="N32" s="400">
        <f>+FAT!AX212</f>
        <v>-4004.6546253743327</v>
      </c>
      <c r="O32" s="400">
        <f>+FAT!AY212</f>
        <v>-4308.5933262118297</v>
      </c>
      <c r="P32" s="400">
        <f>+FAT!AZ212</f>
        <v>-4595.263929147437</v>
      </c>
      <c r="Q32" s="400">
        <f>+FAT!BA212</f>
        <v>-4903.0356133554005</v>
      </c>
      <c r="R32" s="401">
        <f>+FAT!BB212</f>
        <v>-5233.3534661341073</v>
      </c>
    </row>
    <row r="33" spans="2:21" s="522" customFormat="1" ht="12.75" x14ac:dyDescent="0.2">
      <c r="B33" s="513" t="s">
        <v>24</v>
      </c>
      <c r="C33" s="520">
        <f t="shared" ref="C33:D33" si="55">+C32/C30</f>
        <v>-0.24686192468619247</v>
      </c>
      <c r="D33" s="520">
        <f t="shared" si="55"/>
        <v>-0.22374768089053804</v>
      </c>
      <c r="E33" s="520">
        <f>+E32/E30</f>
        <v>-0.2123403392579577</v>
      </c>
      <c r="F33" s="520">
        <f t="shared" ref="F33:R33" si="56">+F32/F30</f>
        <v>-0.25270092226613966</v>
      </c>
      <c r="G33" s="520">
        <f t="shared" si="56"/>
        <v>-0.26072234762979685</v>
      </c>
      <c r="H33" s="520">
        <f t="shared" si="56"/>
        <v>-0.26817804810616536</v>
      </c>
      <c r="I33" s="520">
        <f t="shared" si="56"/>
        <v>-0.27500000000000002</v>
      </c>
      <c r="J33" s="520">
        <f t="shared" si="56"/>
        <v>-0.27500000000000002</v>
      </c>
      <c r="K33" s="520">
        <f t="shared" si="56"/>
        <v>-0.27500000000000002</v>
      </c>
      <c r="L33" s="520">
        <f t="shared" si="56"/>
        <v>-0.27500000000000002</v>
      </c>
      <c r="M33" s="520">
        <f t="shared" si="56"/>
        <v>-0.27500000000000002</v>
      </c>
      <c r="N33" s="520">
        <f t="shared" si="56"/>
        <v>-0.27500000000000002</v>
      </c>
      <c r="O33" s="520">
        <f t="shared" si="56"/>
        <v>-0.27500000000000002</v>
      </c>
      <c r="P33" s="520">
        <f t="shared" si="56"/>
        <v>-0.27500000000000002</v>
      </c>
      <c r="Q33" s="520">
        <f t="shared" si="56"/>
        <v>-0.27500000000000002</v>
      </c>
      <c r="R33" s="521">
        <f t="shared" si="56"/>
        <v>-0.27500000000000002</v>
      </c>
      <c r="T33" s="522" t="s">
        <v>25</v>
      </c>
      <c r="U33" s="523">
        <v>0.04</v>
      </c>
    </row>
    <row r="34" spans="2:21" x14ac:dyDescent="0.25">
      <c r="B34" s="380"/>
      <c r="C34" s="385"/>
      <c r="D34" s="385"/>
      <c r="E34" s="385"/>
      <c r="F34" s="385"/>
      <c r="G34" s="385"/>
      <c r="H34" s="385"/>
      <c r="I34" s="385"/>
      <c r="J34" s="385"/>
      <c r="K34" s="385"/>
      <c r="L34" s="385"/>
      <c r="M34" s="385"/>
      <c r="N34" s="385"/>
      <c r="O34" s="385"/>
      <c r="P34" s="385"/>
      <c r="Q34" s="385"/>
      <c r="R34" s="386"/>
      <c r="T34" t="s">
        <v>26</v>
      </c>
      <c r="U34" s="408">
        <v>0.02</v>
      </c>
    </row>
    <row r="35" spans="2:21" s="2" customFormat="1" x14ac:dyDescent="0.25">
      <c r="B35" s="387" t="s">
        <v>27</v>
      </c>
      <c r="C35" s="381">
        <f>+FAT!AM217</f>
        <v>3619</v>
      </c>
      <c r="D35" s="381">
        <f>+FAT!AN217</f>
        <v>4202</v>
      </c>
      <c r="E35" s="381">
        <f>+FAT!AO217</f>
        <v>5820.5</v>
      </c>
      <c r="F35" s="381">
        <f>+FAT!AP217</f>
        <v>5673</v>
      </c>
      <c r="G35" s="381">
        <f>+FAT!AQ217</f>
        <v>6519</v>
      </c>
      <c r="H35" s="381">
        <f>+FAT!AR217</f>
        <v>6617.5</v>
      </c>
      <c r="I35" s="381">
        <f>+FAT!AS217</f>
        <v>6392.3348245166435</v>
      </c>
      <c r="J35" s="381">
        <f>+FAT!AT217</f>
        <v>7247.7264143034845</v>
      </c>
      <c r="K35" s="381">
        <f>+FAT!AU217</f>
        <v>8114.9827897054329</v>
      </c>
      <c r="L35" s="381">
        <f>+FAT!AV217</f>
        <v>8858.5764490086622</v>
      </c>
      <c r="M35" s="381">
        <f>+FAT!AW217</f>
        <v>9674.4041250280898</v>
      </c>
      <c r="N35" s="381">
        <f>+FAT!AX217</f>
        <v>10557.72583053233</v>
      </c>
      <c r="O35" s="381">
        <f>+FAT!AY217</f>
        <v>11359.018769103914</v>
      </c>
      <c r="P35" s="381">
        <f>+FAT!AZ217</f>
        <v>12114.786722297787</v>
      </c>
      <c r="Q35" s="381">
        <f>+FAT!BA217</f>
        <v>12926.184798846054</v>
      </c>
      <c r="R35" s="382">
        <f>+FAT!BB217</f>
        <v>13797.022774353554</v>
      </c>
      <c r="T35" t="s">
        <v>28</v>
      </c>
      <c r="U35" s="409">
        <v>0</v>
      </c>
    </row>
    <row r="36" spans="2:21" x14ac:dyDescent="0.25">
      <c r="B36" s="380" t="s">
        <v>2</v>
      </c>
      <c r="D36" s="383">
        <f t="shared" ref="D36:G36" si="57">+D35/C35-1</f>
        <v>0.16109422492401215</v>
      </c>
      <c r="E36" s="383">
        <f t="shared" si="57"/>
        <v>0.38517372679676343</v>
      </c>
      <c r="F36" s="383">
        <f t="shared" si="57"/>
        <v>-2.5341465509835959E-2</v>
      </c>
      <c r="G36" s="383">
        <f t="shared" si="57"/>
        <v>0.14912744579587511</v>
      </c>
      <c r="H36" s="383">
        <f>+H35/G35-1</f>
        <v>1.5109679398680687E-2</v>
      </c>
      <c r="I36" s="383">
        <f>+I35/H35-1</f>
        <v>-3.4025715977840099E-2</v>
      </c>
      <c r="J36" s="383">
        <f t="shared" ref="J36:R36" si="58">+J35/I35-1</f>
        <v>0.13381520418895154</v>
      </c>
      <c r="K36" s="383">
        <f t="shared" si="58"/>
        <v>0.11965909387672347</v>
      </c>
      <c r="L36" s="383">
        <f t="shared" si="58"/>
        <v>9.1632191783147521E-2</v>
      </c>
      <c r="M36" s="383">
        <f t="shared" si="58"/>
        <v>9.2094670144289958E-2</v>
      </c>
      <c r="N36" s="383">
        <f t="shared" si="58"/>
        <v>9.1305024484045427E-2</v>
      </c>
      <c r="O36" s="383">
        <f t="shared" si="58"/>
        <v>7.5896357931013014E-2</v>
      </c>
      <c r="P36" s="383">
        <f t="shared" si="58"/>
        <v>6.6534616110463185E-2</v>
      </c>
      <c r="Q36" s="383">
        <f t="shared" si="58"/>
        <v>6.6975844903224946E-2</v>
      </c>
      <c r="R36" s="384">
        <f t="shared" si="58"/>
        <v>6.7370070060056797E-2</v>
      </c>
      <c r="T36" t="s">
        <v>29</v>
      </c>
      <c r="U36" s="408">
        <v>0.05</v>
      </c>
    </row>
    <row r="37" spans="2:21" x14ac:dyDescent="0.25">
      <c r="B37" s="395"/>
      <c r="C37" s="560"/>
      <c r="D37" s="350"/>
      <c r="E37" s="350"/>
      <c r="F37" s="350"/>
      <c r="G37" s="350"/>
      <c r="H37" s="350"/>
      <c r="I37" s="350"/>
      <c r="J37" s="350"/>
      <c r="K37" s="350"/>
      <c r="L37" s="350"/>
      <c r="M37" s="350"/>
      <c r="N37" s="350"/>
      <c r="O37" s="350"/>
      <c r="P37" s="350"/>
      <c r="Q37" s="350"/>
      <c r="R37" s="351"/>
      <c r="T37" t="s">
        <v>30</v>
      </c>
      <c r="U37" s="408">
        <v>4.4999999999999998E-2</v>
      </c>
    </row>
    <row r="38" spans="2:21" x14ac:dyDescent="0.25">
      <c r="B38" s="388" t="s">
        <v>31</v>
      </c>
      <c r="C38" s="18">
        <f>+C$3</f>
        <v>2020</v>
      </c>
      <c r="D38" s="18">
        <f t="shared" ref="D38:R38" si="59">+D$3</f>
        <v>2021</v>
      </c>
      <c r="E38" s="18">
        <f t="shared" si="59"/>
        <v>2022</v>
      </c>
      <c r="F38" s="18">
        <f t="shared" si="59"/>
        <v>2023</v>
      </c>
      <c r="G38" s="18">
        <f t="shared" si="59"/>
        <v>2024</v>
      </c>
      <c r="H38" s="18">
        <f t="shared" si="59"/>
        <v>2025</v>
      </c>
      <c r="I38" s="18">
        <f t="shared" si="59"/>
        <v>2026</v>
      </c>
      <c r="J38" s="18">
        <f t="shared" si="59"/>
        <v>2027</v>
      </c>
      <c r="K38" s="18">
        <f t="shared" si="59"/>
        <v>2028</v>
      </c>
      <c r="L38" s="18">
        <f t="shared" si="59"/>
        <v>2029</v>
      </c>
      <c r="M38" s="18">
        <f t="shared" si="59"/>
        <v>2030</v>
      </c>
      <c r="N38" s="18">
        <f t="shared" si="59"/>
        <v>2031</v>
      </c>
      <c r="O38" s="18">
        <f t="shared" si="59"/>
        <v>2032</v>
      </c>
      <c r="P38" s="18">
        <f t="shared" si="59"/>
        <v>2033</v>
      </c>
      <c r="Q38" s="18">
        <f t="shared" si="59"/>
        <v>2034</v>
      </c>
      <c r="R38" s="389">
        <f t="shared" si="59"/>
        <v>2035</v>
      </c>
      <c r="T38" t="s">
        <v>32</v>
      </c>
      <c r="U38" s="410">
        <v>1</v>
      </c>
    </row>
    <row r="39" spans="2:21" x14ac:dyDescent="0.25">
      <c r="B39" s="380" t="s">
        <v>33</v>
      </c>
      <c r="C39" s="390" cm="1">
        <f t="array" aca="1" ref="C39" ca="1">+_FV($T$3,"Market cap",TRUE)/1000000</f>
        <v>53282.277624000002</v>
      </c>
      <c r="D39" s="390" cm="1">
        <f t="array" aca="1" ref="D39" ca="1">+_FV($T$3,"Market cap",TRUE)/1000000</f>
        <v>53282.277624000002</v>
      </c>
      <c r="E39" s="390" cm="1">
        <f t="array" aca="1" ref="E39" ca="1">+_FV($T$3,"Market cap",TRUE)/1000000</f>
        <v>53282.277624000002</v>
      </c>
      <c r="F39" s="390" cm="1">
        <f t="array" aca="1" ref="F39" ca="1">+_FV($T$3,"Market cap",TRUE)/1000000</f>
        <v>53282.277624000002</v>
      </c>
      <c r="G39" s="390" cm="1">
        <f t="array" aca="1" ref="G39" ca="1">+_FV($T$3,"Market cap",TRUE)/1000000</f>
        <v>53282.277624000002</v>
      </c>
      <c r="H39" s="390" cm="1">
        <f t="array" aca="1" ref="H39" ca="1">+_FV($T$3,"Market cap",TRUE)/1000000</f>
        <v>53282.277624000002</v>
      </c>
      <c r="I39" s="390" cm="1">
        <f t="array" aca="1" ref="I39" ca="1">+_FV($T$3,"Market cap",TRUE)/1000000</f>
        <v>53282.277624000002</v>
      </c>
      <c r="J39" s="390" cm="1">
        <f t="array" aca="1" ref="J39" ca="1">+_FV($T$3,"Market cap",TRUE)/1000000</f>
        <v>53282.277624000002</v>
      </c>
      <c r="K39" s="390" cm="1">
        <f t="array" aca="1" ref="K39" ca="1">+_FV($T$3,"Market cap",TRUE)/1000000</f>
        <v>53282.277624000002</v>
      </c>
      <c r="L39" s="390" cm="1">
        <f t="array" aca="1" ref="L39" ca="1">+_FV($T$3,"Market cap",TRUE)/1000000</f>
        <v>53282.277624000002</v>
      </c>
      <c r="M39" s="390" cm="1">
        <f t="array" aca="1" ref="M39" ca="1">+_FV($T$3,"Market cap",TRUE)/1000000</f>
        <v>53282.277624000002</v>
      </c>
      <c r="N39" s="390" cm="1">
        <f t="array" aca="1" ref="N39" ca="1">+_FV($T$3,"Market cap",TRUE)/1000000</f>
        <v>53282.277624000002</v>
      </c>
      <c r="O39" s="390" cm="1">
        <f t="array" aca="1" ref="O39" ca="1">+_FV($T$3,"Market cap",TRUE)/1000000</f>
        <v>53282.277624000002</v>
      </c>
      <c r="P39" s="390" cm="1">
        <f t="array" aca="1" ref="P39" ca="1">+_FV($T$3,"Market cap",TRUE)/1000000</f>
        <v>53282.277624000002</v>
      </c>
      <c r="Q39" s="390" cm="1">
        <f t="array" aca="1" ref="Q39" ca="1">+_FV($T$3,"Market cap",TRUE)/1000000</f>
        <v>53282.277624000002</v>
      </c>
      <c r="R39" s="391" cm="1">
        <f t="array" aca="1" ref="R39" ca="1">+_FV($T$3,"Market cap",TRUE)/1000000</f>
        <v>53282.277624000002</v>
      </c>
      <c r="U39" s="1"/>
    </row>
    <row r="40" spans="2:21" x14ac:dyDescent="0.25">
      <c r="B40" s="380"/>
      <c r="R40" s="292"/>
      <c r="T40" t="s">
        <v>34</v>
      </c>
      <c r="U40" s="407">
        <f>+(((1-U26/U21)*(1+U26)*(1-(((1+U26)^U31)/((1+U30)^U31))))/(U30-U26))+(((1-U28/U23)*((1+U26)^U31)*(1+U28))/((U30-U28)*((1+U30)^U31)))</f>
        <v>7.6752797087321225</v>
      </c>
    </row>
    <row r="41" spans="2:21" x14ac:dyDescent="0.25">
      <c r="B41" s="380" t="s">
        <v>35</v>
      </c>
      <c r="C41" s="403" cm="1">
        <f t="array" aca="1" ref="C41" ca="1">+_FV($T$3,"Shares outstanding",TRUE)/1000000</f>
        <v>327.93130000000002</v>
      </c>
      <c r="D41" s="403" cm="1">
        <f t="array" aca="1" ref="D41" ca="1">+_FV($T$3,"Shares outstanding",TRUE)/1000000</f>
        <v>327.93130000000002</v>
      </c>
      <c r="E41" s="403" cm="1">
        <f t="array" aca="1" ref="E41" ca="1">+_FV($T$3,"Shares outstanding",TRUE)/1000000</f>
        <v>327.93130000000002</v>
      </c>
      <c r="F41" s="403" cm="1">
        <f t="array" aca="1" ref="F41" ca="1">+_FV($T$3,"Shares outstanding",TRUE)/1000000</f>
        <v>327.93130000000002</v>
      </c>
      <c r="G41" s="403" cm="1">
        <f t="array" aca="1" ref="G41" ca="1">+_FV($T$3,"Shares outstanding",TRUE)/1000000</f>
        <v>327.93130000000002</v>
      </c>
      <c r="H41" s="403" cm="1">
        <f t="array" aca="1" ref="H41" ca="1">+_FV($T$3,"Shares outstanding",TRUE)/1000000</f>
        <v>327.93130000000002</v>
      </c>
      <c r="I41" s="403" cm="1">
        <f t="array" aca="1" ref="I41" ca="1">+_FV($T$3,"Shares outstanding",TRUE)/1000000</f>
        <v>327.93130000000002</v>
      </c>
      <c r="J41" s="403" cm="1">
        <f t="array" aca="1" ref="J41" ca="1">+_FV($T$3,"Shares outstanding",TRUE)/1000000</f>
        <v>327.93130000000002</v>
      </c>
      <c r="K41" s="403" cm="1">
        <f t="array" aca="1" ref="K41" ca="1">+_FV($T$3,"Shares outstanding",TRUE)/1000000</f>
        <v>327.93130000000002</v>
      </c>
      <c r="L41" s="403" cm="1">
        <f t="array" aca="1" ref="L41" ca="1">+_FV($T$3,"Shares outstanding",TRUE)/1000000</f>
        <v>327.93130000000002</v>
      </c>
      <c r="M41" s="403" cm="1">
        <f t="array" aca="1" ref="M41" ca="1">+_FV($T$3,"Shares outstanding",TRUE)/1000000</f>
        <v>327.93130000000002</v>
      </c>
      <c r="N41" s="403" cm="1">
        <f t="array" aca="1" ref="N41" ca="1">+_FV($T$3,"Shares outstanding",TRUE)/1000000</f>
        <v>327.93130000000002</v>
      </c>
      <c r="O41" s="403" cm="1">
        <f t="array" aca="1" ref="O41" ca="1">+_FV($T$3,"Shares outstanding",TRUE)/1000000</f>
        <v>327.93130000000002</v>
      </c>
      <c r="P41" s="403" cm="1">
        <f t="array" aca="1" ref="P41" ca="1">+_FV($T$3,"Shares outstanding",TRUE)/1000000</f>
        <v>327.93130000000002</v>
      </c>
      <c r="Q41" s="403" cm="1">
        <f t="array" aca="1" ref="Q41" ca="1">+_FV($T$3,"Shares outstanding",TRUE)/1000000</f>
        <v>327.93130000000002</v>
      </c>
      <c r="R41" s="404" cm="1">
        <f t="array" aca="1" ref="R41" ca="1">+_FV($T$3,"Shares outstanding",TRUE)/1000000</f>
        <v>327.93130000000002</v>
      </c>
      <c r="T41" s="20" t="s">
        <v>36</v>
      </c>
      <c r="U41" s="411">
        <f ca="1">+U40/H46-1</f>
        <v>-4.6753146872668627E-2</v>
      </c>
    </row>
    <row r="42" spans="2:21" x14ac:dyDescent="0.25">
      <c r="B42" s="380"/>
      <c r="R42" s="292"/>
    </row>
    <row r="43" spans="2:21" x14ac:dyDescent="0.25">
      <c r="B43" s="380" t="s">
        <v>37</v>
      </c>
      <c r="C43" s="3">
        <f ca="1">+C35/C41</f>
        <v>11.035848057199784</v>
      </c>
      <c r="D43" s="3">
        <f t="shared" ref="D43:R43" ca="1" si="60">+D35/D41</f>
        <v>12.813659446353549</v>
      </c>
      <c r="E43" s="3">
        <f t="shared" ca="1" si="60"/>
        <v>17.7491444092101</v>
      </c>
      <c r="F43" s="3">
        <f t="shared" ca="1" si="60"/>
        <v>17.299355078335005</v>
      </c>
      <c r="G43" s="3">
        <f t="shared" ca="1" si="60"/>
        <v>19.879163715083006</v>
      </c>
      <c r="H43" s="3">
        <f t="shared" ca="1" si="60"/>
        <v>20.179531505531799</v>
      </c>
      <c r="I43" s="3">
        <f t="shared" ca="1" si="60"/>
        <v>19.492908497958698</v>
      </c>
      <c r="J43" s="3">
        <f t="shared" ca="1" si="60"/>
        <v>22.10135602884959</v>
      </c>
      <c r="K43" s="3">
        <f t="shared" ca="1" si="60"/>
        <v>24.745984264708589</v>
      </c>
      <c r="L43" s="3">
        <f t="shared" ca="1" si="60"/>
        <v>27.013513040715118</v>
      </c>
      <c r="M43" s="3">
        <f t="shared" ca="1" si="60"/>
        <v>29.501313613638249</v>
      </c>
      <c r="N43" s="3">
        <f t="shared" ca="1" si="60"/>
        <v>32.194931775442996</v>
      </c>
      <c r="O43" s="3">
        <f t="shared" ca="1" si="60"/>
        <v>34.638409841036562</v>
      </c>
      <c r="P43" s="3">
        <f t="shared" ca="1" si="60"/>
        <v>36.943063142486814</v>
      </c>
      <c r="Q43" s="3">
        <f t="shared" ca="1" si="60"/>
        <v>39.417356009768064</v>
      </c>
      <c r="R43" s="392">
        <f t="shared" ca="1" si="60"/>
        <v>42.072906045728338</v>
      </c>
    </row>
    <row r="44" spans="2:21" x14ac:dyDescent="0.25">
      <c r="B44" s="380"/>
      <c r="R44" s="292"/>
    </row>
    <row r="45" spans="2:21" s="2" customFormat="1" x14ac:dyDescent="0.25">
      <c r="B45" s="387" t="s">
        <v>38</v>
      </c>
      <c r="C45" s="396">
        <f ca="1">+C39/PROJ!AM67</f>
        <v>2.401184210184768</v>
      </c>
      <c r="D45" s="396">
        <f ca="1">+D39/PROJ!AN67</f>
        <v>2.1829841701081611</v>
      </c>
      <c r="E45" s="396">
        <f ca="1">+E39/PROJ!AO67</f>
        <v>2.1111925518662336</v>
      </c>
      <c r="F45" s="396">
        <f ca="1">+F39/PROJ!AP67</f>
        <v>1.882899060852357</v>
      </c>
      <c r="G45" s="396">
        <f ca="1">+G39/PROJ!AQ67</f>
        <v>1.6441087886941497</v>
      </c>
      <c r="H45" s="396">
        <f ca="1">+H39/PROJ!AR67</f>
        <v>1.4189215438633869</v>
      </c>
      <c r="I45" s="396">
        <f ca="1">+I39/PROJ!AS67</f>
        <v>1.2698854195916913</v>
      </c>
      <c r="J45" s="396">
        <f ca="1">+J39/PROJ!AT67</f>
        <v>1.1267524763433261</v>
      </c>
      <c r="K45" s="396">
        <f ca="1">+K39/PROJ!AU67</f>
        <v>1.0010004309953697</v>
      </c>
      <c r="L45" s="396">
        <f ca="1">+L39/PROJ!AV67</f>
        <v>0.8932020487004908</v>
      </c>
      <c r="M45" s="396">
        <f ca="1">+M39/PROJ!AW67</f>
        <v>0.7991949423581004</v>
      </c>
      <c r="N45" s="396">
        <f ca="1">+N39/PROJ!AX67</f>
        <v>0.71687900029588325</v>
      </c>
      <c r="O45" s="396">
        <f ca="1">+O39/PROJ!AY67</f>
        <v>0.64571238855010671</v>
      </c>
      <c r="P45" s="396">
        <f ca="1">+P39/PROJ!AZ67</f>
        <v>0.5840809931397648</v>
      </c>
      <c r="Q45" s="396">
        <f ca="1">+Q39/PROJ!BA67</f>
        <v>0.53008818938019875</v>
      </c>
      <c r="R45" s="397">
        <f ca="1">+R39/PROJ!BB67</f>
        <v>0.48247618696109495</v>
      </c>
    </row>
    <row r="46" spans="2:21" s="2" customFormat="1" x14ac:dyDescent="0.25">
      <c r="B46" s="387" t="s">
        <v>39</v>
      </c>
      <c r="C46" s="398">
        <f ca="1">+C39/C35</f>
        <v>14.722928329372756</v>
      </c>
      <c r="D46" s="398">
        <f t="shared" ref="D46:R46" ca="1" si="61">+D39/D35</f>
        <v>12.68021837791528</v>
      </c>
      <c r="E46" s="398">
        <f t="shared" ca="1" si="61"/>
        <v>9.1542440725023635</v>
      </c>
      <c r="F46" s="398">
        <f t="shared" ca="1" si="61"/>
        <v>9.3922576456901119</v>
      </c>
      <c r="G46" s="398">
        <f t="shared" ca="1" si="61"/>
        <v>8.1733820561435806</v>
      </c>
      <c r="H46" s="398">
        <f t="shared" ca="1" si="61"/>
        <v>8.0517231014733657</v>
      </c>
      <c r="I46" s="398">
        <f t="shared" ca="1" si="61"/>
        <v>8.335338978121964</v>
      </c>
      <c r="J46" s="398">
        <f t="shared" ca="1" si="61"/>
        <v>7.3515851148639824</v>
      </c>
      <c r="K46" s="398">
        <f t="shared" ca="1" si="61"/>
        <v>6.5659138170438567</v>
      </c>
      <c r="L46" s="398">
        <f t="shared" ca="1" si="61"/>
        <v>6.0147674889640612</v>
      </c>
      <c r="M46" s="398">
        <f t="shared" ca="1" si="61"/>
        <v>5.5075513628954686</v>
      </c>
      <c r="N46" s="398">
        <f t="shared" ca="1" si="61"/>
        <v>5.0467570837945752</v>
      </c>
      <c r="O46" s="398">
        <f t="shared" ca="1" si="61"/>
        <v>4.6907465078696511</v>
      </c>
      <c r="P46" s="398">
        <f t="shared" ca="1" si="61"/>
        <v>4.3981193268496979</v>
      </c>
      <c r="Q46" s="398">
        <f t="shared" ca="1" si="61"/>
        <v>4.1220420760777472</v>
      </c>
      <c r="R46" s="399">
        <f t="shared" ca="1" si="61"/>
        <v>3.8618677736071572</v>
      </c>
    </row>
    <row r="47" spans="2:21" x14ac:dyDescent="0.25">
      <c r="B47" s="380"/>
      <c r="R47" s="292"/>
    </row>
    <row r="48" spans="2:21" x14ac:dyDescent="0.25">
      <c r="B48" s="380" t="s">
        <v>40</v>
      </c>
      <c r="C48" s="393">
        <f>+PROJ!AM75</f>
        <v>0.16937135101615791</v>
      </c>
      <c r="D48" s="393">
        <f>+PROJ!AN75</f>
        <v>0.17947102602159035</v>
      </c>
      <c r="E48" s="393">
        <f>+PROJ!AO75</f>
        <v>0.24941347874061298</v>
      </c>
      <c r="F48" s="393">
        <f>+PROJ!AP75</f>
        <v>0.20827902707664067</v>
      </c>
      <c r="G48" s="393">
        <f>+PROJ!AQ75</f>
        <v>0.20942559753276793</v>
      </c>
      <c r="H48" s="393">
        <f>+PROJ!AR75</f>
        <v>0.18682321139007549</v>
      </c>
      <c r="I48" s="393">
        <f>+PROJ!AS75</f>
        <v>0.15935678314609381</v>
      </c>
      <c r="J48" s="393">
        <f>+PROJ!AT75</f>
        <v>0.15326660288067318</v>
      </c>
      <c r="K48" s="393">
        <f>+PROJ!AU75</f>
        <v>0.15245409228445309</v>
      </c>
      <c r="L48" s="393">
        <f>+PROJ!AV75</f>
        <v>0.14850150905073958</v>
      </c>
      <c r="M48" s="393">
        <f>+PROJ!AW75</f>
        <v>0.1451089403799844</v>
      </c>
      <c r="N48" s="393">
        <f>+PROJ!AX75</f>
        <v>0.14204745510692848</v>
      </c>
      <c r="O48" s="393">
        <f>+PROJ!AY75</f>
        <v>0.13765663684166199</v>
      </c>
      <c r="P48" s="393">
        <f>+PROJ!AZ75</f>
        <v>0.13280244343850775</v>
      </c>
      <c r="Q48" s="393">
        <f>+PROJ!BA75</f>
        <v>0.12859844213055546</v>
      </c>
      <c r="R48" s="394">
        <f>+PROJ!BB75</f>
        <v>0.12493337815925289</v>
      </c>
    </row>
    <row r="49" spans="2:18" x14ac:dyDescent="0.25">
      <c r="B49" s="380"/>
      <c r="R49" s="292"/>
    </row>
    <row r="50" spans="2:18" x14ac:dyDescent="0.25">
      <c r="B50" s="395" t="s">
        <v>41</v>
      </c>
      <c r="C50" s="350"/>
      <c r="D50" s="350"/>
      <c r="E50" s="350"/>
      <c r="F50" s="350"/>
      <c r="G50" s="350">
        <f ca="1">+PROJ!AQ72/RESUMO!G39</f>
        <v>2.3387496198899349E-2</v>
      </c>
      <c r="H50" s="350">
        <f ca="1">+PROJ!AR72/RESUMO!H39</f>
        <v>3.0587093357771735E-2</v>
      </c>
      <c r="I50" s="350">
        <f ca="1">+PROJ!AS72/RESUMO!I39</f>
        <v>3.7259105438574219E-2</v>
      </c>
      <c r="J50" s="350">
        <f ca="1">+PROJ!AT72/RESUMO!J39</f>
        <v>3.5991337699332895E-2</v>
      </c>
      <c r="K50" s="350">
        <f ca="1">+PROJ!AU72/RESUMO!K39</f>
        <v>4.0807525902602636E-2</v>
      </c>
      <c r="L50" s="350">
        <f ca="1">+PROJ!AV72/RESUMO!L39</f>
        <v>4.5690517475458992E-2</v>
      </c>
      <c r="M50" s="350">
        <f ca="1">+PROJ!AW72/RESUMO!M39</f>
        <v>4.9877239735441503E-2</v>
      </c>
      <c r="N50" s="350">
        <f ca="1">+PROJ!AX72/RESUMO!N39</f>
        <v>5.4470667676584657E-2</v>
      </c>
      <c r="O50" s="350">
        <f ca="1">+PROJ!AY72/RESUMO!O39</f>
        <v>5.9444113322457526E-2</v>
      </c>
      <c r="P50" s="350">
        <f ca="1">+PROJ!AZ72/RESUMO!P39</f>
        <v>6.3955705024070456E-2</v>
      </c>
      <c r="Q50" s="350">
        <f ca="1">+PROJ!BA72/RESUMO!Q39</f>
        <v>6.8210973305921005E-2</v>
      </c>
      <c r="R50" s="351">
        <f ca="1">+PROJ!BB72/RESUMO!R39</f>
        <v>7.2779460874756396E-2</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Q266"/>
  <sheetViews>
    <sheetView showGridLines="0" workbookViewId="0">
      <pane xSplit="1" ySplit="4" topLeftCell="AA44" activePane="bottomRight" state="frozen"/>
      <selection pane="topRight"/>
      <selection pane="bottomLeft"/>
      <selection pane="bottomRight" activeCell="AS62" sqref="AS62"/>
    </sheetView>
  </sheetViews>
  <sheetFormatPr defaultColWidth="9.140625" defaultRowHeight="15" x14ac:dyDescent="0.25"/>
  <cols>
    <col min="1" max="1" width="36.5703125" customWidth="1"/>
    <col min="2" max="27" width="11.42578125" style="22" bestFit="1" customWidth="1"/>
    <col min="28" max="29" width="12.140625" style="22" bestFit="1" customWidth="1"/>
    <col min="30" max="33" width="11.42578125" style="22" bestFit="1" customWidth="1"/>
    <col min="34" max="34" width="11.42578125" style="22" customWidth="1"/>
    <col min="35" max="35" width="11.42578125" style="22" bestFit="1" customWidth="1"/>
    <col min="36" max="36" width="11.42578125" style="22" customWidth="1"/>
    <col min="37" max="37" width="0" style="22" hidden="1" customWidth="1"/>
    <col min="38" max="40" width="11.42578125" style="22" hidden="1" customWidth="1"/>
    <col min="41" max="54" width="11.42578125" style="22" bestFit="1" customWidth="1"/>
    <col min="55" max="16384" width="9.140625" style="22"/>
  </cols>
  <sheetData>
    <row r="1" spans="1:199" s="102" customFormat="1" ht="12.75" x14ac:dyDescent="0.2">
      <c r="A1" s="13" t="s">
        <v>42</v>
      </c>
      <c r="B1" s="316">
        <f>+PROJ!B1</f>
        <v>4.4263249854397113E-3</v>
      </c>
      <c r="C1" s="316">
        <f>+PROJ!C1</f>
        <v>-1.7105415748578379E-3</v>
      </c>
      <c r="D1" s="316">
        <f>+PROJ!D1</f>
        <v>6.2246488349353424E-3</v>
      </c>
      <c r="E1" s="316">
        <f>+PROJ!E1</f>
        <v>1.9164534067075856E-2</v>
      </c>
      <c r="F1" s="316">
        <f>+PROJ!F1</f>
        <v>8.5336152698849421E-3</v>
      </c>
      <c r="G1" s="316">
        <f>+PROJ!G1</f>
        <v>-8.8919672775600311E-4</v>
      </c>
      <c r="H1" s="316">
        <f>+PROJ!H1</f>
        <v>1.2843933560046095E-2</v>
      </c>
      <c r="I1" s="316">
        <f>+PROJ!I1</f>
        <v>1.070166675916151E-2</v>
      </c>
      <c r="J1" s="316">
        <f>+PROJ!J1</f>
        <v>2.3363930045483317E-2</v>
      </c>
      <c r="K1" s="316">
        <f>+PROJ!K1</f>
        <v>1.0677493203605781E-2</v>
      </c>
      <c r="L1" s="316">
        <f>+PROJ!L1</f>
        <v>1.4006618414765803E-2</v>
      </c>
      <c r="M1" s="316">
        <f>+PROJ!M1</f>
        <v>2.3621085330843616E-2</v>
      </c>
      <c r="N1" s="316">
        <f>+PROJ!N1</f>
        <v>2.4303542810379497E-2</v>
      </c>
      <c r="O1" s="316">
        <f>+PROJ!O1</f>
        <v>1.5687547333116836E-2</v>
      </c>
      <c r="P1" s="316">
        <f>+PROJ!P1</f>
        <v>2.0705647143653083E-2</v>
      </c>
      <c r="Q1" s="316">
        <f>+PROJ!Q1</f>
        <v>1.5308538905523639E-2</v>
      </c>
      <c r="R1" s="316">
        <f>+PROJ!R1</f>
        <v>1.510934708012468E-2</v>
      </c>
      <c r="S1" s="316">
        <f>+PROJ!S1</f>
        <v>-1.3630451206879668E-3</v>
      </c>
      <c r="T1" s="316">
        <f>+PROJ!T1</f>
        <v>1.4865771288626872E-2</v>
      </c>
      <c r="U1" s="316">
        <f>+PROJ!U1</f>
        <v>1.731478635106054E-2</v>
      </c>
      <c r="V1" s="316">
        <f>+PROJ!V1</f>
        <v>1.2782062807370043E-2</v>
      </c>
      <c r="W1" s="316">
        <f>+PROJ!W1</f>
        <v>3.9458471636892867E-3</v>
      </c>
      <c r="X1" s="316">
        <f>+PROJ!X1</f>
        <v>1.1040611022779867E-2</v>
      </c>
      <c r="Y1" s="316">
        <f>+PROJ!Y1</f>
        <v>1.3734567901234618E-2</v>
      </c>
      <c r="Z1" s="316">
        <f>+PROJ!Z1</f>
        <v>8.7858556423026091E-3</v>
      </c>
      <c r="AA1" s="316">
        <f>+PROJ!AA1</f>
        <v>8.9392861505737109E-3</v>
      </c>
      <c r="AB1" s="316">
        <f>+PROJ!AB1</f>
        <v>3.1181225739822516E-3</v>
      </c>
      <c r="AC1" s="316">
        <f>+PROJ!AC1</f>
        <v>1.373456790123484E-2</v>
      </c>
      <c r="AD1" s="316">
        <f>+PROJ!AD1</f>
        <v>8.7858556423026091E-3</v>
      </c>
      <c r="AE1" s="316">
        <f>+PROJ!AE1</f>
        <v>8.9392861505737109E-3</v>
      </c>
      <c r="AF1" s="316">
        <f>+PROJ!AF1</f>
        <v>3.1181225739822516E-3</v>
      </c>
      <c r="AG1" s="316">
        <f>+PROJ!AG1</f>
        <v>1.373456790123484E-2</v>
      </c>
      <c r="AH1" s="316"/>
      <c r="AI1" s="316">
        <v>1.373456790123484E-2</v>
      </c>
      <c r="AJ1" s="316"/>
      <c r="AL1" s="316">
        <f>+PROJ!AL1</f>
        <v>2.8285769753445988E-2</v>
      </c>
      <c r="AM1" s="316">
        <f>+PROJ!AM1</f>
        <v>3.1500745747352177E-2</v>
      </c>
      <c r="AN1" s="316">
        <f>+PROJ!AN1</f>
        <v>7.3551079426380284E-2</v>
      </c>
      <c r="AO1" s="316">
        <f>+PROJ!AO1</f>
        <v>7.8170286766460872E-2</v>
      </c>
      <c r="AP1" s="316">
        <f>+PROJ!AP1</f>
        <v>4.6608896408861566E-2</v>
      </c>
      <c r="AQ1" s="316">
        <f>+PROJ!AQ1</f>
        <v>4.2123393743437321E-2</v>
      </c>
      <c r="AR1" s="316">
        <f>+PROJ!AR1</f>
        <v>3.499999999999992E-2</v>
      </c>
      <c r="AS1" s="316">
        <f>+PROJ!AS1</f>
        <v>3.5000000000000142E-2</v>
      </c>
      <c r="AT1" s="316">
        <f>+PROJ!AT1</f>
        <v>3.5000000000000142E-2</v>
      </c>
      <c r="AU1" s="316">
        <f>+PROJ!AU1</f>
        <v>3.5000000000000142E-2</v>
      </c>
      <c r="AV1" s="316">
        <f>+PROJ!AV1</f>
        <v>3.5000000000000142E-2</v>
      </c>
      <c r="AW1" s="316">
        <f>+PROJ!AW1</f>
        <v>3.5000000000000142E-2</v>
      </c>
      <c r="AX1" s="316">
        <f>+PROJ!AX1</f>
        <v>3.5000000000000142E-2</v>
      </c>
      <c r="AY1" s="316">
        <f>+PROJ!AY1</f>
        <v>3.5000000000000142E-2</v>
      </c>
      <c r="AZ1" s="316">
        <f>+PROJ!AZ1</f>
        <v>3.5000000000000142E-2</v>
      </c>
      <c r="BA1" s="316">
        <f>+PROJ!BA1</f>
        <v>3.5000000000000142E-2</v>
      </c>
      <c r="BB1" s="319">
        <f>+BA1</f>
        <v>3.5000000000000142E-2</v>
      </c>
    </row>
    <row r="2" spans="1:199" s="320" customFormat="1" ht="12.75" x14ac:dyDescent="0.2">
      <c r="A2" s="317" t="s">
        <v>43</v>
      </c>
      <c r="B2" s="318">
        <f>+PROJ!B2</f>
        <v>8.5150000000000003E-2</v>
      </c>
      <c r="C2" s="318">
        <f>+PROJ!C2</f>
        <v>8.488699999999999E-2</v>
      </c>
      <c r="D2" s="318">
        <f>+PROJ!D2</f>
        <v>8.0274999999999999E-2</v>
      </c>
      <c r="E2" s="318" t="e">
        <f>+PROJ!E2</f>
        <v>#VALUE!</v>
      </c>
      <c r="F2" s="318" t="e">
        <f>+PROJ!F2</f>
        <v>#VALUE!</v>
      </c>
      <c r="G2" s="318">
        <f>+PROJ!G2</f>
        <v>5.2843000000000001E-2</v>
      </c>
      <c r="H2" s="318">
        <f>+PROJ!H2</f>
        <v>4.7500000000000001E-2</v>
      </c>
      <c r="I2" s="318">
        <f>+PROJ!I2</f>
        <v>4.2500000000000003E-2</v>
      </c>
      <c r="J2" s="318">
        <f>+PROJ!J2</f>
        <v>4.2875000000000003E-2</v>
      </c>
      <c r="K2" s="318">
        <f>+PROJ!K2</f>
        <v>4.53E-2</v>
      </c>
      <c r="L2" s="318">
        <f>+PROJ!L2</f>
        <v>4.7500000000000001E-2</v>
      </c>
      <c r="M2" s="318">
        <f>+PROJ!M2</f>
        <v>5.7099999999999998E-2</v>
      </c>
      <c r="N2" s="318">
        <f>+PROJ!N2</f>
        <v>6.7199999999999996E-2</v>
      </c>
      <c r="O2" s="318">
        <f>+PROJ!O2</f>
        <v>8.0299999999999996E-2</v>
      </c>
      <c r="P2" s="318">
        <f>+PROJ!P2</f>
        <v>9.5000000000000001E-2</v>
      </c>
      <c r="Q2" s="318">
        <f>+PROJ!Q2</f>
        <v>0.105</v>
      </c>
      <c r="R2" s="318">
        <f>+PROJ!R2</f>
        <v>0.115</v>
      </c>
      <c r="S2" s="318">
        <f>+PROJ!S2</f>
        <v>0.115</v>
      </c>
      <c r="T2" s="318">
        <f>+PROJ!T2</f>
        <v>0.11502800000000001</v>
      </c>
      <c r="U2" s="318">
        <f>+PROJ!U2</f>
        <v>0.11502499999999999</v>
      </c>
      <c r="V2" s="318">
        <f>+PROJ!V2</f>
        <v>0.112485</v>
      </c>
      <c r="W2" s="318">
        <f>+PROJ!W2</f>
        <v>0.112445</v>
      </c>
      <c r="X2" s="318">
        <f>+PROJ!X2</f>
        <v>0.1074</v>
      </c>
      <c r="Y2" s="318">
        <f>+PROJ!Y2</f>
        <v>0.10244999999999999</v>
      </c>
      <c r="Z2" s="318">
        <f>+PROJ!Z2</f>
        <v>9.2704000000000009E-2</v>
      </c>
      <c r="AA2" s="318">
        <f>+PROJ!AA2</f>
        <v>9.2704000000000009E-2</v>
      </c>
      <c r="AB2" s="318">
        <f>+PROJ!AB2</f>
        <v>7.7499999999999999E-2</v>
      </c>
      <c r="AC2" s="318">
        <f>+PROJ!AC2</f>
        <v>7.4999999999999997E-2</v>
      </c>
      <c r="AD2" s="318">
        <f>+PROJ!AD2</f>
        <v>7.2999999999999995E-2</v>
      </c>
      <c r="AE2" s="318">
        <f>+PROJ!AE2</f>
        <v>7.0999999999999994E-2</v>
      </c>
      <c r="AF2" s="318">
        <f>+PROJ!AF2</f>
        <v>7.0499999999999993E-2</v>
      </c>
      <c r="AG2" s="318">
        <f>+PROJ!AG2</f>
        <v>6.8000000000000005E-2</v>
      </c>
      <c r="AH2" s="412"/>
      <c r="AI2" s="318">
        <v>7.4999999999999997E-2</v>
      </c>
      <c r="AJ2" s="412"/>
      <c r="AK2" s="318"/>
      <c r="AL2" s="318" t="e">
        <f>+PROJ!AL2</f>
        <v>#VALUE!</v>
      </c>
      <c r="AM2" s="318">
        <f>+PROJ!AM2</f>
        <v>4.2500000000000003E-2</v>
      </c>
      <c r="AN2" s="318">
        <f>+PROJ!AN2</f>
        <v>5.7099999999999998E-2</v>
      </c>
      <c r="AO2" s="318">
        <f>+PROJ!AO2</f>
        <v>0.105</v>
      </c>
      <c r="AP2" s="318">
        <f>+PROJ!AP2</f>
        <v>0.11502499999999999</v>
      </c>
      <c r="AQ2" s="318">
        <f>+PROJ!AQ2</f>
        <v>0.10244999999999999</v>
      </c>
      <c r="AR2" s="318">
        <f>+PROJ!AR2</f>
        <v>7.4999999999999997E-2</v>
      </c>
      <c r="AS2" s="318">
        <f>+PROJ!AS2</f>
        <v>6.8000000000000005E-2</v>
      </c>
      <c r="AT2" s="318">
        <f>+PROJ!AT2</f>
        <v>6.8000000000000005E-2</v>
      </c>
      <c r="AU2" s="318">
        <f>+PROJ!AU2</f>
        <v>6.8000000000000005E-2</v>
      </c>
      <c r="AV2" s="318">
        <f>+PROJ!AV2</f>
        <v>6.8000000000000005E-2</v>
      </c>
      <c r="AW2" s="318">
        <f>+PROJ!AW2</f>
        <v>6.8000000000000005E-2</v>
      </c>
      <c r="AX2" s="318">
        <f>+PROJ!AX2</f>
        <v>6.8000000000000005E-2</v>
      </c>
      <c r="AY2" s="318">
        <f>+PROJ!AY2</f>
        <v>6.8000000000000005E-2</v>
      </c>
      <c r="AZ2" s="318">
        <f>+PROJ!AZ2</f>
        <v>6.8000000000000005E-2</v>
      </c>
      <c r="BA2" s="318">
        <f>+PROJ!BA2</f>
        <v>6.8000000000000005E-2</v>
      </c>
      <c r="BB2" s="319">
        <f>+BA2</f>
        <v>6.8000000000000005E-2</v>
      </c>
    </row>
    <row r="3" spans="1:199" s="38" customFormat="1" x14ac:dyDescent="0.25">
      <c r="A3" s="20"/>
      <c r="AH3" s="22"/>
      <c r="AJ3" s="22"/>
      <c r="AL3" s="124">
        <v>43830</v>
      </c>
      <c r="AM3" s="124">
        <f t="shared" ref="AM3:AS3" si="0">+EOMONTH(AL3,12)</f>
        <v>44196</v>
      </c>
      <c r="AN3" s="124">
        <f t="shared" si="0"/>
        <v>44561</v>
      </c>
      <c r="AO3" s="124">
        <f t="shared" si="0"/>
        <v>44926</v>
      </c>
      <c r="AP3" s="124">
        <f t="shared" si="0"/>
        <v>45291</v>
      </c>
      <c r="AQ3" s="124">
        <f t="shared" si="0"/>
        <v>45657</v>
      </c>
      <c r="AR3" s="124">
        <f t="shared" si="0"/>
        <v>46022</v>
      </c>
      <c r="AS3" s="124">
        <f t="shared" si="0"/>
        <v>46387</v>
      </c>
    </row>
    <row r="4" spans="1:199" x14ac:dyDescent="0.25">
      <c r="A4" s="105" t="s">
        <v>44</v>
      </c>
      <c r="B4" s="106">
        <v>43555</v>
      </c>
      <c r="C4" s="106">
        <f>+EOMONTH(B4,3)</f>
        <v>43646</v>
      </c>
      <c r="D4" s="106">
        <f t="shared" ref="D4:AG4" si="1">+EOMONTH(C4,3)</f>
        <v>43738</v>
      </c>
      <c r="E4" s="106">
        <f t="shared" si="1"/>
        <v>43830</v>
      </c>
      <c r="F4" s="106">
        <f t="shared" si="1"/>
        <v>43921</v>
      </c>
      <c r="G4" s="106">
        <f t="shared" si="1"/>
        <v>44012</v>
      </c>
      <c r="H4" s="106">
        <f t="shared" si="1"/>
        <v>44104</v>
      </c>
      <c r="I4" s="106">
        <f t="shared" si="1"/>
        <v>44196</v>
      </c>
      <c r="J4" s="106">
        <f t="shared" si="1"/>
        <v>44286</v>
      </c>
      <c r="K4" s="106">
        <f t="shared" si="1"/>
        <v>44377</v>
      </c>
      <c r="L4" s="106">
        <f t="shared" si="1"/>
        <v>44469</v>
      </c>
      <c r="M4" s="106">
        <f t="shared" si="1"/>
        <v>44561</v>
      </c>
      <c r="N4" s="106">
        <f t="shared" si="1"/>
        <v>44651</v>
      </c>
      <c r="O4" s="106">
        <f t="shared" si="1"/>
        <v>44742</v>
      </c>
      <c r="P4" s="106">
        <f t="shared" si="1"/>
        <v>44834</v>
      </c>
      <c r="Q4" s="106">
        <f t="shared" si="1"/>
        <v>44926</v>
      </c>
      <c r="R4" s="106">
        <f t="shared" si="1"/>
        <v>45016</v>
      </c>
      <c r="S4" s="106">
        <f t="shared" si="1"/>
        <v>45107</v>
      </c>
      <c r="T4" s="106">
        <f t="shared" si="1"/>
        <v>45199</v>
      </c>
      <c r="U4" s="106">
        <f t="shared" si="1"/>
        <v>45291</v>
      </c>
      <c r="V4" s="106">
        <f t="shared" si="1"/>
        <v>45382</v>
      </c>
      <c r="W4" s="106">
        <f t="shared" si="1"/>
        <v>45473</v>
      </c>
      <c r="X4" s="106">
        <f t="shared" si="1"/>
        <v>45565</v>
      </c>
      <c r="Y4" s="106">
        <f t="shared" si="1"/>
        <v>45657</v>
      </c>
      <c r="Z4" s="106">
        <f t="shared" si="1"/>
        <v>45747</v>
      </c>
      <c r="AA4" s="106">
        <f t="shared" si="1"/>
        <v>45838</v>
      </c>
      <c r="AB4" s="106">
        <f t="shared" si="1"/>
        <v>45930</v>
      </c>
      <c r="AC4" s="106">
        <f t="shared" si="1"/>
        <v>46022</v>
      </c>
      <c r="AD4" s="107">
        <f t="shared" si="1"/>
        <v>46112</v>
      </c>
      <c r="AE4" s="107">
        <f t="shared" si="1"/>
        <v>46203</v>
      </c>
      <c r="AF4" s="107">
        <f t="shared" si="1"/>
        <v>46295</v>
      </c>
      <c r="AG4" s="107">
        <f t="shared" si="1"/>
        <v>46387</v>
      </c>
      <c r="AH4" s="413"/>
      <c r="AI4" s="107">
        <v>46022</v>
      </c>
      <c r="AJ4" s="413"/>
      <c r="AK4" s="38"/>
      <c r="AL4" s="125">
        <v>2019</v>
      </c>
      <c r="AM4" s="125">
        <f t="shared" ref="AM4:BB4" si="2">+AL4+1</f>
        <v>2020</v>
      </c>
      <c r="AN4" s="125">
        <f t="shared" si="2"/>
        <v>2021</v>
      </c>
      <c r="AO4" s="125">
        <f t="shared" si="2"/>
        <v>2022</v>
      </c>
      <c r="AP4" s="125">
        <f t="shared" si="2"/>
        <v>2023</v>
      </c>
      <c r="AQ4" s="125">
        <f t="shared" si="2"/>
        <v>2024</v>
      </c>
      <c r="AR4" s="125">
        <f t="shared" si="2"/>
        <v>2025</v>
      </c>
      <c r="AS4" s="125">
        <f t="shared" si="2"/>
        <v>2026</v>
      </c>
      <c r="AT4" s="125">
        <f t="shared" si="2"/>
        <v>2027</v>
      </c>
      <c r="AU4" s="125">
        <f t="shared" si="2"/>
        <v>2028</v>
      </c>
      <c r="AV4" s="125">
        <f t="shared" si="2"/>
        <v>2029</v>
      </c>
      <c r="AW4" s="125">
        <f t="shared" si="2"/>
        <v>2030</v>
      </c>
      <c r="AX4" s="125">
        <f t="shared" si="2"/>
        <v>2031</v>
      </c>
      <c r="AY4" s="125">
        <f t="shared" si="2"/>
        <v>2032</v>
      </c>
      <c r="AZ4" s="125">
        <f t="shared" si="2"/>
        <v>2033</v>
      </c>
      <c r="BA4" s="125">
        <f t="shared" si="2"/>
        <v>2034</v>
      </c>
      <c r="BB4" s="125">
        <f t="shared" si="2"/>
        <v>2035</v>
      </c>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row>
    <row r="5" spans="1:199" s="42" customFormat="1" x14ac:dyDescent="0.25">
      <c r="A5" s="2" t="s">
        <v>45</v>
      </c>
      <c r="B5" s="39">
        <f t="shared" ref="B5:AF5" si="3">+B7+B12+B13+B14</f>
        <v>100362</v>
      </c>
      <c r="C5" s="39">
        <f t="shared" si="3"/>
        <v>104484</v>
      </c>
      <c r="D5" s="39">
        <f t="shared" si="3"/>
        <v>105991</v>
      </c>
      <c r="E5" s="39">
        <f t="shared" si="3"/>
        <v>105777</v>
      </c>
      <c r="F5" s="39">
        <f t="shared" si="3"/>
        <v>111108</v>
      </c>
      <c r="G5" s="39">
        <f t="shared" si="3"/>
        <v>109380</v>
      </c>
      <c r="H5" s="39">
        <f t="shared" si="3"/>
        <v>109040</v>
      </c>
      <c r="I5" s="39">
        <f t="shared" si="3"/>
        <v>107985</v>
      </c>
      <c r="J5" s="39">
        <f t="shared" si="3"/>
        <v>110206</v>
      </c>
      <c r="K5" s="39">
        <f t="shared" si="3"/>
        <v>112008</v>
      </c>
      <c r="L5" s="39">
        <f t="shared" si="3"/>
        <v>112700</v>
      </c>
      <c r="M5" s="39">
        <f t="shared" si="3"/>
        <v>115218</v>
      </c>
      <c r="N5" s="39">
        <f t="shared" si="3"/>
        <v>118506</v>
      </c>
      <c r="O5" s="39">
        <f t="shared" si="3"/>
        <v>121051</v>
      </c>
      <c r="P5" s="39">
        <f t="shared" si="3"/>
        <v>123450</v>
      </c>
      <c r="Q5" s="39">
        <f t="shared" si="3"/>
        <v>134094</v>
      </c>
      <c r="R5" s="39">
        <f t="shared" si="3"/>
        <v>140244</v>
      </c>
      <c r="S5" s="39">
        <f t="shared" si="3"/>
        <v>143681</v>
      </c>
      <c r="T5" s="39">
        <f t="shared" si="3"/>
        <v>148574</v>
      </c>
      <c r="U5" s="39">
        <f t="shared" si="3"/>
        <v>152171</v>
      </c>
      <c r="V5" s="39">
        <f t="shared" si="3"/>
        <v>157429</v>
      </c>
      <c r="W5" s="39">
        <f t="shared" si="3"/>
        <v>163018</v>
      </c>
      <c r="X5" s="39">
        <f t="shared" si="3"/>
        <v>168013</v>
      </c>
      <c r="Y5" s="39">
        <f t="shared" si="3"/>
        <v>174115</v>
      </c>
      <c r="Z5" s="39">
        <f t="shared" ref="Z5:AA5" si="4">+Z7+Z12+Z13+Z14</f>
        <v>177885</v>
      </c>
      <c r="AA5" s="39">
        <f t="shared" si="4"/>
        <v>180488</v>
      </c>
      <c r="AB5" s="39">
        <f t="shared" si="3"/>
        <v>184819</v>
      </c>
      <c r="AC5" s="39">
        <f t="shared" si="3"/>
        <v>187878</v>
      </c>
      <c r="AD5" s="40">
        <f t="shared" si="3"/>
        <v>190666.17789463646</v>
      </c>
      <c r="AE5" s="40">
        <f t="shared" si="3"/>
        <v>193324.95206199228</v>
      </c>
      <c r="AF5" s="40">
        <f t="shared" si="3"/>
        <v>202328.79898857785</v>
      </c>
      <c r="AG5" s="40">
        <f>+AG7+AG12+AG13+AG14</f>
        <v>202742.41334218549</v>
      </c>
      <c r="AH5" s="414">
        <f>+AH7+AH12+AH13+AH14</f>
        <v>0</v>
      </c>
      <c r="AI5" s="40">
        <v>189518.56065714289</v>
      </c>
      <c r="AJ5" s="486">
        <f>+AB5/AI5-1</f>
        <v>-2.4797363597778954E-2</v>
      </c>
      <c r="AK5" s="39"/>
      <c r="AL5" s="39">
        <f t="shared" ref="AL5:BB5" si="5">+AL7+AL12+AL13+AL14</f>
        <v>105777</v>
      </c>
      <c r="AM5" s="39">
        <f t="shared" si="5"/>
        <v>107985</v>
      </c>
      <c r="AN5" s="39">
        <f t="shared" si="5"/>
        <v>115218</v>
      </c>
      <c r="AO5" s="39">
        <f t="shared" si="5"/>
        <v>134094</v>
      </c>
      <c r="AP5" s="39">
        <f t="shared" si="5"/>
        <v>152171</v>
      </c>
      <c r="AQ5" s="39">
        <f t="shared" si="5"/>
        <v>174115</v>
      </c>
      <c r="AR5" s="39">
        <f t="shared" si="5"/>
        <v>187878</v>
      </c>
      <c r="AS5" s="39">
        <f t="shared" si="5"/>
        <v>202742.41334218549</v>
      </c>
      <c r="AT5" s="40">
        <f t="shared" si="5"/>
        <v>221927.00185870336</v>
      </c>
      <c r="AU5" s="40">
        <f t="shared" si="5"/>
        <v>236041.95565317536</v>
      </c>
      <c r="AV5" s="40">
        <f t="shared" si="5"/>
        <v>251063.57831240798</v>
      </c>
      <c r="AW5" s="40">
        <f t="shared" si="5"/>
        <v>267164.72014612786</v>
      </c>
      <c r="AX5" s="40">
        <f t="shared" si="5"/>
        <v>284458.93876757909</v>
      </c>
      <c r="AY5" s="40">
        <f t="shared" si="5"/>
        <v>299096.82304260624</v>
      </c>
      <c r="AZ5" s="40">
        <f t="shared" si="5"/>
        <v>314586.61484953936</v>
      </c>
      <c r="BA5" s="40">
        <f t="shared" si="5"/>
        <v>331003.34121875511</v>
      </c>
      <c r="BB5" s="40">
        <f t="shared" si="5"/>
        <v>348403.06167609495</v>
      </c>
    </row>
    <row r="6" spans="1:199" s="42" customFormat="1" x14ac:dyDescent="0.25">
      <c r="A6" s="2"/>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40"/>
      <c r="AE6" s="40"/>
      <c r="AF6" s="40"/>
      <c r="AG6" s="40"/>
      <c r="AH6" s="414"/>
      <c r="AI6" s="40"/>
      <c r="AJ6" s="414"/>
      <c r="AK6" s="39"/>
      <c r="AL6" s="39"/>
      <c r="AM6" s="39"/>
      <c r="AN6" s="39"/>
      <c r="AO6" s="39"/>
      <c r="AP6" s="39"/>
      <c r="AQ6" s="39"/>
      <c r="AR6" s="39"/>
      <c r="AS6" s="39"/>
      <c r="AT6" s="40"/>
      <c r="AU6" s="40"/>
      <c r="AV6" s="40"/>
      <c r="AW6" s="40"/>
      <c r="AX6" s="40"/>
      <c r="AY6" s="40"/>
      <c r="AZ6" s="40"/>
      <c r="BA6" s="40"/>
      <c r="BB6" s="40"/>
    </row>
    <row r="7" spans="1:199" s="42" customFormat="1" x14ac:dyDescent="0.25">
      <c r="A7" s="2" t="s">
        <v>46</v>
      </c>
      <c r="B7" s="39">
        <f t="shared" ref="B7" si="6">+B9+B10</f>
        <v>102244</v>
      </c>
      <c r="C7" s="39">
        <f t="shared" ref="C7" si="7">+C9+C10</f>
        <v>106344</v>
      </c>
      <c r="D7" s="39">
        <f t="shared" ref="D7" si="8">+D9+D10</f>
        <v>107965</v>
      </c>
      <c r="E7" s="39">
        <f t="shared" ref="E7" si="9">+E9+E10</f>
        <v>107933</v>
      </c>
      <c r="F7" s="39">
        <f t="shared" ref="F7" si="10">+F9+F10</f>
        <v>113373</v>
      </c>
      <c r="G7" s="39">
        <f t="shared" ref="G7" si="11">+G9+G10</f>
        <v>111569</v>
      </c>
      <c r="H7" s="39">
        <f t="shared" ref="H7" si="12">+H9+H10</f>
        <v>111149</v>
      </c>
      <c r="I7" s="39">
        <f t="shared" ref="I7" si="13">+I9+I10</f>
        <v>110416</v>
      </c>
      <c r="J7" s="39">
        <f t="shared" ref="J7" si="14">+J9+J10</f>
        <v>112791</v>
      </c>
      <c r="K7" s="39">
        <f t="shared" ref="K7" si="15">+K9+K10</f>
        <v>114469</v>
      </c>
      <c r="L7" s="39">
        <f t="shared" ref="L7" si="16">+L9+L10</f>
        <v>115265</v>
      </c>
      <c r="M7" s="39">
        <f t="shared" ref="M7" si="17">+M9+M10</f>
        <v>117952</v>
      </c>
      <c r="N7" s="39">
        <f t="shared" ref="N7" si="18">+N9+N10</f>
        <v>121226</v>
      </c>
      <c r="O7" s="39">
        <f t="shared" ref="O7" si="19">+O9+O10</f>
        <v>123551</v>
      </c>
      <c r="P7" s="39">
        <f t="shared" ref="P7" si="20">+P9+P10</f>
        <v>126006</v>
      </c>
      <c r="Q7" s="39">
        <f t="shared" ref="Q7" si="21">+Q9+Q10</f>
        <v>136876</v>
      </c>
      <c r="R7" s="39">
        <f t="shared" ref="R7" si="22">+R9+R10</f>
        <v>143298</v>
      </c>
      <c r="S7" s="39">
        <f t="shared" ref="S7" si="23">+S9+S10</f>
        <v>146840</v>
      </c>
      <c r="T7" s="39">
        <f t="shared" ref="T7" si="24">+T9+T10</f>
        <v>151775</v>
      </c>
      <c r="U7" s="39">
        <f t="shared" ref="U7" si="25">+U9+U10</f>
        <v>155301</v>
      </c>
      <c r="V7" s="39">
        <f t="shared" ref="V7" si="26">+V9+V10</f>
        <v>160646</v>
      </c>
      <c r="W7" s="39">
        <f t="shared" ref="W7" si="27">+W9+W10</f>
        <v>166282</v>
      </c>
      <c r="X7" s="39">
        <f t="shared" ref="X7" si="28">+X9+X10</f>
        <v>171233</v>
      </c>
      <c r="Y7" s="39">
        <f t="shared" ref="Y7:Z7" si="29">+Y9+Y10</f>
        <v>177176</v>
      </c>
      <c r="Z7" s="39">
        <f t="shared" si="29"/>
        <v>180986</v>
      </c>
      <c r="AA7" s="39">
        <f t="shared" ref="AA7" si="30">+AA9+AA10</f>
        <v>183722</v>
      </c>
      <c r="AB7" s="39">
        <f t="shared" ref="AB7" si="31">+AB9+AB10</f>
        <v>188100</v>
      </c>
      <c r="AC7" s="39">
        <f t="shared" ref="AC7" si="32">+AC9+AC10</f>
        <v>190842</v>
      </c>
      <c r="AD7" s="39">
        <f t="shared" ref="AD7" si="33">+AD9+AD10</f>
        <v>193704.61487792112</v>
      </c>
      <c r="AE7" s="39">
        <f t="shared" ref="AE7" si="34">+AE9+AE10</f>
        <v>196489.03568286367</v>
      </c>
      <c r="AF7" s="39">
        <f t="shared" ref="AF7" si="35">+AF9+AF10</f>
        <v>205613.70290233637</v>
      </c>
      <c r="AG7" s="39">
        <f t="shared" ref="AG7" si="36">+AG9+AG10</f>
        <v>206164.95832315509</v>
      </c>
      <c r="AH7" s="414"/>
      <c r="AI7" s="39">
        <v>192858.95600000003</v>
      </c>
      <c r="AJ7" s="486">
        <f>+AB7/AI7-1</f>
        <v>-2.467583615873159E-2</v>
      </c>
      <c r="AK7" s="39"/>
      <c r="AL7" s="39">
        <f t="shared" ref="AL7:AR7" si="37">+AL9+AL10</f>
        <v>107933</v>
      </c>
      <c r="AM7" s="39">
        <f t="shared" si="37"/>
        <v>110416</v>
      </c>
      <c r="AN7" s="39">
        <f t="shared" si="37"/>
        <v>117952</v>
      </c>
      <c r="AO7" s="39">
        <f t="shared" si="37"/>
        <v>136876</v>
      </c>
      <c r="AP7" s="39">
        <f t="shared" si="37"/>
        <v>155301</v>
      </c>
      <c r="AQ7" s="39">
        <f t="shared" si="37"/>
        <v>177176</v>
      </c>
      <c r="AR7" s="39">
        <f t="shared" si="37"/>
        <v>190842</v>
      </c>
      <c r="AS7" s="39">
        <f>+AS9+AS10</f>
        <v>206164.95832315509</v>
      </c>
      <c r="AT7" s="39">
        <f t="shared" ref="AT7:BB7" si="38">+AT9+AT10</f>
        <v>226042.93057098714</v>
      </c>
      <c r="AU7" s="39">
        <f t="shared" si="38"/>
        <v>240263.14860875768</v>
      </c>
      <c r="AV7" s="39">
        <f t="shared" si="38"/>
        <v>255286.71728343601</v>
      </c>
      <c r="AW7" s="39">
        <f t="shared" si="38"/>
        <v>271436.31086128985</v>
      </c>
      <c r="AX7" s="39">
        <f t="shared" si="38"/>
        <v>288604.63091316307</v>
      </c>
      <c r="AY7" s="39">
        <f t="shared" si="38"/>
        <v>302990.24106919754</v>
      </c>
      <c r="AZ7" s="39">
        <f t="shared" si="38"/>
        <v>318111.32599200006</v>
      </c>
      <c r="BA7" s="39">
        <f t="shared" si="38"/>
        <v>334073.23727052839</v>
      </c>
      <c r="BB7" s="39">
        <f t="shared" si="38"/>
        <v>350896.08325915976</v>
      </c>
    </row>
    <row r="8" spans="1:199" s="42" customFormat="1" x14ac:dyDescent="0.25">
      <c r="A8" s="2" t="s">
        <v>2</v>
      </c>
      <c r="B8" s="39"/>
      <c r="C8" s="39"/>
      <c r="D8" s="39"/>
      <c r="E8" s="39"/>
      <c r="F8" s="365">
        <f>+F7/B7-1</f>
        <v>0.10884746293181013</v>
      </c>
      <c r="G8" s="365">
        <f t="shared" ref="G8:AG8" si="39">+G7/C7-1</f>
        <v>4.9133002332054421E-2</v>
      </c>
      <c r="H8" s="365">
        <f t="shared" si="39"/>
        <v>2.9491038762561983E-2</v>
      </c>
      <c r="I8" s="365">
        <f t="shared" si="39"/>
        <v>2.3005012368784383E-2</v>
      </c>
      <c r="J8" s="365">
        <f t="shared" si="39"/>
        <v>-5.1334973935592831E-3</v>
      </c>
      <c r="K8" s="365">
        <f t="shared" si="39"/>
        <v>2.5992883327806027E-2</v>
      </c>
      <c r="L8" s="365">
        <f t="shared" si="39"/>
        <v>3.7031372302045007E-2</v>
      </c>
      <c r="M8" s="365">
        <f t="shared" si="39"/>
        <v>6.8250978119113181E-2</v>
      </c>
      <c r="N8" s="365">
        <f t="shared" si="39"/>
        <v>7.4784335629615839E-2</v>
      </c>
      <c r="O8" s="365">
        <f t="shared" si="39"/>
        <v>7.9340258061134428E-2</v>
      </c>
      <c r="P8" s="365">
        <f t="shared" si="39"/>
        <v>9.3185268728581905E-2</v>
      </c>
      <c r="Q8" s="365">
        <f t="shared" si="39"/>
        <v>0.160438144329897</v>
      </c>
      <c r="R8" s="365">
        <f t="shared" si="39"/>
        <v>0.18207315262402446</v>
      </c>
      <c r="S8" s="365">
        <f t="shared" si="39"/>
        <v>0.18849705789512017</v>
      </c>
      <c r="T8" s="365">
        <f t="shared" si="39"/>
        <v>0.20450613462850975</v>
      </c>
      <c r="U8" s="365">
        <f t="shared" si="39"/>
        <v>0.13461088868757121</v>
      </c>
      <c r="V8" s="365">
        <f t="shared" si="39"/>
        <v>0.12106240142918945</v>
      </c>
      <c r="W8" s="365">
        <f t="shared" si="39"/>
        <v>0.13240261509125584</v>
      </c>
      <c r="X8" s="365">
        <f t="shared" si="39"/>
        <v>0.12820293197166865</v>
      </c>
      <c r="Y8" s="365">
        <f t="shared" si="39"/>
        <v>0.1408554999645848</v>
      </c>
      <c r="Z8" s="365">
        <f t="shared" si="39"/>
        <v>0.12661379679543838</v>
      </c>
      <c r="AA8" s="365">
        <f t="shared" si="39"/>
        <v>0.1048820678125113</v>
      </c>
      <c r="AB8" s="365">
        <f t="shared" si="39"/>
        <v>9.8503209077689391E-2</v>
      </c>
      <c r="AC8" s="365">
        <f t="shared" si="39"/>
        <v>7.7132342980990698E-2</v>
      </c>
      <c r="AD8" s="365">
        <f t="shared" si="39"/>
        <v>7.0274026045777704E-2</v>
      </c>
      <c r="AE8" s="365">
        <f t="shared" si="39"/>
        <v>6.9491055414504954E-2</v>
      </c>
      <c r="AF8" s="365">
        <f t="shared" si="39"/>
        <v>9.3108468380310283E-2</v>
      </c>
      <c r="AG8" s="365">
        <f t="shared" si="39"/>
        <v>8.0291331694045898E-2</v>
      </c>
      <c r="AH8" s="414"/>
      <c r="AI8" s="365">
        <v>8.8516255023253887E-2</v>
      </c>
      <c r="AJ8" s="414"/>
      <c r="AK8" s="39"/>
      <c r="AL8" s="39"/>
      <c r="AM8" s="365">
        <f>+AM7/AL7-1</f>
        <v>2.3005012368784383E-2</v>
      </c>
      <c r="AN8" s="365">
        <f t="shared" ref="AN8:BB8" si="40">+AN7/AM7-1</f>
        <v>6.8250978119113181E-2</v>
      </c>
      <c r="AO8" s="365">
        <f t="shared" si="40"/>
        <v>0.160438144329897</v>
      </c>
      <c r="AP8" s="365">
        <f t="shared" si="40"/>
        <v>0.13461088868757121</v>
      </c>
      <c r="AQ8" s="365">
        <f t="shared" si="40"/>
        <v>0.1408554999645848</v>
      </c>
      <c r="AR8" s="365">
        <f t="shared" si="40"/>
        <v>7.7132342980990698E-2</v>
      </c>
      <c r="AS8" s="365">
        <f>+AS7/AR7-1</f>
        <v>8.0291331694045898E-2</v>
      </c>
      <c r="AT8" s="365">
        <f t="shared" si="40"/>
        <v>9.6417802566981958E-2</v>
      </c>
      <c r="AU8" s="365">
        <f t="shared" si="40"/>
        <v>6.2909368595824189E-2</v>
      </c>
      <c r="AV8" s="365">
        <f t="shared" si="40"/>
        <v>6.2529642026553978E-2</v>
      </c>
      <c r="AW8" s="365">
        <f t="shared" si="40"/>
        <v>6.3260610460682543E-2</v>
      </c>
      <c r="AX8" s="365">
        <f t="shared" si="40"/>
        <v>6.3249901965572342E-2</v>
      </c>
      <c r="AY8" s="365">
        <f t="shared" si="40"/>
        <v>4.9845389211245594E-2</v>
      </c>
      <c r="AZ8" s="365">
        <f t="shared" si="40"/>
        <v>4.9906178065151297E-2</v>
      </c>
      <c r="BA8" s="365">
        <f t="shared" si="40"/>
        <v>5.0177123460639628E-2</v>
      </c>
      <c r="BB8" s="365">
        <f t="shared" si="40"/>
        <v>5.0356760469886019E-2</v>
      </c>
    </row>
    <row r="9" spans="1:199" x14ac:dyDescent="0.25">
      <c r="A9" t="s">
        <v>47</v>
      </c>
      <c r="B9" s="43">
        <f t="shared" ref="B9:U9" si="41">+B19+B28</f>
        <v>100438</v>
      </c>
      <c r="C9" s="43">
        <f t="shared" si="41"/>
        <v>104573</v>
      </c>
      <c r="D9" s="43">
        <f t="shared" si="41"/>
        <v>106243</v>
      </c>
      <c r="E9" s="43">
        <f t="shared" si="41"/>
        <v>106015</v>
      </c>
      <c r="F9" s="43">
        <f t="shared" si="41"/>
        <v>111306</v>
      </c>
      <c r="G9" s="43">
        <f t="shared" si="41"/>
        <v>109850</v>
      </c>
      <c r="H9" s="43">
        <f t="shared" si="41"/>
        <v>109787</v>
      </c>
      <c r="I9" s="43">
        <f t="shared" si="41"/>
        <v>108864</v>
      </c>
      <c r="J9" s="43">
        <f t="shared" si="41"/>
        <v>110847</v>
      </c>
      <c r="K9" s="43">
        <f t="shared" si="41"/>
        <v>112633</v>
      </c>
      <c r="L9" s="43">
        <f t="shared" si="41"/>
        <v>113352</v>
      </c>
      <c r="M9" s="43">
        <f t="shared" si="41"/>
        <v>115817</v>
      </c>
      <c r="N9" s="43">
        <f t="shared" si="41"/>
        <v>119356</v>
      </c>
      <c r="O9" s="43">
        <f t="shared" si="41"/>
        <v>121909</v>
      </c>
      <c r="P9" s="43">
        <f t="shared" si="41"/>
        <v>124352</v>
      </c>
      <c r="Q9" s="43">
        <f t="shared" si="41"/>
        <v>135100</v>
      </c>
      <c r="R9" s="43">
        <f t="shared" si="41"/>
        <v>141532</v>
      </c>
      <c r="S9" s="43">
        <f t="shared" si="41"/>
        <v>144917</v>
      </c>
      <c r="T9" s="43">
        <f t="shared" si="41"/>
        <v>149749</v>
      </c>
      <c r="U9" s="43">
        <f t="shared" si="41"/>
        <v>153248</v>
      </c>
      <c r="V9" s="43">
        <f>+V19+V28</f>
        <v>158609</v>
      </c>
      <c r="W9" s="43">
        <f t="shared" ref="W9" si="42">+W19+W28</f>
        <v>164127</v>
      </c>
      <c r="X9" s="43">
        <f>+X19+X28</f>
        <v>169116</v>
      </c>
      <c r="Y9" s="43">
        <f>+Y19+Y28</f>
        <v>174951</v>
      </c>
      <c r="Z9" s="43">
        <f>+Z19+Z28</f>
        <v>178506</v>
      </c>
      <c r="AA9" s="43">
        <f>+AA19+AA28</f>
        <v>180932</v>
      </c>
      <c r="AB9" s="43">
        <f>+AB19+AB28</f>
        <v>185036</v>
      </c>
      <c r="AC9" s="43">
        <f t="shared" ref="AC9:AG9" si="43">+AC19+AC28</f>
        <v>188396</v>
      </c>
      <c r="AD9" s="44">
        <f t="shared" si="43"/>
        <v>191206.49000000002</v>
      </c>
      <c r="AE9" s="44">
        <f t="shared" si="43"/>
        <v>193909.38</v>
      </c>
      <c r="AF9" s="44">
        <f t="shared" si="43"/>
        <v>202991.36000000004</v>
      </c>
      <c r="AG9" s="44">
        <f t="shared" si="43"/>
        <v>203501.18</v>
      </c>
      <c r="AH9" s="44"/>
      <c r="AI9" s="44">
        <v>189560.97000000003</v>
      </c>
      <c r="AJ9" s="44"/>
      <c r="AL9" s="43">
        <f>+SUMIFS($B9:AF9,$B$4:AF$4,"="&amp;AL$3)</f>
        <v>106015</v>
      </c>
      <c r="AM9" s="43">
        <f>+SUMIFS($B9:AG9,$B$4:AG$4,"="&amp;AM$3)</f>
        <v>108864</v>
      </c>
      <c r="AN9" s="43">
        <f>+SUMIFS($B9:AG9,$B$4:AG$4,"="&amp;AN$3)</f>
        <v>115817</v>
      </c>
      <c r="AO9" s="43">
        <f>+SUMIFS($B9:AG9,$B$4:AG$4,"="&amp;AO$3)</f>
        <v>135100</v>
      </c>
      <c r="AP9" s="43">
        <f>+SUMIFS($B9:AG9,$B$4:AG$4,"="&amp;AP$3)</f>
        <v>153248</v>
      </c>
      <c r="AQ9" s="43">
        <f>+SUMIFS($B9:AG9,$B$4:AG$4,"="&amp;AQ$3)</f>
        <v>174951</v>
      </c>
      <c r="AR9" s="43">
        <f>+SUMIFS($B9:AG9,$B$4:AG$4,"="&amp;AR$3)</f>
        <v>188396</v>
      </c>
      <c r="AS9" s="43">
        <f>+SUMIFS($B9:$AG9,$B$4:$AG$4,"="&amp;AS$3)</f>
        <v>203501.18</v>
      </c>
      <c r="AT9" s="44">
        <f>+AT19+AT28</f>
        <v>222959.31400000001</v>
      </c>
      <c r="AU9" s="44">
        <f t="shared" ref="AU9:BB9" si="44">+AU19+AU28</f>
        <v>236823.55244000006</v>
      </c>
      <c r="AV9" s="44">
        <f t="shared" si="44"/>
        <v>251586.52914640008</v>
      </c>
      <c r="AW9" s="44">
        <f t="shared" si="44"/>
        <v>267308.85681118409</v>
      </c>
      <c r="AX9" s="44">
        <f t="shared" si="44"/>
        <v>284055.45372745511</v>
      </c>
      <c r="AY9" s="44">
        <f t="shared" si="44"/>
        <v>298047.79522543558</v>
      </c>
      <c r="AZ9" s="44">
        <f t="shared" si="44"/>
        <v>312804.43869884964</v>
      </c>
      <c r="BA9" s="44">
        <f t="shared" si="44"/>
        <v>328373.24239739432</v>
      </c>
      <c r="BB9" s="44">
        <f t="shared" si="44"/>
        <v>344805.56465808314</v>
      </c>
    </row>
    <row r="10" spans="1:199" x14ac:dyDescent="0.25">
      <c r="A10" t="s">
        <v>48</v>
      </c>
      <c r="B10" s="43">
        <f t="shared" ref="B10:U10" si="45">+B42+B45</f>
        <v>1806</v>
      </c>
      <c r="C10" s="43">
        <f t="shared" si="45"/>
        <v>1771</v>
      </c>
      <c r="D10" s="43">
        <f t="shared" si="45"/>
        <v>1722</v>
      </c>
      <c r="E10" s="43">
        <f t="shared" si="45"/>
        <v>1918</v>
      </c>
      <c r="F10" s="43">
        <f t="shared" si="45"/>
        <v>2067</v>
      </c>
      <c r="G10" s="43">
        <f t="shared" si="45"/>
        <v>1719</v>
      </c>
      <c r="H10" s="43">
        <f t="shared" si="45"/>
        <v>1362</v>
      </c>
      <c r="I10" s="43">
        <f t="shared" si="45"/>
        <v>1552</v>
      </c>
      <c r="J10" s="43">
        <f t="shared" si="45"/>
        <v>1944</v>
      </c>
      <c r="K10" s="43">
        <f t="shared" si="45"/>
        <v>1836</v>
      </c>
      <c r="L10" s="43">
        <f t="shared" si="45"/>
        <v>1913</v>
      </c>
      <c r="M10" s="43">
        <f t="shared" si="45"/>
        <v>2135</v>
      </c>
      <c r="N10" s="43">
        <f t="shared" si="45"/>
        <v>1870</v>
      </c>
      <c r="O10" s="43">
        <f t="shared" si="45"/>
        <v>1642</v>
      </c>
      <c r="P10" s="43">
        <f t="shared" si="45"/>
        <v>1654</v>
      </c>
      <c r="Q10" s="43">
        <f t="shared" si="45"/>
        <v>1776</v>
      </c>
      <c r="R10" s="43">
        <f t="shared" si="45"/>
        <v>1766</v>
      </c>
      <c r="S10" s="43">
        <f t="shared" si="45"/>
        <v>1923</v>
      </c>
      <c r="T10" s="43">
        <f t="shared" si="45"/>
        <v>2026</v>
      </c>
      <c r="U10" s="43">
        <f t="shared" si="45"/>
        <v>2053</v>
      </c>
      <c r="V10" s="43">
        <f>+V42+V45</f>
        <v>2037</v>
      </c>
      <c r="W10" s="43">
        <f t="shared" ref="W10" si="46">+W42+W45</f>
        <v>2155</v>
      </c>
      <c r="X10" s="43">
        <f>+X42+X45</f>
        <v>2117</v>
      </c>
      <c r="Y10" s="43">
        <f>+Y42+Y45</f>
        <v>2225</v>
      </c>
      <c r="Z10" s="43">
        <f>+Z42+Z45</f>
        <v>2480</v>
      </c>
      <c r="AA10" s="43">
        <f>+AA42+AA45</f>
        <v>2790</v>
      </c>
      <c r="AB10" s="43">
        <f>+AB42+AB45</f>
        <v>3064</v>
      </c>
      <c r="AC10" s="43">
        <f t="shared" ref="AC10:AG10" si="47">+AC56</f>
        <v>2446</v>
      </c>
      <c r="AD10" s="44">
        <f t="shared" si="47"/>
        <v>2498.1248779211137</v>
      </c>
      <c r="AE10" s="44">
        <f t="shared" si="47"/>
        <v>2579.6556828636567</v>
      </c>
      <c r="AF10" s="44">
        <f t="shared" si="47"/>
        <v>2622.3429023363328</v>
      </c>
      <c r="AG10" s="44">
        <f t="shared" si="47"/>
        <v>2663.7783231550884</v>
      </c>
      <c r="AH10" s="44"/>
      <c r="AI10" s="44">
        <v>3297.9860000000003</v>
      </c>
      <c r="AJ10" s="44"/>
      <c r="AL10" s="43">
        <f>+SUMIFS($B10:AF10,$B$4:AF$4,"="&amp;AL$3)</f>
        <v>1918</v>
      </c>
      <c r="AM10" s="43">
        <f>+SUMIFS($B10:AG10,$B$4:AG$4,"="&amp;AM$3)</f>
        <v>1552</v>
      </c>
      <c r="AN10" s="43">
        <f>+SUMIFS($B10:AG10,$B$4:AG$4,"="&amp;AN$3)</f>
        <v>2135</v>
      </c>
      <c r="AO10" s="43">
        <f>+SUMIFS($B10:AG10,$B$4:AG$4,"="&amp;AO$3)</f>
        <v>1776</v>
      </c>
      <c r="AP10" s="43">
        <f>+SUMIFS($B10:AG10,$B$4:AG$4,"="&amp;AP$3)</f>
        <v>2053</v>
      </c>
      <c r="AQ10" s="43">
        <f>+SUMIFS($B10:AG10,$B$4:AG$4,"="&amp;AQ$3)</f>
        <v>2225</v>
      </c>
      <c r="AR10" s="43">
        <f>+SUMIFS($B10:AG10,$B$4:AG$4,"="&amp;AR$3)</f>
        <v>2446</v>
      </c>
      <c r="AS10" s="43">
        <f>+SUMIFS($B10:$AG10,$B$4:$AG$4,"="&amp;AS$3)</f>
        <v>2663.7783231550884</v>
      </c>
      <c r="AT10" s="44">
        <f t="shared" ref="AT10:BB10" si="48">+AT56</f>
        <v>3083.6165709871375</v>
      </c>
      <c r="AU10" s="44">
        <f t="shared" si="48"/>
        <v>3439.5961687576141</v>
      </c>
      <c r="AV10" s="44">
        <f t="shared" si="48"/>
        <v>3700.1881370359342</v>
      </c>
      <c r="AW10" s="44">
        <f t="shared" si="48"/>
        <v>4127.4540501057818</v>
      </c>
      <c r="AX10" s="44">
        <f t="shared" si="48"/>
        <v>4549.1771857079693</v>
      </c>
      <c r="AY10" s="44">
        <f t="shared" si="48"/>
        <v>4942.4458437619378</v>
      </c>
      <c r="AZ10" s="44">
        <f t="shared" si="48"/>
        <v>5306.8872931504193</v>
      </c>
      <c r="BA10" s="44">
        <f t="shared" si="48"/>
        <v>5699.9948731340573</v>
      </c>
      <c r="BB10" s="44">
        <f t="shared" si="48"/>
        <v>6090.5186010766083</v>
      </c>
    </row>
    <row r="11" spans="1:199" x14ac:dyDescent="0.25">
      <c r="B11" s="43"/>
      <c r="C11" s="43"/>
      <c r="D11" s="43"/>
      <c r="E11" s="43"/>
      <c r="F11" s="43"/>
      <c r="G11" s="43"/>
      <c r="H11" s="43"/>
      <c r="I11" s="43"/>
      <c r="J11" s="43"/>
      <c r="K11" s="43"/>
      <c r="L11" s="43"/>
      <c r="M11" s="43"/>
      <c r="N11" s="43"/>
      <c r="O11" s="43"/>
      <c r="P11" s="43"/>
      <c r="Q11" s="43"/>
      <c r="R11" s="43"/>
      <c r="S11" s="43"/>
      <c r="T11" s="43"/>
      <c r="U11" s="43"/>
      <c r="V11" s="43"/>
      <c r="W11" s="43"/>
      <c r="X11" s="43"/>
      <c r="Y11" s="43"/>
      <c r="Z11" s="43"/>
      <c r="AA11" s="43"/>
      <c r="AB11" s="43"/>
      <c r="AC11" s="43"/>
      <c r="AL11" s="43"/>
      <c r="AM11" s="43"/>
      <c r="AN11" s="43"/>
      <c r="AO11" s="43"/>
      <c r="AP11" s="43"/>
      <c r="AQ11" s="43"/>
      <c r="AR11" s="43"/>
      <c r="AS11" s="43"/>
    </row>
    <row r="12" spans="1:199" s="42" customFormat="1" x14ac:dyDescent="0.25">
      <c r="A12" s="2" t="s">
        <v>49</v>
      </c>
      <c r="B12" s="341">
        <f t="shared" ref="B12:V12" si="49">-B69</f>
        <v>-2187</v>
      </c>
      <c r="C12" s="341">
        <f t="shared" si="49"/>
        <v>-2319</v>
      </c>
      <c r="D12" s="341">
        <f t="shared" si="49"/>
        <v>-2231</v>
      </c>
      <c r="E12" s="341">
        <f t="shared" si="49"/>
        <v>-2342</v>
      </c>
      <c r="F12" s="341">
        <f t="shared" si="49"/>
        <v>-2447</v>
      </c>
      <c r="G12" s="341">
        <f t="shared" si="49"/>
        <v>-2369</v>
      </c>
      <c r="H12" s="341">
        <f t="shared" si="49"/>
        <v>-2307</v>
      </c>
      <c r="I12" s="341">
        <f t="shared" si="49"/>
        <v>-2626</v>
      </c>
      <c r="J12" s="341">
        <f t="shared" si="49"/>
        <v>-2773</v>
      </c>
      <c r="K12" s="341">
        <f t="shared" si="49"/>
        <v>-2643</v>
      </c>
      <c r="L12" s="341">
        <f t="shared" si="49"/>
        <v>-2739</v>
      </c>
      <c r="M12" s="341">
        <f t="shared" si="49"/>
        <v>-2827</v>
      </c>
      <c r="N12" s="341">
        <f t="shared" si="49"/>
        <v>-3051</v>
      </c>
      <c r="O12" s="341">
        <f t="shared" si="49"/>
        <v>-2818</v>
      </c>
      <c r="P12" s="341">
        <f t="shared" si="49"/>
        <v>-2861</v>
      </c>
      <c r="Q12" s="341">
        <f t="shared" si="49"/>
        <v>-3055</v>
      </c>
      <c r="R12" s="341">
        <f t="shared" si="49"/>
        <v>-3219</v>
      </c>
      <c r="S12" s="341">
        <f t="shared" si="49"/>
        <v>-3375</v>
      </c>
      <c r="T12" s="341">
        <f t="shared" si="49"/>
        <v>-3484</v>
      </c>
      <c r="U12" s="341">
        <f t="shared" si="49"/>
        <v>-3426</v>
      </c>
      <c r="V12" s="341">
        <f t="shared" si="49"/>
        <v>-3540</v>
      </c>
      <c r="W12" s="341">
        <f t="shared" ref="W12:AB12" si="50">-W69</f>
        <v>-3619</v>
      </c>
      <c r="X12" s="341">
        <f t="shared" si="50"/>
        <v>-3593</v>
      </c>
      <c r="Y12" s="341">
        <f t="shared" si="50"/>
        <v>-3653</v>
      </c>
      <c r="Z12" s="341">
        <f t="shared" si="50"/>
        <v>-3737</v>
      </c>
      <c r="AA12" s="341">
        <f t="shared" si="50"/>
        <v>-3906</v>
      </c>
      <c r="AB12" s="341">
        <f t="shared" si="50"/>
        <v>-3990</v>
      </c>
      <c r="AC12" s="341">
        <f t="shared" ref="AC12:AF12" si="51">-AC69</f>
        <v>-3731</v>
      </c>
      <c r="AD12" s="549">
        <f t="shared" si="51"/>
        <v>-3805.4369832846496</v>
      </c>
      <c r="AE12" s="549">
        <f t="shared" si="51"/>
        <v>-3931.0836208713808</v>
      </c>
      <c r="AF12" s="549">
        <f t="shared" si="51"/>
        <v>-4051.9039137585105</v>
      </c>
      <c r="AG12" s="549">
        <f>-AG69</f>
        <v>-4189.5449809695974</v>
      </c>
      <c r="AH12" s="549"/>
      <c r="AI12" s="549">
        <v>-4049.3953428571431</v>
      </c>
      <c r="AJ12" s="485">
        <f>+AB12/AI12-1</f>
        <v>-1.4667706614991838E-2</v>
      </c>
      <c r="AL12" s="341">
        <f>+SUMIFS($B12:AF12,$B$4:AF$4,"="&amp;AL$3)</f>
        <v>-2342</v>
      </c>
      <c r="AM12" s="341">
        <f>+SUMIFS($B12:AG12,$B$4:AG$4,"="&amp;AM$3)</f>
        <v>-2626</v>
      </c>
      <c r="AN12" s="341">
        <f>+SUMIFS($B12:AG12,$B$4:AG$4,"="&amp;AN$3)</f>
        <v>-2827</v>
      </c>
      <c r="AO12" s="341">
        <f>+SUMIFS($B12:AG12,$B$4:AG$4,"="&amp;AO$3)</f>
        <v>-3055</v>
      </c>
      <c r="AP12" s="341">
        <f>+SUMIFS($B12:AG12,$B$4:AG$4,"="&amp;AP$3)</f>
        <v>-3426</v>
      </c>
      <c r="AQ12" s="341">
        <f>+SUMIFS($B12:AG12,$B$4:AG$4,"="&amp;AQ$3)</f>
        <v>-3653</v>
      </c>
      <c r="AR12" s="341">
        <f>+SUMIFS($B12:AG12,$B$4:AG$4,"="&amp;AR$3)</f>
        <v>-3731</v>
      </c>
      <c r="AS12" s="341">
        <f>+SUMIFS($B12:$AG12,$B$4:$AG$4,"="&amp;AS$3)</f>
        <v>-4189.5449809695974</v>
      </c>
      <c r="AT12" s="549">
        <f t="shared" ref="AT12:BB12" si="52">-AT69</f>
        <v>-4435.9287122837968</v>
      </c>
      <c r="AU12" s="549">
        <f t="shared" si="52"/>
        <v>-4541.1929555823281</v>
      </c>
      <c r="AV12" s="549">
        <f t="shared" si="52"/>
        <v>-4543.1389710280291</v>
      </c>
      <c r="AW12" s="549">
        <f t="shared" si="52"/>
        <v>-4591.5907151619913</v>
      </c>
      <c r="AX12" s="549">
        <f t="shared" si="52"/>
        <v>-4465.692145584002</v>
      </c>
      <c r="AY12" s="549">
        <f t="shared" si="52"/>
        <v>-4213.4180265913128</v>
      </c>
      <c r="AZ12" s="549">
        <f t="shared" si="52"/>
        <v>-3844.711142460721</v>
      </c>
      <c r="BA12" s="549">
        <f t="shared" si="52"/>
        <v>-3389.8960517732617</v>
      </c>
      <c r="BB12" s="549">
        <f t="shared" si="52"/>
        <v>-2813.0215830648285</v>
      </c>
    </row>
    <row r="13" spans="1:199" x14ac:dyDescent="0.25">
      <c r="A13" t="s">
        <v>50</v>
      </c>
      <c r="B13" s="45">
        <v>305</v>
      </c>
      <c r="C13" s="45">
        <v>459</v>
      </c>
      <c r="D13" s="45">
        <v>257</v>
      </c>
      <c r="E13" s="45">
        <v>186</v>
      </c>
      <c r="F13" s="45">
        <v>182</v>
      </c>
      <c r="G13" s="45">
        <v>180</v>
      </c>
      <c r="H13" s="45">
        <v>198</v>
      </c>
      <c r="I13" s="45">
        <v>195</v>
      </c>
      <c r="J13" s="45">
        <v>188</v>
      </c>
      <c r="K13" s="45">
        <v>182</v>
      </c>
      <c r="L13" s="45">
        <v>174</v>
      </c>
      <c r="M13" s="45">
        <v>93</v>
      </c>
      <c r="N13" s="45">
        <v>91</v>
      </c>
      <c r="O13" s="45">
        <v>89</v>
      </c>
      <c r="P13" s="45">
        <v>53</v>
      </c>
      <c r="Q13" s="45">
        <v>52</v>
      </c>
      <c r="R13" s="45">
        <v>51</v>
      </c>
      <c r="S13" s="45">
        <v>46</v>
      </c>
      <c r="T13" s="45">
        <v>45</v>
      </c>
      <c r="U13" s="45">
        <v>44</v>
      </c>
      <c r="V13" s="45">
        <v>43</v>
      </c>
      <c r="W13" s="45">
        <v>42</v>
      </c>
      <c r="X13" s="45">
        <v>41</v>
      </c>
      <c r="Y13" s="45">
        <v>40</v>
      </c>
      <c r="Z13" s="45">
        <v>39</v>
      </c>
      <c r="AA13" s="45">
        <v>38</v>
      </c>
      <c r="AB13" s="45">
        <v>38</v>
      </c>
      <c r="AC13" s="45">
        <v>36</v>
      </c>
      <c r="AD13" s="46">
        <f t="shared" ref="AD13:AG13" si="53">+AC13</f>
        <v>36</v>
      </c>
      <c r="AE13" s="46">
        <f t="shared" si="53"/>
        <v>36</v>
      </c>
      <c r="AF13" s="46">
        <f t="shared" si="53"/>
        <v>36</v>
      </c>
      <c r="AG13" s="46">
        <f t="shared" si="53"/>
        <v>36</v>
      </c>
      <c r="AH13" s="46"/>
      <c r="AI13" s="46">
        <v>38</v>
      </c>
      <c r="AJ13" s="46"/>
      <c r="AL13" s="45">
        <f>+SUMIFS($B13:AF13,$B$4:AF$4,"="&amp;AL$3)</f>
        <v>186</v>
      </c>
      <c r="AM13" s="45">
        <f>+SUMIFS($B13:AG13,$B$4:AG$4,"="&amp;AM$3)</f>
        <v>195</v>
      </c>
      <c r="AN13" s="45">
        <f>+SUMIFS($B13:AG13,$B$4:AG$4,"="&amp;AN$3)</f>
        <v>93</v>
      </c>
      <c r="AO13" s="45">
        <f>+SUMIFS($B13:AG13,$B$4:AG$4,"="&amp;AO$3)</f>
        <v>52</v>
      </c>
      <c r="AP13" s="45">
        <f>+SUMIFS($B13:AG13,$B$4:AG$4,"="&amp;AP$3)</f>
        <v>44</v>
      </c>
      <c r="AQ13" s="45">
        <f>+SUMIFS($B13:AG13,$B$4:AG$4,"="&amp;AQ$3)</f>
        <v>40</v>
      </c>
      <c r="AR13" s="45">
        <f>+SUMIFS($B13:AG13,$B$4:AG$4,"="&amp;AR$3)</f>
        <v>36</v>
      </c>
      <c r="AS13" s="45">
        <f>+SUMIFS($B13:$AG13,$B$4:$AG$4,"="&amp;AS$3)</f>
        <v>36</v>
      </c>
      <c r="AT13" s="46">
        <v>45</v>
      </c>
      <c r="AU13" s="46">
        <v>45</v>
      </c>
      <c r="AV13" s="46">
        <v>45</v>
      </c>
      <c r="AW13" s="46">
        <v>45</v>
      </c>
      <c r="AX13" s="46">
        <v>45</v>
      </c>
      <c r="AY13" s="46">
        <v>45</v>
      </c>
      <c r="AZ13" s="46">
        <v>45</v>
      </c>
      <c r="BA13" s="46">
        <v>45</v>
      </c>
      <c r="BB13" s="46">
        <v>45</v>
      </c>
    </row>
    <row r="14" spans="1:199" x14ac:dyDescent="0.25">
      <c r="A14" t="s">
        <v>51</v>
      </c>
      <c r="B14" s="45"/>
      <c r="C14" s="45"/>
      <c r="D14" s="45"/>
      <c r="E14" s="45"/>
      <c r="F14" s="45"/>
      <c r="G14" s="45"/>
      <c r="H14" s="45"/>
      <c r="I14" s="45"/>
      <c r="J14" s="45"/>
      <c r="K14" s="45"/>
      <c r="L14" s="45"/>
      <c r="M14" s="45"/>
      <c r="N14" s="45">
        <v>240</v>
      </c>
      <c r="O14" s="45">
        <v>229</v>
      </c>
      <c r="P14" s="45">
        <v>252</v>
      </c>
      <c r="Q14" s="45">
        <v>221</v>
      </c>
      <c r="R14" s="45">
        <v>114</v>
      </c>
      <c r="S14" s="45">
        <v>170</v>
      </c>
      <c r="T14" s="45">
        <v>238</v>
      </c>
      <c r="U14" s="45">
        <v>252</v>
      </c>
      <c r="V14" s="45">
        <v>280</v>
      </c>
      <c r="W14" s="45">
        <v>313</v>
      </c>
      <c r="X14" s="45">
        <v>332</v>
      </c>
      <c r="Y14" s="45">
        <v>552</v>
      </c>
      <c r="Z14" s="45">
        <v>597</v>
      </c>
      <c r="AA14" s="45">
        <v>634</v>
      </c>
      <c r="AB14" s="45">
        <v>671</v>
      </c>
      <c r="AC14" s="45">
        <v>731</v>
      </c>
      <c r="AD14" s="46">
        <f t="shared" ref="AD14:AG14" si="54">+AC14</f>
        <v>731</v>
      </c>
      <c r="AE14" s="46">
        <f t="shared" si="54"/>
        <v>731</v>
      </c>
      <c r="AF14" s="46">
        <f t="shared" si="54"/>
        <v>731</v>
      </c>
      <c r="AG14" s="46">
        <f t="shared" si="54"/>
        <v>731</v>
      </c>
      <c r="AH14" s="46"/>
      <c r="AI14" s="46">
        <v>671</v>
      </c>
      <c r="AJ14" s="46"/>
      <c r="AL14" s="45">
        <f>+SUMIFS($B14:AF14,$B$4:AF$4,"="&amp;AL$3)</f>
        <v>0</v>
      </c>
      <c r="AM14" s="45">
        <f>+SUMIFS($B14:AG14,$B$4:AG$4,"="&amp;AM$3)</f>
        <v>0</v>
      </c>
      <c r="AN14" s="45">
        <f>+SUMIFS($B14:AG14,$B$4:AG$4,"="&amp;AN$3)</f>
        <v>0</v>
      </c>
      <c r="AO14" s="45">
        <f>+SUMIFS($B14:AG14,$B$4:AG$4,"="&amp;AO$3)</f>
        <v>221</v>
      </c>
      <c r="AP14" s="45">
        <f>+SUMIFS($B14:AG14,$B$4:AG$4,"="&amp;AP$3)</f>
        <v>252</v>
      </c>
      <c r="AQ14" s="45">
        <f>+SUMIFS($B14:AG14,$B$4:AG$4,"="&amp;AQ$3)</f>
        <v>552</v>
      </c>
      <c r="AR14" s="45">
        <f>+SUMIFS($B14:AG14,$B$4:AG$4,"="&amp;AR$3)</f>
        <v>731</v>
      </c>
      <c r="AS14" s="45">
        <f>+SUMIFS($B14:$AG14,$B$4:$AG$4,"="&amp;AS$3)</f>
        <v>731</v>
      </c>
      <c r="AT14" s="46">
        <v>275</v>
      </c>
      <c r="AU14" s="46">
        <v>275</v>
      </c>
      <c r="AV14" s="46">
        <v>275</v>
      </c>
      <c r="AW14" s="46">
        <v>275</v>
      </c>
      <c r="AX14" s="46">
        <v>275</v>
      </c>
      <c r="AY14" s="46">
        <v>275</v>
      </c>
      <c r="AZ14" s="46">
        <v>275</v>
      </c>
      <c r="BA14" s="46">
        <v>275</v>
      </c>
      <c r="BB14" s="46">
        <v>275</v>
      </c>
    </row>
    <row r="15" spans="1:199" s="42" customFormat="1" x14ac:dyDescent="0.25">
      <c r="A15" s="2"/>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L15" s="43"/>
      <c r="AM15" s="43"/>
      <c r="AN15" s="43"/>
      <c r="AO15" s="43"/>
      <c r="AP15" s="43"/>
      <c r="AQ15" s="73">
        <f>+AQ5/AP5-1</f>
        <v>0.14420618908990535</v>
      </c>
      <c r="AR15" s="73">
        <f>+AR5/AQ5-1</f>
        <v>7.9045458461361795E-2</v>
      </c>
      <c r="AS15" s="73">
        <f>+AS5/AR5-1</f>
        <v>7.9117370539315335E-2</v>
      </c>
    </row>
    <row r="16" spans="1:199" s="42" customFormat="1" x14ac:dyDescent="0.25">
      <c r="A16" s="8" t="s">
        <v>52</v>
      </c>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I16" s="47"/>
      <c r="AK16" s="47"/>
      <c r="AL16" s="47"/>
      <c r="AM16" s="47"/>
      <c r="AN16" s="47"/>
      <c r="AO16" s="47"/>
      <c r="AP16" s="47"/>
      <c r="AQ16" s="47"/>
      <c r="AR16" s="47"/>
      <c r="AS16" s="47"/>
      <c r="AT16" s="47"/>
      <c r="AU16" s="47"/>
      <c r="AV16" s="47"/>
      <c r="AW16" s="47"/>
      <c r="AX16" s="47"/>
      <c r="AY16" s="47"/>
      <c r="AZ16" s="47"/>
      <c r="BA16" s="47"/>
      <c r="BB16" s="47"/>
    </row>
    <row r="17" spans="1:54" x14ac:dyDescent="0.25">
      <c r="A17" s="19" t="s">
        <v>53</v>
      </c>
      <c r="B17" s="48">
        <v>10648</v>
      </c>
      <c r="C17" s="48">
        <v>10920</v>
      </c>
      <c r="D17" s="48">
        <v>10998</v>
      </c>
      <c r="E17" s="48">
        <v>11144</v>
      </c>
      <c r="F17" s="48">
        <v>11061</v>
      </c>
      <c r="G17" s="48">
        <v>11046</v>
      </c>
      <c r="H17" s="48">
        <v>11272</v>
      </c>
      <c r="I17" s="48">
        <v>11218</v>
      </c>
      <c r="J17" s="48">
        <v>11186</v>
      </c>
      <c r="K17" s="48">
        <v>11319</v>
      </c>
      <c r="L17" s="48">
        <v>11382</v>
      </c>
      <c r="M17" s="48">
        <v>11513</v>
      </c>
      <c r="N17" s="48">
        <v>11647</v>
      </c>
      <c r="O17" s="48">
        <v>11814</v>
      </c>
      <c r="P17" s="48">
        <v>12255</v>
      </c>
      <c r="Q17" s="48">
        <v>12778</v>
      </c>
      <c r="R17" s="48">
        <v>13139</v>
      </c>
      <c r="S17" s="48">
        <v>13678</v>
      </c>
      <c r="T17" s="48">
        <v>14056</v>
      </c>
      <c r="U17" s="48">
        <v>14526</v>
      </c>
      <c r="V17" s="48">
        <f>14270+516</f>
        <v>14786</v>
      </c>
      <c r="W17" s="48">
        <f>14842+517</f>
        <v>15359</v>
      </c>
      <c r="X17" s="48">
        <f>488+15236</f>
        <v>15724</v>
      </c>
      <c r="Y17" s="48">
        <f>15585+533</f>
        <v>16118</v>
      </c>
      <c r="Z17" s="48">
        <f>15844+543</f>
        <v>16387</v>
      </c>
      <c r="AA17" s="48">
        <f>16086+589</f>
        <v>16675</v>
      </c>
      <c r="AB17" s="48">
        <f>16515+566</f>
        <v>17081</v>
      </c>
      <c r="AC17" s="48">
        <f>16802+532</f>
        <v>17334</v>
      </c>
      <c r="AD17" s="49">
        <f t="shared" ref="AD17:AD18" si="55">+Z17*(1+AD21)</f>
        <v>17697.960000000003</v>
      </c>
      <c r="AE17" s="49">
        <f t="shared" ref="AE17:AE18" si="56">+AA17*(1+AE21)</f>
        <v>18009</v>
      </c>
      <c r="AF17" s="49">
        <f t="shared" ref="AF17:AF18" si="57">+AB17*(1+AF21)</f>
        <v>18447.48</v>
      </c>
      <c r="AG17" s="49">
        <f t="shared" ref="AG17:AG18" si="58">+AC17*(1+AG21)</f>
        <v>18720.72</v>
      </c>
      <c r="AH17" s="415"/>
      <c r="AI17" s="49">
        <v>17407.440000000002</v>
      </c>
      <c r="AJ17" s="415"/>
      <c r="AK17" s="50"/>
      <c r="AL17" s="48">
        <f>+SUMIFS($B17:AF17,$B$4:AF$4,"="&amp;AL$3)</f>
        <v>11144</v>
      </c>
      <c r="AM17" s="48">
        <f>+SUMIFS($B17:AG17,$B$4:AG$4,"="&amp;AM$3)</f>
        <v>11218</v>
      </c>
      <c r="AN17" s="48">
        <f>+SUMIFS($B17:AG17,$B$4:AG$4,"="&amp;AN$3)</f>
        <v>11513</v>
      </c>
      <c r="AO17" s="48">
        <f>+SUMIFS($B17:AG17,$B$4:AG$4,"="&amp;AO$3)</f>
        <v>12778</v>
      </c>
      <c r="AP17" s="48">
        <f>+SUMIFS($B17:AG17,$B$4:AG$4,"="&amp;AP$3)</f>
        <v>14526</v>
      </c>
      <c r="AQ17" s="48">
        <f>+SUMIFS($B17:AG17,$B$4:AG$4,"="&amp;AQ$3)</f>
        <v>16118</v>
      </c>
      <c r="AR17" s="48">
        <f>+SUMIFS($B17:AG17,$B$4:AG$4,"="&amp;AR$3)</f>
        <v>17334</v>
      </c>
      <c r="AS17" s="48">
        <f>+SUMIFS($B17:$AG17,$B$4:$AG$4,"="&amp;AS$3)</f>
        <v>18720.72</v>
      </c>
      <c r="AT17" s="49">
        <f>+AS17*(1+AT21)</f>
        <v>20218.377600000003</v>
      </c>
      <c r="AU17" s="49">
        <f t="shared" ref="AU17:BB17" si="59">+AT17*(1+AU21)</f>
        <v>21431.480256000006</v>
      </c>
      <c r="AV17" s="49">
        <f t="shared" si="59"/>
        <v>22717.369071360008</v>
      </c>
      <c r="AW17" s="49">
        <f t="shared" si="59"/>
        <v>24080.411215641609</v>
      </c>
      <c r="AX17" s="49">
        <f t="shared" si="59"/>
        <v>25525.235888580108</v>
      </c>
      <c r="AY17" s="49">
        <f t="shared" si="59"/>
        <v>26673.87150356621</v>
      </c>
      <c r="AZ17" s="49">
        <f t="shared" si="59"/>
        <v>27874.195721226686</v>
      </c>
      <c r="BA17" s="49">
        <f t="shared" si="59"/>
        <v>29128.534528681885</v>
      </c>
      <c r="BB17" s="49">
        <f t="shared" si="59"/>
        <v>30439.318582472566</v>
      </c>
    </row>
    <row r="18" spans="1:54" x14ac:dyDescent="0.25">
      <c r="A18" s="19" t="s">
        <v>54</v>
      </c>
      <c r="B18" s="48">
        <v>3785</v>
      </c>
      <c r="C18" s="48">
        <v>4148</v>
      </c>
      <c r="D18" s="48">
        <v>4415</v>
      </c>
      <c r="E18" s="48">
        <v>4609</v>
      </c>
      <c r="F18" s="48">
        <v>4757</v>
      </c>
      <c r="G18" s="48">
        <v>4668</v>
      </c>
      <c r="H18" s="48">
        <v>5001</v>
      </c>
      <c r="I18" s="48">
        <v>5229</v>
      </c>
      <c r="J18" s="48">
        <v>5353</v>
      </c>
      <c r="K18" s="48">
        <v>5637</v>
      </c>
      <c r="L18" s="48">
        <v>5978</v>
      </c>
      <c r="M18" s="48">
        <v>6412</v>
      </c>
      <c r="N18" s="48">
        <v>6861</v>
      </c>
      <c r="O18" s="48">
        <v>7423</v>
      </c>
      <c r="P18" s="48">
        <v>8101</v>
      </c>
      <c r="Q18" s="48">
        <v>9472</v>
      </c>
      <c r="R18" s="48">
        <v>10147</v>
      </c>
      <c r="S18" s="48">
        <v>11076</v>
      </c>
      <c r="T18" s="48">
        <v>11500</v>
      </c>
      <c r="U18" s="48">
        <v>11801</v>
      </c>
      <c r="V18" s="48">
        <f>11355+328</f>
        <v>11683</v>
      </c>
      <c r="W18" s="48">
        <f>338+11478</f>
        <v>11816</v>
      </c>
      <c r="X18" s="48">
        <f>316+11699</f>
        <v>12015</v>
      </c>
      <c r="Y18" s="48">
        <f>12069+314</f>
        <v>12383</v>
      </c>
      <c r="Z18" s="48">
        <f>12129+331</f>
        <v>12460</v>
      </c>
      <c r="AA18" s="48">
        <f>12599+326</f>
        <v>12925</v>
      </c>
      <c r="AB18" s="48">
        <f>12935+341</f>
        <v>13276</v>
      </c>
      <c r="AC18" s="48">
        <f>13475+344</f>
        <v>13819</v>
      </c>
      <c r="AD18" s="49">
        <f t="shared" si="55"/>
        <v>13332.2</v>
      </c>
      <c r="AE18" s="49">
        <f t="shared" si="56"/>
        <v>13959.000000000002</v>
      </c>
      <c r="AF18" s="49">
        <f t="shared" si="57"/>
        <v>14603.6</v>
      </c>
      <c r="AG18" s="49">
        <f t="shared" si="58"/>
        <v>15200.900000000001</v>
      </c>
      <c r="AH18" s="415"/>
      <c r="AI18" s="49">
        <v>13373.640000000001</v>
      </c>
      <c r="AJ18" s="415"/>
      <c r="AK18" s="50"/>
      <c r="AL18" s="48">
        <f>+SUMIFS($B18:AF18,$B$4:AF$4,"="&amp;AL$3)</f>
        <v>4609</v>
      </c>
      <c r="AM18" s="48">
        <f>+SUMIFS($B18:AG18,$B$4:AG$4,"="&amp;AM$3)</f>
        <v>5229</v>
      </c>
      <c r="AN18" s="48">
        <f>+SUMIFS($B18:AG18,$B$4:AG$4,"="&amp;AN$3)</f>
        <v>6412</v>
      </c>
      <c r="AO18" s="48">
        <f>+SUMIFS($B18:AG18,$B$4:AG$4,"="&amp;AO$3)</f>
        <v>9472</v>
      </c>
      <c r="AP18" s="48">
        <f>+SUMIFS($B18:AG18,$B$4:AG$4,"="&amp;AP$3)</f>
        <v>11801</v>
      </c>
      <c r="AQ18" s="48">
        <f>+SUMIFS($B18:AG18,$B$4:AG$4,"="&amp;AQ$3)</f>
        <v>12383</v>
      </c>
      <c r="AR18" s="48">
        <f>+SUMIFS($B18:AG18,$B$4:AG$4,"="&amp;AR$3)</f>
        <v>13819</v>
      </c>
      <c r="AS18" s="48">
        <f>+SUMIFS($B18:$AG18,$B$4:$AG$4,"="&amp;AS$3)</f>
        <v>15200.900000000001</v>
      </c>
      <c r="AT18" s="49">
        <f>+AS18*(1+AT22)</f>
        <v>16720.990000000002</v>
      </c>
      <c r="AU18" s="49">
        <f t="shared" ref="AU18:BB18" si="60">+AT18*(1+AU22)</f>
        <v>18393.089000000004</v>
      </c>
      <c r="AV18" s="49">
        <f t="shared" si="60"/>
        <v>20232.397900000007</v>
      </c>
      <c r="AW18" s="49">
        <f t="shared" si="60"/>
        <v>22255.63769000001</v>
      </c>
      <c r="AX18" s="49">
        <f t="shared" si="60"/>
        <v>24481.201459000014</v>
      </c>
      <c r="AY18" s="49">
        <f t="shared" si="60"/>
        <v>26929.321604900018</v>
      </c>
      <c r="AZ18" s="49">
        <f t="shared" si="60"/>
        <v>29622.253765390022</v>
      </c>
      <c r="BA18" s="49">
        <f t="shared" si="60"/>
        <v>32584.479141929027</v>
      </c>
      <c r="BB18" s="49">
        <f t="shared" si="60"/>
        <v>35842.927056121931</v>
      </c>
    </row>
    <row r="19" spans="1:54" s="42" customFormat="1" x14ac:dyDescent="0.25">
      <c r="A19" s="8" t="s">
        <v>55</v>
      </c>
      <c r="B19" s="51">
        <f>+B17+B18</f>
        <v>14433</v>
      </c>
      <c r="C19" s="51">
        <f t="shared" ref="C19:AG19" si="61">+C17+C18</f>
        <v>15068</v>
      </c>
      <c r="D19" s="51">
        <f t="shared" si="61"/>
        <v>15413</v>
      </c>
      <c r="E19" s="51">
        <f t="shared" si="61"/>
        <v>15753</v>
      </c>
      <c r="F19" s="51">
        <f t="shared" si="61"/>
        <v>15818</v>
      </c>
      <c r="G19" s="51">
        <f t="shared" si="61"/>
        <v>15714</v>
      </c>
      <c r="H19" s="51">
        <f t="shared" si="61"/>
        <v>16273</v>
      </c>
      <c r="I19" s="51">
        <f t="shared" si="61"/>
        <v>16447</v>
      </c>
      <c r="J19" s="51">
        <f t="shared" si="61"/>
        <v>16539</v>
      </c>
      <c r="K19" s="51">
        <f t="shared" si="61"/>
        <v>16956</v>
      </c>
      <c r="L19" s="51">
        <f t="shared" si="61"/>
        <v>17360</v>
      </c>
      <c r="M19" s="51">
        <f t="shared" si="61"/>
        <v>17925</v>
      </c>
      <c r="N19" s="51">
        <f t="shared" si="61"/>
        <v>18508</v>
      </c>
      <c r="O19" s="51">
        <f t="shared" si="61"/>
        <v>19237</v>
      </c>
      <c r="P19" s="51">
        <f t="shared" si="61"/>
        <v>20356</v>
      </c>
      <c r="Q19" s="51">
        <f t="shared" si="61"/>
        <v>22250</v>
      </c>
      <c r="R19" s="51">
        <f t="shared" si="61"/>
        <v>23286</v>
      </c>
      <c r="S19" s="51">
        <f t="shared" si="61"/>
        <v>24754</v>
      </c>
      <c r="T19" s="51">
        <f t="shared" si="61"/>
        <v>25556</v>
      </c>
      <c r="U19" s="51">
        <f t="shared" si="61"/>
        <v>26327</v>
      </c>
      <c r="V19" s="51">
        <f t="shared" si="61"/>
        <v>26469</v>
      </c>
      <c r="W19" s="51">
        <f t="shared" si="61"/>
        <v>27175</v>
      </c>
      <c r="X19" s="51">
        <f t="shared" si="61"/>
        <v>27739</v>
      </c>
      <c r="Y19" s="51">
        <f t="shared" si="61"/>
        <v>28501</v>
      </c>
      <c r="Z19" s="51">
        <f t="shared" si="61"/>
        <v>28847</v>
      </c>
      <c r="AA19" s="51">
        <f t="shared" si="61"/>
        <v>29600</v>
      </c>
      <c r="AB19" s="51">
        <f t="shared" si="61"/>
        <v>30357</v>
      </c>
      <c r="AC19" s="51">
        <f t="shared" si="61"/>
        <v>31153</v>
      </c>
      <c r="AD19" s="51">
        <f t="shared" si="61"/>
        <v>31030.160000000003</v>
      </c>
      <c r="AE19" s="51">
        <f t="shared" si="61"/>
        <v>31968</v>
      </c>
      <c r="AF19" s="51">
        <f t="shared" si="61"/>
        <v>33051.08</v>
      </c>
      <c r="AG19" s="51">
        <f t="shared" si="61"/>
        <v>33921.620000000003</v>
      </c>
      <c r="AH19" s="416"/>
      <c r="AI19" s="51">
        <v>30781.08</v>
      </c>
      <c r="AJ19" s="416"/>
      <c r="AK19" s="52"/>
      <c r="AL19" s="51">
        <f>+SUMIFS($B19:AF19,$B$4:AF$4,"="&amp;AL$3)</f>
        <v>15753</v>
      </c>
      <c r="AM19" s="51">
        <f>+SUMIFS($B19:AG19,$B$4:AG$4,"="&amp;AM$3)</f>
        <v>16447</v>
      </c>
      <c r="AN19" s="51">
        <f>+SUMIFS($B19:AG19,$B$4:AG$4,"="&amp;AN$3)</f>
        <v>17925</v>
      </c>
      <c r="AO19" s="51">
        <f>+SUMIFS($B19:AG19,$B$4:AG$4,"="&amp;AO$3)</f>
        <v>22250</v>
      </c>
      <c r="AP19" s="51">
        <f>+SUMIFS($B19:AG19,$B$4:AG$4,"="&amp;AP$3)</f>
        <v>26327</v>
      </c>
      <c r="AQ19" s="51">
        <f>+SUMIFS($B19:AG19,$B$4:AG$4,"="&amp;AQ$3)</f>
        <v>28501</v>
      </c>
      <c r="AR19" s="51">
        <f>+SUMIFS($B19:AG19,$B$4:AG$4,"="&amp;AR$3)</f>
        <v>31153</v>
      </c>
      <c r="AS19" s="51">
        <f>+SUMIFS($B19:$AG19,$B$4:$AG$4,"="&amp;AS$3)</f>
        <v>33921.620000000003</v>
      </c>
      <c r="AT19" s="51">
        <f t="shared" ref="AT19:BB19" si="62">+AT17+AT18</f>
        <v>36939.367600000005</v>
      </c>
      <c r="AU19" s="51">
        <f t="shared" si="62"/>
        <v>39824.56925600001</v>
      </c>
      <c r="AV19" s="51">
        <f t="shared" si="62"/>
        <v>42949.766971360019</v>
      </c>
      <c r="AW19" s="51">
        <f t="shared" si="62"/>
        <v>46336.048905641619</v>
      </c>
      <c r="AX19" s="51">
        <f t="shared" si="62"/>
        <v>50006.437347580126</v>
      </c>
      <c r="AY19" s="51">
        <f t="shared" si="62"/>
        <v>53603.193108466228</v>
      </c>
      <c r="AZ19" s="51">
        <f t="shared" si="62"/>
        <v>57496.449486616708</v>
      </c>
      <c r="BA19" s="51">
        <f t="shared" si="62"/>
        <v>61713.013670610912</v>
      </c>
      <c r="BB19" s="51">
        <f t="shared" si="62"/>
        <v>66282.245638594497</v>
      </c>
    </row>
    <row r="20" spans="1:54" x14ac:dyDescent="0.25">
      <c r="A20" s="19"/>
      <c r="B20" s="53"/>
      <c r="C20" s="53"/>
      <c r="D20" s="53"/>
      <c r="E20" s="53"/>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I20" s="50"/>
      <c r="AK20" s="50"/>
      <c r="AL20" s="50"/>
      <c r="AM20" s="50"/>
      <c r="AN20" s="50"/>
      <c r="AO20" s="50"/>
      <c r="AP20" s="50"/>
      <c r="AQ20" s="50"/>
      <c r="AR20" s="50"/>
      <c r="AS20" s="50"/>
      <c r="AT20" s="50"/>
      <c r="AU20" s="50"/>
      <c r="AV20" s="50"/>
      <c r="AW20" s="50"/>
      <c r="AX20" s="50"/>
      <c r="AY20" s="50"/>
      <c r="AZ20" s="50"/>
      <c r="BA20" s="50"/>
      <c r="BB20" s="50"/>
    </row>
    <row r="21" spans="1:54" x14ac:dyDescent="0.25">
      <c r="A21" s="19" t="s">
        <v>53</v>
      </c>
      <c r="B21" s="53"/>
      <c r="C21" s="53"/>
      <c r="D21" s="53"/>
      <c r="E21" s="53"/>
      <c r="F21" s="54">
        <f t="shared" ref="F21:O23" si="63">+F17/B17-1</f>
        <v>3.8786626596543972E-2</v>
      </c>
      <c r="G21" s="54">
        <f t="shared" si="63"/>
        <v>1.1538461538461497E-2</v>
      </c>
      <c r="H21" s="54">
        <f t="shared" si="63"/>
        <v>2.4913620658301605E-2</v>
      </c>
      <c r="I21" s="54">
        <f t="shared" si="63"/>
        <v>6.6403445800431449E-3</v>
      </c>
      <c r="J21" s="54">
        <f t="shared" si="63"/>
        <v>1.1300967362806169E-2</v>
      </c>
      <c r="K21" s="54">
        <f t="shared" si="63"/>
        <v>2.4714828897338448E-2</v>
      </c>
      <c r="L21" s="54">
        <f t="shared" si="63"/>
        <v>9.7586941092973056E-3</v>
      </c>
      <c r="M21" s="54">
        <f t="shared" si="63"/>
        <v>2.6297022642182144E-2</v>
      </c>
      <c r="N21" s="54">
        <f t="shared" si="63"/>
        <v>4.1212229572680226E-2</v>
      </c>
      <c r="O21" s="54">
        <f t="shared" si="63"/>
        <v>4.3731778425655898E-2</v>
      </c>
      <c r="P21" s="54">
        <f t="shared" ref="P21:V23" si="64">+P17/L17-1</f>
        <v>7.670005271481295E-2</v>
      </c>
      <c r="Q21" s="54">
        <f t="shared" si="64"/>
        <v>0.10987579258229818</v>
      </c>
      <c r="R21" s="54">
        <f t="shared" si="64"/>
        <v>0.12810165707907606</v>
      </c>
      <c r="S21" s="54">
        <f t="shared" si="64"/>
        <v>0.15777890638225833</v>
      </c>
      <c r="T21" s="54">
        <f t="shared" si="64"/>
        <v>0.14696042431660539</v>
      </c>
      <c r="U21" s="54">
        <f t="shared" si="64"/>
        <v>0.13679762091094072</v>
      </c>
      <c r="V21" s="54">
        <f t="shared" si="64"/>
        <v>0.12535200547986913</v>
      </c>
      <c r="W21" s="54">
        <f t="shared" ref="W21:W23" si="65">+W17/S17-1</f>
        <v>0.12289808451528006</v>
      </c>
      <c r="X21" s="54">
        <f t="shared" ref="X21:AC23" si="66">+X17/T17-1</f>
        <v>0.11866818440523619</v>
      </c>
      <c r="Y21" s="54">
        <f t="shared" si="66"/>
        <v>0.10959658543301676</v>
      </c>
      <c r="Z21" s="54">
        <f t="shared" si="66"/>
        <v>0.10827810090626278</v>
      </c>
      <c r="AA21" s="54">
        <f t="shared" si="66"/>
        <v>8.5682661631616641E-2</v>
      </c>
      <c r="AB21" s="54">
        <f t="shared" si="66"/>
        <v>8.6301195624522986E-2</v>
      </c>
      <c r="AC21" s="54">
        <f t="shared" si="66"/>
        <v>7.5443603424742545E-2</v>
      </c>
      <c r="AD21" s="55">
        <v>0.08</v>
      </c>
      <c r="AE21" s="55">
        <f t="shared" ref="AE21:AG21" si="67">+AD21</f>
        <v>0.08</v>
      </c>
      <c r="AF21" s="55">
        <f t="shared" si="67"/>
        <v>0.08</v>
      </c>
      <c r="AG21" s="55">
        <f t="shared" si="67"/>
        <v>0.08</v>
      </c>
      <c r="AH21" s="417"/>
      <c r="AI21" s="55">
        <v>0.08</v>
      </c>
      <c r="AJ21" s="417"/>
      <c r="AK21" s="50"/>
      <c r="AL21" s="54"/>
      <c r="AM21" s="54">
        <f t="shared" ref="AM21:AR21" si="68">+AM17/AL17-1</f>
        <v>6.6403445800431449E-3</v>
      </c>
      <c r="AN21" s="54">
        <f t="shared" si="68"/>
        <v>2.6297022642182144E-2</v>
      </c>
      <c r="AO21" s="54">
        <f t="shared" si="68"/>
        <v>0.10987579258229818</v>
      </c>
      <c r="AP21" s="54">
        <f t="shared" si="68"/>
        <v>0.13679762091094072</v>
      </c>
      <c r="AQ21" s="54">
        <f t="shared" si="68"/>
        <v>0.10959658543301676</v>
      </c>
      <c r="AR21" s="54">
        <f t="shared" si="68"/>
        <v>7.5443603424742545E-2</v>
      </c>
      <c r="AS21" s="54">
        <f>+AS17/AR17-1</f>
        <v>8.0000000000000071E-2</v>
      </c>
      <c r="AT21" s="55">
        <v>0.08</v>
      </c>
      <c r="AU21" s="55">
        <v>0.06</v>
      </c>
      <c r="AV21" s="55">
        <f t="shared" ref="AV21:AV22" si="69">+AU21</f>
        <v>0.06</v>
      </c>
      <c r="AW21" s="55">
        <f t="shared" ref="AW21:AW22" si="70">+AV21</f>
        <v>0.06</v>
      </c>
      <c r="AX21" s="55">
        <f t="shared" ref="AX21:AX22" si="71">+AW21</f>
        <v>0.06</v>
      </c>
      <c r="AY21" s="55">
        <v>4.4999999999999998E-2</v>
      </c>
      <c r="AZ21" s="55">
        <f>+AY21</f>
        <v>4.4999999999999998E-2</v>
      </c>
      <c r="BA21" s="55">
        <f t="shared" ref="BA21:BB21" si="72">+AZ21</f>
        <v>4.4999999999999998E-2</v>
      </c>
      <c r="BB21" s="55">
        <f t="shared" si="72"/>
        <v>4.4999999999999998E-2</v>
      </c>
    </row>
    <row r="22" spans="1:54" x14ac:dyDescent="0.25">
      <c r="A22" s="19" t="s">
        <v>54</v>
      </c>
      <c r="B22" s="53"/>
      <c r="C22" s="53"/>
      <c r="D22" s="53"/>
      <c r="E22" s="53"/>
      <c r="F22" s="54">
        <f t="shared" si="63"/>
        <v>0.25680317040951128</v>
      </c>
      <c r="G22" s="54">
        <f t="shared" si="63"/>
        <v>0.12536162005785911</v>
      </c>
      <c r="H22" s="54">
        <f t="shared" si="63"/>
        <v>0.13272933182332958</v>
      </c>
      <c r="I22" s="54">
        <f t="shared" si="63"/>
        <v>0.1345194185289651</v>
      </c>
      <c r="J22" s="54">
        <f t="shared" si="63"/>
        <v>0.12528904771915061</v>
      </c>
      <c r="K22" s="54">
        <f t="shared" si="63"/>
        <v>0.2075835475578407</v>
      </c>
      <c r="L22" s="54">
        <f t="shared" si="63"/>
        <v>0.19536092781443704</v>
      </c>
      <c r="M22" s="54">
        <f t="shared" si="63"/>
        <v>0.22623828647925026</v>
      </c>
      <c r="N22" s="54">
        <f t="shared" si="63"/>
        <v>0.28171118998692313</v>
      </c>
      <c r="O22" s="54">
        <f t="shared" si="63"/>
        <v>0.31683519602625521</v>
      </c>
      <c r="P22" s="54">
        <f t="shared" si="64"/>
        <v>0.35513549682167955</v>
      </c>
      <c r="Q22" s="54">
        <f t="shared" si="64"/>
        <v>0.47723019338739858</v>
      </c>
      <c r="R22" s="54">
        <f t="shared" si="64"/>
        <v>0.47893893018510414</v>
      </c>
      <c r="S22" s="54">
        <f t="shared" si="64"/>
        <v>0.49211908931698778</v>
      </c>
      <c r="T22" s="54">
        <f t="shared" si="64"/>
        <v>0.41957782989754344</v>
      </c>
      <c r="U22" s="54">
        <f t="shared" si="64"/>
        <v>0.24588260135135132</v>
      </c>
      <c r="V22" s="54">
        <f t="shared" si="64"/>
        <v>0.15137479057849612</v>
      </c>
      <c r="W22" s="54">
        <f t="shared" si="65"/>
        <v>6.6811123149151275E-2</v>
      </c>
      <c r="X22" s="54">
        <f t="shared" si="66"/>
        <v>4.4782608695652204E-2</v>
      </c>
      <c r="Y22" s="54">
        <f t="shared" si="66"/>
        <v>4.9317854419117069E-2</v>
      </c>
      <c r="Z22" s="54">
        <f t="shared" si="66"/>
        <v>6.6506890353505099E-2</v>
      </c>
      <c r="AA22" s="54">
        <f t="shared" si="66"/>
        <v>9.385578876100209E-2</v>
      </c>
      <c r="AB22" s="54">
        <f t="shared" si="66"/>
        <v>0.10495214315439028</v>
      </c>
      <c r="AC22" s="54">
        <f t="shared" si="66"/>
        <v>0.11596543648550428</v>
      </c>
      <c r="AD22" s="55">
        <v>7.0000000000000007E-2</v>
      </c>
      <c r="AE22" s="55">
        <v>0.08</v>
      </c>
      <c r="AF22" s="55">
        <v>0.1</v>
      </c>
      <c r="AG22" s="55">
        <v>0.1</v>
      </c>
      <c r="AH22" s="417"/>
      <c r="AI22" s="55">
        <v>0.08</v>
      </c>
      <c r="AJ22" s="417"/>
      <c r="AK22" s="50"/>
      <c r="AL22" s="54"/>
      <c r="AM22" s="54">
        <f t="shared" ref="AM22:AR22" si="73">+AM18/AL18-1</f>
        <v>0.1345194185289651</v>
      </c>
      <c r="AN22" s="54">
        <f t="shared" si="73"/>
        <v>0.22623828647925026</v>
      </c>
      <c r="AO22" s="54">
        <f t="shared" si="73"/>
        <v>0.47723019338739858</v>
      </c>
      <c r="AP22" s="54">
        <f t="shared" si="73"/>
        <v>0.24588260135135132</v>
      </c>
      <c r="AQ22" s="54">
        <f t="shared" si="73"/>
        <v>4.9317854419117069E-2</v>
      </c>
      <c r="AR22" s="54">
        <f t="shared" si="73"/>
        <v>0.11596543648550428</v>
      </c>
      <c r="AS22" s="54">
        <f>+AS18/AR18-1</f>
        <v>0.10000000000000009</v>
      </c>
      <c r="AT22" s="55">
        <f t="shared" ref="AT22" si="74">+AS22</f>
        <v>0.10000000000000009</v>
      </c>
      <c r="AU22" s="55">
        <f t="shared" ref="AU22" si="75">+AT22</f>
        <v>0.10000000000000009</v>
      </c>
      <c r="AV22" s="55">
        <f t="shared" si="69"/>
        <v>0.10000000000000009</v>
      </c>
      <c r="AW22" s="55">
        <f t="shared" si="70"/>
        <v>0.10000000000000009</v>
      </c>
      <c r="AX22" s="55">
        <f t="shared" si="71"/>
        <v>0.10000000000000009</v>
      </c>
      <c r="AY22" s="55">
        <f t="shared" ref="AY22" si="76">+AX22</f>
        <v>0.10000000000000009</v>
      </c>
      <c r="AZ22" s="55">
        <f t="shared" ref="AZ22" si="77">+AY22</f>
        <v>0.10000000000000009</v>
      </c>
      <c r="BA22" s="55">
        <f t="shared" ref="BA22" si="78">+AZ22</f>
        <v>0.10000000000000009</v>
      </c>
      <c r="BB22" s="55">
        <f t="shared" ref="BB22" si="79">+BA22</f>
        <v>0.10000000000000009</v>
      </c>
    </row>
    <row r="23" spans="1:54" s="42" customFormat="1" x14ac:dyDescent="0.25">
      <c r="A23" s="8" t="s">
        <v>55</v>
      </c>
      <c r="B23" s="51"/>
      <c r="C23" s="51"/>
      <c r="D23" s="51"/>
      <c r="E23" s="51"/>
      <c r="F23" s="56">
        <f t="shared" si="63"/>
        <v>9.5960645742395823E-2</v>
      </c>
      <c r="G23" s="56">
        <f t="shared" si="63"/>
        <v>4.2872312184762507E-2</v>
      </c>
      <c r="H23" s="56">
        <f t="shared" si="63"/>
        <v>5.5797054434568283E-2</v>
      </c>
      <c r="I23" s="56">
        <f t="shared" si="63"/>
        <v>4.4055100615755682E-2</v>
      </c>
      <c r="J23" s="56">
        <f t="shared" si="63"/>
        <v>4.5580983689467613E-2</v>
      </c>
      <c r="K23" s="56">
        <f t="shared" si="63"/>
        <v>7.9037800687285165E-2</v>
      </c>
      <c r="L23" s="56">
        <f t="shared" si="63"/>
        <v>6.6797763165980406E-2</v>
      </c>
      <c r="M23" s="56">
        <f t="shared" si="63"/>
        <v>8.9864412962850304E-2</v>
      </c>
      <c r="N23" s="56">
        <f t="shared" si="63"/>
        <v>0.11905193784388413</v>
      </c>
      <c r="O23" s="56">
        <f t="shared" si="63"/>
        <v>0.13452465204057562</v>
      </c>
      <c r="P23" s="56">
        <f t="shared" si="64"/>
        <v>0.17258064516129035</v>
      </c>
      <c r="Q23" s="56">
        <f t="shared" si="64"/>
        <v>0.24128312412831243</v>
      </c>
      <c r="R23" s="56">
        <f t="shared" si="64"/>
        <v>0.25815863410417106</v>
      </c>
      <c r="S23" s="56">
        <f t="shared" si="64"/>
        <v>0.28679107969018047</v>
      </c>
      <c r="T23" s="56">
        <f t="shared" si="64"/>
        <v>0.25545293770878374</v>
      </c>
      <c r="U23" s="56">
        <f t="shared" si="64"/>
        <v>0.18323595505617973</v>
      </c>
      <c r="V23" s="56">
        <f t="shared" si="64"/>
        <v>0.13669157433651113</v>
      </c>
      <c r="W23" s="56">
        <f t="shared" si="65"/>
        <v>9.7802375373676975E-2</v>
      </c>
      <c r="X23" s="56">
        <f t="shared" si="66"/>
        <v>8.5420253560807735E-2</v>
      </c>
      <c r="Y23" s="56">
        <f t="shared" si="66"/>
        <v>8.2576822273711326E-2</v>
      </c>
      <c r="Z23" s="56">
        <f t="shared" si="66"/>
        <v>8.9840946012316403E-2</v>
      </c>
      <c r="AA23" s="56">
        <f t="shared" si="66"/>
        <v>8.9236430542778189E-2</v>
      </c>
      <c r="AB23" s="56">
        <f t="shared" si="66"/>
        <v>9.4379754136775018E-2</v>
      </c>
      <c r="AC23" s="56">
        <f t="shared" si="66"/>
        <v>9.304936668888808E-2</v>
      </c>
      <c r="AD23" s="56">
        <f t="shared" ref="AD23" si="80">+AD19/Z19-1</f>
        <v>7.5680660033972558E-2</v>
      </c>
      <c r="AE23" s="56">
        <f t="shared" ref="AE23" si="81">+AE19/AA19-1</f>
        <v>8.0000000000000071E-2</v>
      </c>
      <c r="AF23" s="56">
        <f t="shared" ref="AF23" si="82">+AF19/AB19-1</f>
        <v>8.874658233685806E-2</v>
      </c>
      <c r="AG23" s="56">
        <f t="shared" ref="AG23" si="83">+AG19/AC19-1</f>
        <v>8.8871697749815404E-2</v>
      </c>
      <c r="AH23" s="418"/>
      <c r="AI23" s="56">
        <v>8.0000000000000071E-2</v>
      </c>
      <c r="AJ23" s="418"/>
      <c r="AK23" s="47"/>
      <c r="AL23" s="56"/>
      <c r="AM23" s="56">
        <f t="shared" ref="AM23" si="84">+AM19/AL19-1</f>
        <v>4.4055100615755682E-2</v>
      </c>
      <c r="AN23" s="56">
        <f t="shared" ref="AN23:BB23" si="85">+AN19/AM19-1</f>
        <v>8.9864412962850304E-2</v>
      </c>
      <c r="AO23" s="56">
        <f t="shared" si="85"/>
        <v>0.24128312412831243</v>
      </c>
      <c r="AP23" s="56">
        <f t="shared" si="85"/>
        <v>0.18323595505617973</v>
      </c>
      <c r="AQ23" s="56">
        <f t="shared" si="85"/>
        <v>8.2576822273711326E-2</v>
      </c>
      <c r="AR23" s="56">
        <f t="shared" si="85"/>
        <v>9.304936668888808E-2</v>
      </c>
      <c r="AS23" s="56">
        <f t="shared" si="85"/>
        <v>8.8871697749815404E-2</v>
      </c>
      <c r="AT23" s="56">
        <f t="shared" si="85"/>
        <v>8.8962366773756685E-2</v>
      </c>
      <c r="AU23" s="56">
        <f t="shared" si="85"/>
        <v>7.8106417176454501E-2</v>
      </c>
      <c r="AV23" s="56">
        <f t="shared" si="85"/>
        <v>7.8474112181116995E-2</v>
      </c>
      <c r="AW23" s="56">
        <f t="shared" si="85"/>
        <v>7.8842847658280757E-2</v>
      </c>
      <c r="AX23" s="56">
        <f t="shared" si="85"/>
        <v>7.9212374136881092E-2</v>
      </c>
      <c r="AY23" s="56">
        <f t="shared" si="85"/>
        <v>7.1925854983151627E-2</v>
      </c>
      <c r="AZ23" s="56">
        <f t="shared" si="85"/>
        <v>7.2631053345506125E-2</v>
      </c>
      <c r="BA23" s="56">
        <f t="shared" si="85"/>
        <v>7.3336079386531194E-2</v>
      </c>
      <c r="BB23" s="56">
        <f t="shared" si="85"/>
        <v>7.4040007061906943E-2</v>
      </c>
    </row>
    <row r="24" spans="1:54" x14ac:dyDescent="0.25">
      <c r="A24" s="19"/>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0"/>
      <c r="AE24" s="50"/>
      <c r="AF24" s="50"/>
      <c r="AG24" s="50"/>
      <c r="AI24" s="50"/>
      <c r="AK24" s="50"/>
      <c r="AL24" s="53"/>
      <c r="AM24" s="53"/>
      <c r="AN24" s="53"/>
      <c r="AO24" s="53"/>
      <c r="AP24" s="53"/>
      <c r="AQ24" s="53"/>
      <c r="AR24" s="53"/>
      <c r="AS24" s="53"/>
      <c r="AT24" s="50"/>
      <c r="AU24" s="50"/>
      <c r="AV24" s="50"/>
      <c r="AW24" s="50"/>
      <c r="AX24" s="50"/>
      <c r="AY24" s="50"/>
      <c r="AZ24" s="50"/>
      <c r="BA24" s="50"/>
      <c r="BB24" s="50"/>
    </row>
    <row r="25" spans="1:54" x14ac:dyDescent="0.25">
      <c r="A25" s="19" t="s">
        <v>56</v>
      </c>
      <c r="B25" s="48">
        <v>83810</v>
      </c>
      <c r="C25" s="48">
        <v>87155</v>
      </c>
      <c r="D25" s="48">
        <v>89002</v>
      </c>
      <c r="E25" s="48">
        <v>89415</v>
      </c>
      <c r="F25" s="48">
        <v>94760</v>
      </c>
      <c r="G25" s="48">
        <v>93438</v>
      </c>
      <c r="H25" s="48">
        <v>92866</v>
      </c>
      <c r="I25" s="48">
        <v>91665</v>
      </c>
      <c r="J25" s="48">
        <v>93575</v>
      </c>
      <c r="K25" s="48">
        <v>92751</v>
      </c>
      <c r="L25" s="48">
        <v>93179</v>
      </c>
      <c r="M25" s="48">
        <v>96398</v>
      </c>
      <c r="N25" s="48">
        <v>98858</v>
      </c>
      <c r="O25" s="48">
        <v>100619</v>
      </c>
      <c r="P25" s="48">
        <v>101940</v>
      </c>
      <c r="Q25" s="48">
        <v>111004</v>
      </c>
      <c r="R25" s="48">
        <v>115885</v>
      </c>
      <c r="S25" s="48">
        <v>117884</v>
      </c>
      <c r="T25" s="48">
        <v>121957</v>
      </c>
      <c r="U25" s="48">
        <v>123970</v>
      </c>
      <c r="V25" s="48">
        <f>126661+1956</f>
        <v>128617</v>
      </c>
      <c r="W25" s="48">
        <f>2014+130405</f>
        <v>132419</v>
      </c>
      <c r="X25" s="48">
        <f>1983+134954</f>
        <v>136937</v>
      </c>
      <c r="Y25" s="48">
        <f>139487+2339</f>
        <v>141826</v>
      </c>
      <c r="Z25" s="48">
        <f>141603+2134</f>
        <v>143737</v>
      </c>
      <c r="AA25" s="48">
        <f>143596+2002</f>
        <v>145598</v>
      </c>
      <c r="AB25" s="48">
        <f>146603+2446</f>
        <v>149049</v>
      </c>
      <c r="AC25" s="48">
        <f>146415+2839</f>
        <v>149254</v>
      </c>
      <c r="AD25" s="49">
        <f t="shared" ref="AD25:AD26" si="86">+Z25*(1+AD30)</f>
        <v>150923.85</v>
      </c>
      <c r="AE25" s="49">
        <f t="shared" ref="AE25:AE26" si="87">+AA25*(1+AE30)</f>
        <v>152877.9</v>
      </c>
      <c r="AF25" s="49">
        <f t="shared" ref="AF25:AF26" si="88">+AB25*(1+AF30)</f>
        <v>160972.92000000001</v>
      </c>
      <c r="AG25" s="49">
        <f t="shared" ref="AG25:AG26" si="89">+AC25*(1+AG30)</f>
        <v>161194.32</v>
      </c>
      <c r="AH25" s="415"/>
      <c r="AI25" s="49">
        <v>153172.08000000002</v>
      </c>
      <c r="AJ25" s="415"/>
      <c r="AK25" s="50"/>
      <c r="AL25" s="48">
        <f>+SUMIFS($B25:AF25,$B$4:AF$4,"="&amp;AL$3)</f>
        <v>89415</v>
      </c>
      <c r="AM25" s="48">
        <f>+SUMIFS($B25:AG25,$B$4:AG$4,"="&amp;AM$3)</f>
        <v>91665</v>
      </c>
      <c r="AN25" s="48">
        <f>+SUMIFS($B25:AG25,$B$4:AG$4,"="&amp;AN$3)</f>
        <v>96398</v>
      </c>
      <c r="AO25" s="48">
        <f>+SUMIFS($B25:AG25,$B$4:AG$4,"="&amp;AO$3)</f>
        <v>111004</v>
      </c>
      <c r="AP25" s="48">
        <f>+SUMIFS($B25:AG25,$B$4:AG$4,"="&amp;AP$3)</f>
        <v>123970</v>
      </c>
      <c r="AQ25" s="48">
        <f>+SUMIFS($B25:AG25,$B$4:AG$4,"="&amp;AQ$3)</f>
        <v>141826</v>
      </c>
      <c r="AR25" s="48">
        <f>+SUMIFS($B25:AG25,$B$4:AG$4,"="&amp;AR$3)</f>
        <v>149254</v>
      </c>
      <c r="AS25" s="48">
        <f>+SUMIFS($B25:$AG25,$B$4:$AG$4,"="&amp;AS$3)</f>
        <v>161194.32</v>
      </c>
      <c r="AT25" s="49">
        <f>+AS25*(1+AT30)</f>
        <v>177313.75200000001</v>
      </c>
      <c r="AU25" s="49">
        <f t="shared" ref="AU25:BB25" si="90">+AT25*(1+AU30)</f>
        <v>187952.57712000003</v>
      </c>
      <c r="AV25" s="49">
        <f t="shared" si="90"/>
        <v>199229.73174720004</v>
      </c>
      <c r="AW25" s="49">
        <f t="shared" si="90"/>
        <v>211183.51565203205</v>
      </c>
      <c r="AX25" s="49">
        <f t="shared" si="90"/>
        <v>223854.52659115399</v>
      </c>
      <c r="AY25" s="49">
        <f t="shared" si="90"/>
        <v>233927.9802877559</v>
      </c>
      <c r="AZ25" s="49">
        <f t="shared" si="90"/>
        <v>244454.73940070489</v>
      </c>
      <c r="BA25" s="49">
        <f t="shared" si="90"/>
        <v>255455.20267373658</v>
      </c>
      <c r="BB25" s="49">
        <f t="shared" si="90"/>
        <v>266950.68679405469</v>
      </c>
    </row>
    <row r="26" spans="1:54" x14ac:dyDescent="0.25">
      <c r="A26" s="19" t="s">
        <v>57</v>
      </c>
      <c r="B26" s="48">
        <v>2137</v>
      </c>
      <c r="C26" s="48">
        <v>2342</v>
      </c>
      <c r="D26" s="48">
        <v>1821</v>
      </c>
      <c r="E26" s="48">
        <v>760</v>
      </c>
      <c r="F26" s="48">
        <v>711</v>
      </c>
      <c r="G26" s="48">
        <v>681</v>
      </c>
      <c r="H26" s="48">
        <v>633</v>
      </c>
      <c r="I26" s="48">
        <v>689</v>
      </c>
      <c r="J26" s="48">
        <v>684</v>
      </c>
      <c r="K26" s="48">
        <v>2926</v>
      </c>
      <c r="L26" s="48">
        <v>2813</v>
      </c>
      <c r="M26" s="48">
        <v>1494</v>
      </c>
      <c r="N26" s="48">
        <v>1990</v>
      </c>
      <c r="O26" s="48">
        <v>2053</v>
      </c>
      <c r="P26" s="48">
        <v>2056</v>
      </c>
      <c r="Q26" s="48">
        <v>1846</v>
      </c>
      <c r="R26" s="48">
        <v>2271</v>
      </c>
      <c r="S26" s="48">
        <v>2208</v>
      </c>
      <c r="T26" s="48">
        <v>2133</v>
      </c>
      <c r="U26" s="48">
        <v>2673</v>
      </c>
      <c r="V26" s="48">
        <f>3263+3</f>
        <v>3266</v>
      </c>
      <c r="W26" s="48">
        <v>4307</v>
      </c>
      <c r="X26" s="48">
        <v>4244</v>
      </c>
      <c r="Y26" s="48">
        <v>4447</v>
      </c>
      <c r="Z26" s="48">
        <v>5756</v>
      </c>
      <c r="AA26" s="48">
        <v>5581</v>
      </c>
      <c r="AB26" s="48">
        <v>5492</v>
      </c>
      <c r="AC26" s="48">
        <v>4953</v>
      </c>
      <c r="AD26" s="49">
        <f t="shared" si="86"/>
        <v>6216.4800000000005</v>
      </c>
      <c r="AE26" s="49">
        <f t="shared" si="87"/>
        <v>6027.4800000000005</v>
      </c>
      <c r="AF26" s="49">
        <f t="shared" si="88"/>
        <v>5931.3600000000006</v>
      </c>
      <c r="AG26" s="49">
        <f t="shared" si="89"/>
        <v>5349.2400000000007</v>
      </c>
      <c r="AH26" s="415"/>
      <c r="AI26" s="49">
        <v>5469.8099999999995</v>
      </c>
      <c r="AJ26" s="415"/>
      <c r="AK26" s="50"/>
      <c r="AL26" s="48">
        <f>+SUMIFS($B26:AF26,$B$4:AF$4,"="&amp;AL$3)</f>
        <v>760</v>
      </c>
      <c r="AM26" s="48">
        <f>+SUMIFS($B26:AG26,$B$4:AG$4,"="&amp;AM$3)</f>
        <v>689</v>
      </c>
      <c r="AN26" s="48">
        <f>+SUMIFS($B26:AG26,$B$4:AG$4,"="&amp;AN$3)</f>
        <v>1494</v>
      </c>
      <c r="AO26" s="48">
        <f>+SUMIFS($B26:AG26,$B$4:AG$4,"="&amp;AO$3)</f>
        <v>1846</v>
      </c>
      <c r="AP26" s="48">
        <f>+SUMIFS($B26:AG26,$B$4:AG$4,"="&amp;AP$3)</f>
        <v>2673</v>
      </c>
      <c r="AQ26" s="48">
        <f>+SUMIFS($B26:AG26,$B$4:AG$4,"="&amp;AQ$3)</f>
        <v>4447</v>
      </c>
      <c r="AR26" s="48">
        <f>+SUMIFS($B26:AG26,$B$4:AG$4,"="&amp;AR$3)</f>
        <v>4953</v>
      </c>
      <c r="AS26" s="48">
        <f>+SUMIFS($B26:$AG26,$B$4:$AG$4,"="&amp;AS$3)</f>
        <v>5349.2400000000007</v>
      </c>
      <c r="AT26" s="49">
        <f>+AS26*(1+AT31)</f>
        <v>5670.1944000000012</v>
      </c>
      <c r="AU26" s="49">
        <f t="shared" ref="AU26:BB26" si="91">+AT26*(1+AU31)</f>
        <v>6010.4060640000016</v>
      </c>
      <c r="AV26" s="49">
        <f t="shared" si="91"/>
        <v>6371.0304278400017</v>
      </c>
      <c r="AW26" s="49">
        <f t="shared" si="91"/>
        <v>6753.2922535104026</v>
      </c>
      <c r="AX26" s="49">
        <f t="shared" si="91"/>
        <v>7158.4897887210273</v>
      </c>
      <c r="AY26" s="49">
        <f t="shared" si="91"/>
        <v>7480.6218292134727</v>
      </c>
      <c r="AZ26" s="49">
        <f t="shared" si="91"/>
        <v>7817.2498115280787</v>
      </c>
      <c r="BA26" s="49">
        <f t="shared" si="91"/>
        <v>8169.0260530468413</v>
      </c>
      <c r="BB26" s="49">
        <f t="shared" si="91"/>
        <v>8536.6322254339484</v>
      </c>
    </row>
    <row r="27" spans="1:54" x14ac:dyDescent="0.25">
      <c r="A27" s="19" t="s">
        <v>58</v>
      </c>
      <c r="B27" s="48">
        <v>58</v>
      </c>
      <c r="C27" s="48">
        <v>8</v>
      </c>
      <c r="D27" s="48">
        <v>7</v>
      </c>
      <c r="E27" s="48">
        <v>87</v>
      </c>
      <c r="F27" s="48">
        <v>17</v>
      </c>
      <c r="G27" s="48">
        <v>17</v>
      </c>
      <c r="H27" s="48">
        <v>15</v>
      </c>
      <c r="I27" s="48">
        <v>63</v>
      </c>
      <c r="J27" s="48">
        <v>49</v>
      </c>
      <c r="K27" s="48">
        <v>0</v>
      </c>
      <c r="L27" s="48">
        <v>0</v>
      </c>
      <c r="M27" s="48">
        <v>0</v>
      </c>
      <c r="N27" s="48">
        <v>0</v>
      </c>
      <c r="O27" s="48">
        <v>0</v>
      </c>
      <c r="P27" s="48">
        <v>0</v>
      </c>
      <c r="Q27" s="48">
        <v>0</v>
      </c>
      <c r="R27" s="48">
        <v>90</v>
      </c>
      <c r="S27" s="48">
        <v>71</v>
      </c>
      <c r="T27" s="48">
        <v>103</v>
      </c>
      <c r="U27" s="48">
        <v>278</v>
      </c>
      <c r="V27" s="48">
        <v>257</v>
      </c>
      <c r="W27" s="48">
        <f>49+177</f>
        <v>226</v>
      </c>
      <c r="X27" s="48">
        <v>196</v>
      </c>
      <c r="Y27" s="48">
        <v>177</v>
      </c>
      <c r="Z27" s="48">
        <v>166</v>
      </c>
      <c r="AA27" s="48">
        <v>153</v>
      </c>
      <c r="AB27" s="48">
        <v>138</v>
      </c>
      <c r="AC27" s="48">
        <v>3036</v>
      </c>
      <c r="AD27" s="57">
        <f t="shared" ref="AD27:AG27" si="92">+AC27</f>
        <v>3036</v>
      </c>
      <c r="AE27" s="57">
        <f t="shared" si="92"/>
        <v>3036</v>
      </c>
      <c r="AF27" s="57">
        <f t="shared" si="92"/>
        <v>3036</v>
      </c>
      <c r="AG27" s="57">
        <f t="shared" si="92"/>
        <v>3036</v>
      </c>
      <c r="AH27" s="419"/>
      <c r="AI27" s="57">
        <v>138</v>
      </c>
      <c r="AJ27" s="419"/>
      <c r="AK27" s="50"/>
      <c r="AL27" s="48">
        <f>+SUMIFS($B27:AF27,$B$4:AF$4,"="&amp;AL$3)</f>
        <v>87</v>
      </c>
      <c r="AM27" s="48">
        <f>+SUMIFS($B27:AG27,$B$4:AG$4,"="&amp;AM$3)</f>
        <v>63</v>
      </c>
      <c r="AN27" s="48">
        <f>+SUMIFS($B27:AG27,$B$4:AG$4,"="&amp;AN$3)</f>
        <v>0</v>
      </c>
      <c r="AO27" s="48">
        <f>+SUMIFS($B27:AG27,$B$4:AG$4,"="&amp;AO$3)</f>
        <v>0</v>
      </c>
      <c r="AP27" s="48">
        <f>+SUMIFS($B27:AG27,$B$4:AG$4,"="&amp;AP$3)</f>
        <v>278</v>
      </c>
      <c r="AQ27" s="48">
        <f>+SUMIFS($B27:AG27,$B$4:AG$4,"="&amp;AQ$3)</f>
        <v>177</v>
      </c>
      <c r="AR27" s="48">
        <f>+SUMIFS($B27:AG27,$B$4:AG$4,"="&amp;AR$3)</f>
        <v>3036</v>
      </c>
      <c r="AS27" s="48">
        <f>+SUMIFS($B27:$AG27,$B$4:$AG$4,"="&amp;AS$3)</f>
        <v>3036</v>
      </c>
      <c r="AT27" s="57">
        <f t="shared" ref="AT27" si="93">+AS27</f>
        <v>3036</v>
      </c>
      <c r="AU27" s="57">
        <f t="shared" ref="AU27" si="94">+AT27</f>
        <v>3036</v>
      </c>
      <c r="AV27" s="57">
        <f t="shared" ref="AV27" si="95">+AU27</f>
        <v>3036</v>
      </c>
      <c r="AW27" s="57">
        <f t="shared" ref="AW27" si="96">+AV27</f>
        <v>3036</v>
      </c>
      <c r="AX27" s="57">
        <f t="shared" ref="AX27" si="97">+AW27</f>
        <v>3036</v>
      </c>
      <c r="AY27" s="57">
        <f t="shared" ref="AY27" si="98">+AX27</f>
        <v>3036</v>
      </c>
      <c r="AZ27" s="57">
        <f t="shared" ref="AZ27" si="99">+AY27</f>
        <v>3036</v>
      </c>
      <c r="BA27" s="57">
        <f t="shared" ref="BA27" si="100">+AZ27</f>
        <v>3036</v>
      </c>
      <c r="BB27" s="57">
        <f t="shared" ref="BB27" si="101">+BA27</f>
        <v>3036</v>
      </c>
    </row>
    <row r="28" spans="1:54" s="42" customFormat="1" x14ac:dyDescent="0.25">
      <c r="A28" s="8" t="s">
        <v>59</v>
      </c>
      <c r="B28" s="51">
        <f>+SUM(B25:B27)</f>
        <v>86005</v>
      </c>
      <c r="C28" s="51">
        <f t="shared" ref="C28:U28" si="102">+SUM(C25:C27)</f>
        <v>89505</v>
      </c>
      <c r="D28" s="51">
        <f t="shared" si="102"/>
        <v>90830</v>
      </c>
      <c r="E28" s="51">
        <f t="shared" si="102"/>
        <v>90262</v>
      </c>
      <c r="F28" s="51">
        <f t="shared" si="102"/>
        <v>95488</v>
      </c>
      <c r="G28" s="51">
        <f t="shared" si="102"/>
        <v>94136</v>
      </c>
      <c r="H28" s="51">
        <f t="shared" si="102"/>
        <v>93514</v>
      </c>
      <c r="I28" s="51">
        <f t="shared" si="102"/>
        <v>92417</v>
      </c>
      <c r="J28" s="51">
        <f t="shared" si="102"/>
        <v>94308</v>
      </c>
      <c r="K28" s="51">
        <f t="shared" si="102"/>
        <v>95677</v>
      </c>
      <c r="L28" s="51">
        <f t="shared" si="102"/>
        <v>95992</v>
      </c>
      <c r="M28" s="51">
        <f t="shared" si="102"/>
        <v>97892</v>
      </c>
      <c r="N28" s="51">
        <f t="shared" si="102"/>
        <v>100848</v>
      </c>
      <c r="O28" s="51">
        <f t="shared" si="102"/>
        <v>102672</v>
      </c>
      <c r="P28" s="51">
        <f t="shared" si="102"/>
        <v>103996</v>
      </c>
      <c r="Q28" s="51">
        <f t="shared" si="102"/>
        <v>112850</v>
      </c>
      <c r="R28" s="51">
        <f t="shared" si="102"/>
        <v>118246</v>
      </c>
      <c r="S28" s="51">
        <f t="shared" si="102"/>
        <v>120163</v>
      </c>
      <c r="T28" s="51">
        <f t="shared" si="102"/>
        <v>124193</v>
      </c>
      <c r="U28" s="51">
        <f t="shared" si="102"/>
        <v>126921</v>
      </c>
      <c r="V28" s="51">
        <f>+SUM(V25:V27)</f>
        <v>132140</v>
      </c>
      <c r="W28" s="51">
        <f t="shared" ref="W28:Y28" si="103">+SUM(W25:W27)</f>
        <v>136952</v>
      </c>
      <c r="X28" s="51">
        <f t="shared" si="103"/>
        <v>141377</v>
      </c>
      <c r="Y28" s="51">
        <f t="shared" si="103"/>
        <v>146450</v>
      </c>
      <c r="Z28" s="51">
        <f t="shared" ref="Z28:AG28" si="104">+SUM(Z25:Z27)</f>
        <v>149659</v>
      </c>
      <c r="AA28" s="51">
        <f t="shared" si="104"/>
        <v>151332</v>
      </c>
      <c r="AB28" s="51">
        <f t="shared" si="104"/>
        <v>154679</v>
      </c>
      <c r="AC28" s="51">
        <f t="shared" si="104"/>
        <v>157243</v>
      </c>
      <c r="AD28" s="51">
        <f t="shared" si="104"/>
        <v>160176.33000000002</v>
      </c>
      <c r="AE28" s="51">
        <f t="shared" si="104"/>
        <v>161941.38</v>
      </c>
      <c r="AF28" s="51">
        <f t="shared" si="104"/>
        <v>169940.28000000003</v>
      </c>
      <c r="AG28" s="51">
        <f t="shared" si="104"/>
        <v>169579.56</v>
      </c>
      <c r="AH28" s="416"/>
      <c r="AI28" s="51">
        <v>158779.89000000001</v>
      </c>
      <c r="AJ28" s="416"/>
      <c r="AK28" s="47"/>
      <c r="AL28" s="51">
        <f>+SUMIFS($B28:AF28,$B$4:AF$4,"="&amp;AL$3)</f>
        <v>90262</v>
      </c>
      <c r="AM28" s="51">
        <f>+SUMIFS($B28:AG28,$B$4:AG$4,"="&amp;AM$3)</f>
        <v>92417</v>
      </c>
      <c r="AN28" s="51">
        <f>+SUMIFS($B28:AG28,$B$4:AG$4,"="&amp;AN$3)</f>
        <v>97892</v>
      </c>
      <c r="AO28" s="51">
        <f>+SUMIFS($B28:AG28,$B$4:AG$4,"="&amp;AO$3)</f>
        <v>112850</v>
      </c>
      <c r="AP28" s="51">
        <f>+SUMIFS($B28:AG28,$B$4:AG$4,"="&amp;AP$3)</f>
        <v>126921</v>
      </c>
      <c r="AQ28" s="51">
        <f>+SUMIFS($B28:AG28,$B$4:AG$4,"="&amp;AQ$3)</f>
        <v>146450</v>
      </c>
      <c r="AR28" s="51">
        <f>+SUMIFS($B28:AG28,$B$4:AG$4,"="&amp;AR$3)</f>
        <v>157243</v>
      </c>
      <c r="AS28" s="51">
        <f>+SUMIFS($B28:$AG28,$B$4:$AG$4,"="&amp;AS$3)</f>
        <v>169579.56</v>
      </c>
      <c r="AT28" s="51">
        <f t="shared" ref="AT28:BB28" si="105">+SUM(AT25:AT27)</f>
        <v>186019.94640000002</v>
      </c>
      <c r="AU28" s="51">
        <f t="shared" si="105"/>
        <v>196998.98318400004</v>
      </c>
      <c r="AV28" s="51">
        <f t="shared" si="105"/>
        <v>208636.76217504006</v>
      </c>
      <c r="AW28" s="51">
        <f t="shared" si="105"/>
        <v>220972.80790554246</v>
      </c>
      <c r="AX28" s="51">
        <f t="shared" si="105"/>
        <v>234049.01637987501</v>
      </c>
      <c r="AY28" s="51">
        <f t="shared" si="105"/>
        <v>244444.60211696936</v>
      </c>
      <c r="AZ28" s="51">
        <f t="shared" si="105"/>
        <v>255307.98921223296</v>
      </c>
      <c r="BA28" s="51">
        <f t="shared" si="105"/>
        <v>266660.22872678342</v>
      </c>
      <c r="BB28" s="51">
        <f t="shared" si="105"/>
        <v>278523.31901948864</v>
      </c>
    </row>
    <row r="29" spans="1:54" s="42" customFormat="1" x14ac:dyDescent="0.25">
      <c r="A29" s="8"/>
      <c r="B29" s="51"/>
      <c r="C29" s="51"/>
      <c r="D29" s="51"/>
      <c r="E29" s="51"/>
      <c r="F29" s="51"/>
      <c r="G29" s="51"/>
      <c r="H29" s="51"/>
      <c r="I29" s="51"/>
      <c r="J29" s="51"/>
      <c r="K29" s="51"/>
      <c r="L29" s="51"/>
      <c r="M29" s="51"/>
      <c r="N29" s="51"/>
      <c r="O29" s="51"/>
      <c r="P29" s="51"/>
      <c r="Q29" s="51"/>
      <c r="R29" s="51"/>
      <c r="S29" s="51"/>
      <c r="T29" s="51"/>
      <c r="U29" s="51"/>
      <c r="V29" s="51"/>
      <c r="W29" s="51"/>
      <c r="X29" s="56"/>
      <c r="Y29" s="56"/>
      <c r="Z29" s="56"/>
      <c r="AA29" s="56"/>
      <c r="AB29" s="56"/>
      <c r="AC29" s="56"/>
      <c r="AD29" s="47"/>
      <c r="AE29" s="47"/>
      <c r="AF29" s="47"/>
      <c r="AG29" s="47"/>
      <c r="AI29" s="47"/>
      <c r="AK29" s="47"/>
      <c r="AL29" s="51"/>
      <c r="AM29" s="51"/>
      <c r="AN29" s="51"/>
      <c r="AO29" s="51"/>
      <c r="AP29" s="51"/>
      <c r="AQ29" s="51"/>
      <c r="AR29" s="51"/>
      <c r="AS29" s="51"/>
      <c r="AT29" s="47"/>
      <c r="AU29" s="47"/>
      <c r="AV29" s="47"/>
      <c r="AW29" s="47"/>
      <c r="AX29" s="47"/>
      <c r="AY29" s="47"/>
      <c r="AZ29" s="47"/>
      <c r="BA29" s="47"/>
      <c r="BB29" s="47"/>
    </row>
    <row r="30" spans="1:54" s="42" customFormat="1" x14ac:dyDescent="0.25">
      <c r="A30" s="19" t="s">
        <v>56</v>
      </c>
      <c r="B30" s="51"/>
      <c r="C30" s="51"/>
      <c r="D30" s="51"/>
      <c r="E30" s="51"/>
      <c r="F30" s="51"/>
      <c r="G30" s="51"/>
      <c r="H30" s="51"/>
      <c r="I30" s="54">
        <f t="shared" ref="I30:U33" si="106">+I25/E25-1</f>
        <v>2.5163563160543578E-2</v>
      </c>
      <c r="J30" s="54">
        <f t="shared" si="106"/>
        <v>-1.2505276487969619E-2</v>
      </c>
      <c r="K30" s="54">
        <f t="shared" si="106"/>
        <v>-7.3524690168882412E-3</v>
      </c>
      <c r="L30" s="54">
        <f t="shared" si="106"/>
        <v>3.3704477419076451E-3</v>
      </c>
      <c r="M30" s="54">
        <f t="shared" si="106"/>
        <v>5.1633666066655648E-2</v>
      </c>
      <c r="N30" s="54">
        <f t="shared" si="106"/>
        <v>5.6457387122628822E-2</v>
      </c>
      <c r="O30" s="54">
        <f t="shared" si="106"/>
        <v>8.4829274077907524E-2</v>
      </c>
      <c r="P30" s="54">
        <f t="shared" si="106"/>
        <v>9.4023331437341096E-2</v>
      </c>
      <c r="Q30" s="54">
        <f t="shared" si="106"/>
        <v>0.15151766634162533</v>
      </c>
      <c r="R30" s="54">
        <f t="shared" si="106"/>
        <v>0.17223694592243421</v>
      </c>
      <c r="S30" s="54">
        <f t="shared" si="106"/>
        <v>0.17158787107802698</v>
      </c>
      <c r="T30" s="54">
        <f t="shared" si="106"/>
        <v>0.19636060427702562</v>
      </c>
      <c r="U30" s="54">
        <f t="shared" si="106"/>
        <v>0.11680660156390754</v>
      </c>
      <c r="V30" s="54">
        <f>+V25/R25-1</f>
        <v>0.10986754109677688</v>
      </c>
      <c r="W30" s="54">
        <f t="shared" ref="W30:AC31" si="107">+W25/S25-1</f>
        <v>0.1232991754606223</v>
      </c>
      <c r="X30" s="54">
        <f t="shared" si="107"/>
        <v>0.12283017784956995</v>
      </c>
      <c r="Y30" s="54">
        <f t="shared" si="107"/>
        <v>0.14403484714043713</v>
      </c>
      <c r="Z30" s="54">
        <f t="shared" si="107"/>
        <v>0.11755833210228817</v>
      </c>
      <c r="AA30" s="54">
        <f t="shared" si="107"/>
        <v>9.9524992637008314E-2</v>
      </c>
      <c r="AB30" s="54">
        <f t="shared" si="107"/>
        <v>8.8449432950919116E-2</v>
      </c>
      <c r="AC30" s="54">
        <f t="shared" si="107"/>
        <v>5.2374035790334617E-2</v>
      </c>
      <c r="AD30" s="55">
        <v>0.05</v>
      </c>
      <c r="AE30" s="55">
        <v>0.05</v>
      </c>
      <c r="AF30" s="55">
        <v>0.08</v>
      </c>
      <c r="AG30" s="55">
        <v>0.08</v>
      </c>
      <c r="AH30" s="417"/>
      <c r="AI30" s="55">
        <v>0.08</v>
      </c>
      <c r="AJ30" s="417"/>
      <c r="AK30" s="47"/>
      <c r="AL30" s="54"/>
      <c r="AM30" s="54">
        <f t="shared" ref="AM30" si="108">+AM25/AL25-1</f>
        <v>2.5163563160543578E-2</v>
      </c>
      <c r="AN30" s="54">
        <f t="shared" ref="AN30:AS30" si="109">+AN25/AM25-1</f>
        <v>5.1633666066655648E-2</v>
      </c>
      <c r="AO30" s="54">
        <f t="shared" si="109"/>
        <v>0.15151766634162533</v>
      </c>
      <c r="AP30" s="54">
        <f t="shared" si="109"/>
        <v>0.11680660156390754</v>
      </c>
      <c r="AQ30" s="54">
        <f t="shared" si="109"/>
        <v>0.14403484714043713</v>
      </c>
      <c r="AR30" s="54">
        <f t="shared" si="109"/>
        <v>5.2374035790334617E-2</v>
      </c>
      <c r="AS30" s="54">
        <f t="shared" si="109"/>
        <v>8.0000000000000071E-2</v>
      </c>
      <c r="AT30" s="55">
        <v>0.1</v>
      </c>
      <c r="AU30" s="55">
        <v>0.06</v>
      </c>
      <c r="AV30" s="55">
        <v>0.06</v>
      </c>
      <c r="AW30" s="55">
        <v>0.06</v>
      </c>
      <c r="AX30" s="55">
        <v>0.06</v>
      </c>
      <c r="AY30" s="55">
        <v>4.4999999999999998E-2</v>
      </c>
      <c r="AZ30" s="55">
        <f>+AY30</f>
        <v>4.4999999999999998E-2</v>
      </c>
      <c r="BA30" s="55">
        <f t="shared" ref="BA30:BB31" si="110">+AZ30</f>
        <v>4.4999999999999998E-2</v>
      </c>
      <c r="BB30" s="55">
        <f t="shared" si="110"/>
        <v>4.4999999999999998E-2</v>
      </c>
    </row>
    <row r="31" spans="1:54" s="42" customFormat="1" x14ac:dyDescent="0.25">
      <c r="A31" s="19" t="s">
        <v>57</v>
      </c>
      <c r="B31" s="51"/>
      <c r="C31" s="51"/>
      <c r="D31" s="51"/>
      <c r="E31" s="51"/>
      <c r="F31" s="51"/>
      <c r="G31" s="51"/>
      <c r="H31" s="51"/>
      <c r="I31" s="54">
        <f t="shared" si="106"/>
        <v>-9.342105263157896E-2</v>
      </c>
      <c r="J31" s="54">
        <f t="shared" si="106"/>
        <v>-3.7974683544303778E-2</v>
      </c>
      <c r="K31" s="54">
        <f t="shared" si="106"/>
        <v>3.2966226138032306</v>
      </c>
      <c r="L31" s="54">
        <f t="shared" si="106"/>
        <v>3.4439178515007898</v>
      </c>
      <c r="M31" s="54">
        <f t="shared" si="106"/>
        <v>1.1683599419448476</v>
      </c>
      <c r="N31" s="54">
        <f t="shared" si="106"/>
        <v>1.9093567251461989</v>
      </c>
      <c r="O31" s="54">
        <f t="shared" si="106"/>
        <v>-0.29835953520164049</v>
      </c>
      <c r="P31" s="54">
        <f t="shared" si="106"/>
        <v>-0.26910771418414503</v>
      </c>
      <c r="Q31" s="54">
        <f t="shared" si="106"/>
        <v>0.23560910307898264</v>
      </c>
      <c r="R31" s="54">
        <f t="shared" si="106"/>
        <v>0.14120603015075384</v>
      </c>
      <c r="S31" s="54">
        <f t="shared" si="106"/>
        <v>7.5499269361909427E-2</v>
      </c>
      <c r="T31" s="54">
        <f t="shared" si="106"/>
        <v>3.7451361867704369E-2</v>
      </c>
      <c r="U31" s="54">
        <f t="shared" si="106"/>
        <v>0.44799566630552556</v>
      </c>
      <c r="V31" s="54">
        <f t="shared" ref="V31:V33" si="111">+V26/R26-1</f>
        <v>0.43813298106560983</v>
      </c>
      <c r="W31" s="54">
        <f t="shared" si="107"/>
        <v>0.95063405797101441</v>
      </c>
      <c r="X31" s="54">
        <f t="shared" si="107"/>
        <v>0.98968588842006566</v>
      </c>
      <c r="Y31" s="54">
        <f t="shared" si="107"/>
        <v>0.66367377478488598</v>
      </c>
      <c r="Z31" s="54">
        <f t="shared" si="107"/>
        <v>0.76240048989589715</v>
      </c>
      <c r="AA31" s="54">
        <f t="shared" si="107"/>
        <v>0.29579753889017879</v>
      </c>
      <c r="AB31" s="54">
        <f t="shared" si="107"/>
        <v>0.29406220546654094</v>
      </c>
      <c r="AC31" s="54">
        <f t="shared" si="107"/>
        <v>0.11378457387002472</v>
      </c>
      <c r="AD31" s="55">
        <v>0.08</v>
      </c>
      <c r="AE31" s="55">
        <v>0.08</v>
      </c>
      <c r="AF31" s="55">
        <v>0.08</v>
      </c>
      <c r="AG31" s="55">
        <v>0.08</v>
      </c>
      <c r="AH31" s="417"/>
      <c r="AI31" s="55">
        <v>0.23</v>
      </c>
      <c r="AJ31" s="417"/>
      <c r="AK31" s="47"/>
      <c r="AL31" s="54"/>
      <c r="AM31" s="54">
        <f t="shared" ref="AM31:AM32" si="112">+AM26/AL26-1</f>
        <v>-9.342105263157896E-2</v>
      </c>
      <c r="AN31" s="54">
        <f t="shared" ref="AN31:BB32" si="113">+AN26/AM26-1</f>
        <v>1.1683599419448476</v>
      </c>
      <c r="AO31" s="54">
        <f t="shared" si="113"/>
        <v>0.23560910307898264</v>
      </c>
      <c r="AP31" s="54">
        <f t="shared" si="113"/>
        <v>0.44799566630552556</v>
      </c>
      <c r="AQ31" s="54">
        <f t="shared" si="113"/>
        <v>0.66367377478488598</v>
      </c>
      <c r="AR31" s="54">
        <f t="shared" si="113"/>
        <v>0.11378457387002472</v>
      </c>
      <c r="AS31" s="54">
        <f t="shared" si="113"/>
        <v>8.0000000000000071E-2</v>
      </c>
      <c r="AT31" s="55">
        <v>0.06</v>
      </c>
      <c r="AU31" s="55">
        <v>0.06</v>
      </c>
      <c r="AV31" s="55">
        <v>0.06</v>
      </c>
      <c r="AW31" s="55">
        <v>0.06</v>
      </c>
      <c r="AX31" s="55">
        <v>0.06</v>
      </c>
      <c r="AY31" s="55">
        <v>4.4999999999999998E-2</v>
      </c>
      <c r="AZ31" s="55">
        <f>+AY31</f>
        <v>4.4999999999999998E-2</v>
      </c>
      <c r="BA31" s="55">
        <f t="shared" si="110"/>
        <v>4.4999999999999998E-2</v>
      </c>
      <c r="BB31" s="55">
        <f t="shared" si="110"/>
        <v>4.4999999999999998E-2</v>
      </c>
    </row>
    <row r="32" spans="1:54" s="42" customFormat="1" x14ac:dyDescent="0.25">
      <c r="A32" s="19" t="s">
        <v>58</v>
      </c>
      <c r="B32" s="51"/>
      <c r="C32" s="51"/>
      <c r="D32" s="51"/>
      <c r="E32" s="51"/>
      <c r="F32" s="51"/>
      <c r="G32" s="51"/>
      <c r="H32" s="51"/>
      <c r="I32" s="54"/>
      <c r="J32" s="54"/>
      <c r="K32" s="54"/>
      <c r="L32" s="54"/>
      <c r="M32" s="54"/>
      <c r="N32" s="54"/>
      <c r="O32" s="54"/>
      <c r="P32" s="54"/>
      <c r="Q32" s="54"/>
      <c r="R32" s="54"/>
      <c r="S32" s="54"/>
      <c r="T32" s="54"/>
      <c r="U32" s="54"/>
      <c r="V32" s="54">
        <f t="shared" ref="V32" si="114">+V27/R27-1</f>
        <v>1.8555555555555556</v>
      </c>
      <c r="W32" s="54">
        <f t="shared" ref="W32" si="115">+W27/S27-1</f>
        <v>2.183098591549296</v>
      </c>
      <c r="X32" s="54">
        <f t="shared" ref="X32:AC32" si="116">+X27/T27-1</f>
        <v>0.90291262135922334</v>
      </c>
      <c r="Y32" s="54">
        <f t="shared" si="116"/>
        <v>-0.36330935251798557</v>
      </c>
      <c r="Z32" s="54">
        <f t="shared" si="116"/>
        <v>-0.35408560311284043</v>
      </c>
      <c r="AA32" s="54">
        <f t="shared" si="116"/>
        <v>-0.32300884955752207</v>
      </c>
      <c r="AB32" s="54">
        <f t="shared" si="116"/>
        <v>-0.29591836734693877</v>
      </c>
      <c r="AC32" s="54">
        <f t="shared" si="116"/>
        <v>16.152542372881356</v>
      </c>
      <c r="AD32" s="47"/>
      <c r="AE32" s="47"/>
      <c r="AF32" s="47"/>
      <c r="AG32" s="47"/>
      <c r="AI32" s="47"/>
      <c r="AK32" s="47"/>
      <c r="AL32" s="54"/>
      <c r="AM32" s="54">
        <f t="shared" si="112"/>
        <v>-0.27586206896551724</v>
      </c>
      <c r="AN32" s="54">
        <f t="shared" si="113"/>
        <v>-1</v>
      </c>
      <c r="AO32" s="54" t="e">
        <f t="shared" si="113"/>
        <v>#DIV/0!</v>
      </c>
      <c r="AP32" s="54" t="e">
        <f t="shared" si="113"/>
        <v>#DIV/0!</v>
      </c>
      <c r="AQ32" s="54">
        <f t="shared" si="113"/>
        <v>-0.36330935251798557</v>
      </c>
      <c r="AR32" s="54">
        <f t="shared" si="113"/>
        <v>16.152542372881356</v>
      </c>
      <c r="AS32" s="54">
        <f t="shared" si="113"/>
        <v>0</v>
      </c>
      <c r="AT32" s="54">
        <f t="shared" si="113"/>
        <v>0</v>
      </c>
      <c r="AU32" s="54">
        <f t="shared" si="113"/>
        <v>0</v>
      </c>
      <c r="AV32" s="54">
        <f t="shared" si="113"/>
        <v>0</v>
      </c>
      <c r="AW32" s="54">
        <f t="shared" si="113"/>
        <v>0</v>
      </c>
      <c r="AX32" s="54">
        <f t="shared" si="113"/>
        <v>0</v>
      </c>
      <c r="AY32" s="54">
        <f t="shared" si="113"/>
        <v>0</v>
      </c>
      <c r="AZ32" s="54">
        <f t="shared" si="113"/>
        <v>0</v>
      </c>
      <c r="BA32" s="54">
        <f t="shared" si="113"/>
        <v>0</v>
      </c>
      <c r="BB32" s="54">
        <f t="shared" si="113"/>
        <v>0</v>
      </c>
    </row>
    <row r="33" spans="1:54" s="42" customFormat="1" x14ac:dyDescent="0.25">
      <c r="A33" s="8" t="s">
        <v>59</v>
      </c>
      <c r="B33" s="51"/>
      <c r="C33" s="51"/>
      <c r="D33" s="51"/>
      <c r="E33" s="51"/>
      <c r="F33" s="51"/>
      <c r="G33" s="51"/>
      <c r="H33" s="51"/>
      <c r="I33" s="56">
        <f t="shared" si="106"/>
        <v>2.3874941835988484E-2</v>
      </c>
      <c r="J33" s="56">
        <f t="shared" si="106"/>
        <v>-1.235757372654156E-2</v>
      </c>
      <c r="K33" s="56">
        <f t="shared" si="106"/>
        <v>1.6369932863091741E-2</v>
      </c>
      <c r="L33" s="56">
        <f t="shared" si="106"/>
        <v>2.6498706076095502E-2</v>
      </c>
      <c r="M33" s="56">
        <f t="shared" si="106"/>
        <v>5.924234718720589E-2</v>
      </c>
      <c r="N33" s="56">
        <f t="shared" si="106"/>
        <v>6.9347245196589968E-2</v>
      </c>
      <c r="O33" s="56">
        <f t="shared" si="106"/>
        <v>7.3110569938438674E-2</v>
      </c>
      <c r="P33" s="56">
        <f t="shared" si="106"/>
        <v>8.3381948495707903E-2</v>
      </c>
      <c r="Q33" s="56">
        <f t="shared" si="106"/>
        <v>0.15280104605074984</v>
      </c>
      <c r="R33" s="56">
        <f t="shared" si="106"/>
        <v>0.17251705537045847</v>
      </c>
      <c r="S33" s="56">
        <f t="shared" si="106"/>
        <v>0.17035803334891697</v>
      </c>
      <c r="T33" s="56">
        <f t="shared" si="106"/>
        <v>0.19420939266894877</v>
      </c>
      <c r="U33" s="56">
        <f t="shared" si="106"/>
        <v>0.12468763845813036</v>
      </c>
      <c r="V33" s="56">
        <f t="shared" si="111"/>
        <v>0.11750080340984059</v>
      </c>
      <c r="W33" s="56">
        <f t="shared" ref="W33" si="117">+W28/S28-1</f>
        <v>0.13971854897098113</v>
      </c>
      <c r="X33" s="56">
        <f t="shared" ref="X33:AC33" si="118">+X28/T28-1</f>
        <v>0.13836528628827716</v>
      </c>
      <c r="Y33" s="56">
        <f t="shared" si="118"/>
        <v>0.15386736631447917</v>
      </c>
      <c r="Z33" s="56">
        <f t="shared" si="118"/>
        <v>0.13257908279097919</v>
      </c>
      <c r="AA33" s="56">
        <f t="shared" si="118"/>
        <v>0.10500029207313522</v>
      </c>
      <c r="AB33" s="56">
        <f t="shared" si="118"/>
        <v>9.4088854622746299E-2</v>
      </c>
      <c r="AC33" s="56">
        <f t="shared" si="118"/>
        <v>7.3697507681802721E-2</v>
      </c>
      <c r="AD33" s="56">
        <f t="shared" ref="AD33" si="119">+AD28/Z28-1</f>
        <v>7.0275292498279462E-2</v>
      </c>
      <c r="AE33" s="56">
        <f t="shared" ref="AE33" si="120">+AE28/AA28-1</f>
        <v>7.0106652922052204E-2</v>
      </c>
      <c r="AF33" s="56">
        <f t="shared" ref="AF33" si="121">+AF28/AB28-1</f>
        <v>9.8664201346013503E-2</v>
      </c>
      <c r="AG33" s="56">
        <f t="shared" ref="AG33" si="122">+AG28/AC28-1</f>
        <v>7.8455384341433287E-2</v>
      </c>
      <c r="AH33" s="418"/>
      <c r="AI33" s="56">
        <v>8.4191806077159592E-2</v>
      </c>
      <c r="AJ33" s="418"/>
      <c r="AK33" s="47"/>
      <c r="AL33" s="56"/>
      <c r="AM33" s="56">
        <f t="shared" ref="AM33" si="123">+AM28/AL28-1</f>
        <v>2.3874941835988484E-2</v>
      </c>
      <c r="AN33" s="56">
        <f t="shared" ref="AN33:BB33" si="124">+AN28/AM28-1</f>
        <v>5.924234718720589E-2</v>
      </c>
      <c r="AO33" s="56">
        <f t="shared" si="124"/>
        <v>0.15280104605074984</v>
      </c>
      <c r="AP33" s="56">
        <f t="shared" si="124"/>
        <v>0.12468763845813036</v>
      </c>
      <c r="AQ33" s="56">
        <f t="shared" si="124"/>
        <v>0.15386736631447917</v>
      </c>
      <c r="AR33" s="56">
        <f t="shared" si="124"/>
        <v>7.3697507681802721E-2</v>
      </c>
      <c r="AS33" s="56">
        <f t="shared" si="124"/>
        <v>7.8455384341433287E-2</v>
      </c>
      <c r="AT33" s="56">
        <f t="shared" si="124"/>
        <v>9.6947924620160775E-2</v>
      </c>
      <c r="AU33" s="56">
        <f t="shared" si="124"/>
        <v>5.9020750174778147E-2</v>
      </c>
      <c r="AV33" s="56">
        <f t="shared" si="124"/>
        <v>5.9075325176527249E-2</v>
      </c>
      <c r="AW33" s="56">
        <f t="shared" si="124"/>
        <v>5.9126903628579308E-2</v>
      </c>
      <c r="AX33" s="56">
        <f t="shared" si="124"/>
        <v>5.917564517676821E-2</v>
      </c>
      <c r="AY33" s="56">
        <f t="shared" si="124"/>
        <v>4.4416276119792375E-2</v>
      </c>
      <c r="AZ33" s="56">
        <f t="shared" si="124"/>
        <v>4.4441100360503638E-2</v>
      </c>
      <c r="BA33" s="56">
        <f t="shared" si="124"/>
        <v>4.446488161055373E-2</v>
      </c>
      <c r="BB33" s="56">
        <f t="shared" si="124"/>
        <v>4.4487662631010449E-2</v>
      </c>
    </row>
    <row r="34" spans="1:54" s="42" customFormat="1" x14ac:dyDescent="0.25">
      <c r="A34" s="8"/>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47"/>
      <c r="AE34" s="47"/>
      <c r="AF34" s="47"/>
      <c r="AG34" s="47"/>
      <c r="AI34" s="47"/>
      <c r="AK34" s="47"/>
      <c r="AL34" s="51"/>
      <c r="AM34" s="51"/>
      <c r="AN34" s="51"/>
      <c r="AO34" s="51"/>
      <c r="AP34" s="51"/>
      <c r="AQ34" s="51"/>
      <c r="AR34" s="51"/>
      <c r="AS34" s="51"/>
      <c r="AT34" s="47"/>
      <c r="AU34" s="47"/>
      <c r="AV34" s="47"/>
      <c r="AW34" s="47"/>
      <c r="AX34" s="47"/>
      <c r="AY34" s="47"/>
      <c r="AZ34" s="47"/>
      <c r="BA34" s="47"/>
      <c r="BB34" s="47"/>
    </row>
    <row r="35" spans="1:54" s="42" customFormat="1" x14ac:dyDescent="0.25">
      <c r="A35" s="8" t="s">
        <v>60</v>
      </c>
      <c r="B35" s="51"/>
      <c r="C35" s="51"/>
      <c r="D35" s="51"/>
      <c r="E35" s="51"/>
      <c r="F35" s="51"/>
      <c r="G35" s="51"/>
      <c r="H35" s="51"/>
      <c r="I35" s="51">
        <f t="shared" ref="I35:V35" si="125">+I28+I19</f>
        <v>108864</v>
      </c>
      <c r="J35" s="51">
        <f t="shared" si="125"/>
        <v>110847</v>
      </c>
      <c r="K35" s="51">
        <f t="shared" si="125"/>
        <v>112633</v>
      </c>
      <c r="L35" s="51">
        <f t="shared" si="125"/>
        <v>113352</v>
      </c>
      <c r="M35" s="51">
        <f t="shared" si="125"/>
        <v>115817</v>
      </c>
      <c r="N35" s="51">
        <f t="shared" si="125"/>
        <v>119356</v>
      </c>
      <c r="O35" s="51">
        <f t="shared" si="125"/>
        <v>121909</v>
      </c>
      <c r="P35" s="51">
        <f t="shared" si="125"/>
        <v>124352</v>
      </c>
      <c r="Q35" s="51">
        <f t="shared" si="125"/>
        <v>135100</v>
      </c>
      <c r="R35" s="51">
        <f t="shared" si="125"/>
        <v>141532</v>
      </c>
      <c r="S35" s="51">
        <f t="shared" si="125"/>
        <v>144917</v>
      </c>
      <c r="T35" s="51">
        <f t="shared" si="125"/>
        <v>149749</v>
      </c>
      <c r="U35" s="51">
        <f t="shared" si="125"/>
        <v>153248</v>
      </c>
      <c r="V35" s="51">
        <f t="shared" si="125"/>
        <v>158609</v>
      </c>
      <c r="W35" s="51">
        <f t="shared" ref="W35" si="126">+W28+W19</f>
        <v>164127</v>
      </c>
      <c r="X35" s="51">
        <f>+X28+X19</f>
        <v>169116</v>
      </c>
      <c r="Y35" s="51">
        <f>+Y28+Y19</f>
        <v>174951</v>
      </c>
      <c r="Z35" s="51">
        <f>+Z28+Z19</f>
        <v>178506</v>
      </c>
      <c r="AA35" s="51">
        <f t="shared" ref="AA35:AB35" si="127">+AA28+AA19</f>
        <v>180932</v>
      </c>
      <c r="AB35" s="51">
        <f t="shared" si="127"/>
        <v>185036</v>
      </c>
      <c r="AC35" s="51">
        <f t="shared" ref="AC35" si="128">+AC28+AC19</f>
        <v>188396</v>
      </c>
      <c r="AD35" s="52">
        <f t="shared" ref="AD35:AG35" si="129">+AD28+AD19</f>
        <v>191206.49000000002</v>
      </c>
      <c r="AE35" s="52">
        <f t="shared" si="129"/>
        <v>193909.38</v>
      </c>
      <c r="AF35" s="52">
        <f t="shared" si="129"/>
        <v>202991.36000000004</v>
      </c>
      <c r="AG35" s="52">
        <f t="shared" si="129"/>
        <v>203501.18</v>
      </c>
      <c r="AH35" s="414"/>
      <c r="AI35" s="52">
        <v>189560.97000000003</v>
      </c>
      <c r="AJ35" s="414"/>
      <c r="AK35" s="47"/>
      <c r="AL35" s="51">
        <f>+SUMIFS($B35:AF35,$B$4:AF$4,"="&amp;AL$3)</f>
        <v>0</v>
      </c>
      <c r="AM35" s="51">
        <f>+SUMIFS($B35:AG35,$B$4:AG$4,"="&amp;AM$3)</f>
        <v>108864</v>
      </c>
      <c r="AN35" s="51">
        <f>+SUMIFS($B35:AG35,$B$4:AG$4,"="&amp;AN$3)</f>
        <v>115817</v>
      </c>
      <c r="AO35" s="51">
        <f>+SUMIFS($B35:AG35,$B$4:AG$4,"="&amp;AO$3)</f>
        <v>135100</v>
      </c>
      <c r="AP35" s="51">
        <f>+SUMIFS($B35:AG35,$B$4:AG$4,"="&amp;AP$3)</f>
        <v>153248</v>
      </c>
      <c r="AQ35" s="51">
        <f>+SUMIFS($B35:AG35,$B$4:AG$4,"="&amp;AQ$3)</f>
        <v>174951</v>
      </c>
      <c r="AR35" s="51">
        <f>+SUMIFS($B35:AG35,$B$4:AG$4,"="&amp;AR$3)</f>
        <v>188396</v>
      </c>
      <c r="AS35" s="51">
        <f>+SUMIFS($B35:$AG35,$B$4:$AG$4,"="&amp;AS$3)</f>
        <v>203501.18</v>
      </c>
      <c r="AT35" s="52">
        <f t="shared" ref="AT35:BB35" si="130">+AT28+AT19</f>
        <v>222959.31400000001</v>
      </c>
      <c r="AU35" s="52">
        <f t="shared" si="130"/>
        <v>236823.55244000006</v>
      </c>
      <c r="AV35" s="52">
        <f t="shared" si="130"/>
        <v>251586.52914640008</v>
      </c>
      <c r="AW35" s="52">
        <f t="shared" si="130"/>
        <v>267308.85681118409</v>
      </c>
      <c r="AX35" s="52">
        <f t="shared" si="130"/>
        <v>284055.45372745511</v>
      </c>
      <c r="AY35" s="52">
        <f t="shared" si="130"/>
        <v>298047.79522543558</v>
      </c>
      <c r="AZ35" s="52">
        <f t="shared" si="130"/>
        <v>312804.43869884964</v>
      </c>
      <c r="BA35" s="52">
        <f t="shared" si="130"/>
        <v>328373.24239739432</v>
      </c>
      <c r="BB35" s="52">
        <f t="shared" si="130"/>
        <v>344805.56465808314</v>
      </c>
    </row>
    <row r="36" spans="1:54" s="42" customFormat="1" x14ac:dyDescent="0.25">
      <c r="A36" s="19" t="s">
        <v>61</v>
      </c>
      <c r="B36" s="51"/>
      <c r="C36" s="51"/>
      <c r="D36" s="51"/>
      <c r="E36" s="51"/>
      <c r="F36" s="51"/>
      <c r="G36" s="51"/>
      <c r="H36" s="51"/>
      <c r="I36" s="51"/>
      <c r="J36" s="51"/>
      <c r="K36" s="51"/>
      <c r="L36" s="51"/>
      <c r="M36" s="54">
        <f t="shared" ref="M36:U36" si="131">+M35/I35-1</f>
        <v>6.3868680188124527E-2</v>
      </c>
      <c r="N36" s="54">
        <f t="shared" si="131"/>
        <v>7.6763466760489729E-2</v>
      </c>
      <c r="O36" s="54">
        <f t="shared" si="131"/>
        <v>8.2355970275141299E-2</v>
      </c>
      <c r="P36" s="54">
        <f t="shared" si="131"/>
        <v>9.704284000282315E-2</v>
      </c>
      <c r="Q36" s="54">
        <f t="shared" si="131"/>
        <v>0.16649541949800106</v>
      </c>
      <c r="R36" s="54">
        <f t="shared" si="131"/>
        <v>0.18579711116324282</v>
      </c>
      <c r="S36" s="54">
        <f t="shared" si="131"/>
        <v>0.18873093865096102</v>
      </c>
      <c r="T36" s="54">
        <f t="shared" si="131"/>
        <v>0.20423475295934113</v>
      </c>
      <c r="U36" s="54">
        <f t="shared" si="131"/>
        <v>0.13433012583271653</v>
      </c>
      <c r="V36" s="54">
        <f>+V35/R35-1</f>
        <v>0.12065822570160822</v>
      </c>
      <c r="W36" s="54">
        <f t="shared" ref="W36:Z36" si="132">+W35/S35-1</f>
        <v>0.13255863701291082</v>
      </c>
      <c r="X36" s="54">
        <f t="shared" si="132"/>
        <v>0.12932974510681206</v>
      </c>
      <c r="Y36" s="54">
        <f t="shared" si="132"/>
        <v>0.14162011902276039</v>
      </c>
      <c r="Z36" s="54">
        <f t="shared" si="132"/>
        <v>0.12544685358334018</v>
      </c>
      <c r="AA36" s="54">
        <f t="shared" ref="AA36:AC36" si="133">+AA35/W35-1</f>
        <v>0.10239022220597471</v>
      </c>
      <c r="AB36" s="54">
        <f t="shared" si="133"/>
        <v>9.4136568982237101E-2</v>
      </c>
      <c r="AC36" s="54">
        <f t="shared" si="133"/>
        <v>7.6850089453618375E-2</v>
      </c>
      <c r="AD36" s="58">
        <f t="shared" ref="AD36:AG36" si="134">+AD35/Z35-1</f>
        <v>7.1148812925055926E-2</v>
      </c>
      <c r="AE36" s="58">
        <f t="shared" si="134"/>
        <v>7.1725178520106958E-2</v>
      </c>
      <c r="AF36" s="58">
        <f t="shared" si="134"/>
        <v>9.7037117101537174E-2</v>
      </c>
      <c r="AG36" s="58">
        <f t="shared" si="134"/>
        <v>8.017781693878856E-2</v>
      </c>
      <c r="AH36" s="420"/>
      <c r="AI36" s="58">
        <v>8.350892535624288E-2</v>
      </c>
      <c r="AJ36" s="420"/>
      <c r="AK36" s="47"/>
      <c r="AL36" s="54"/>
      <c r="AM36" s="54" t="e">
        <f t="shared" ref="AM36" si="135">+AM35/AL35-1</f>
        <v>#DIV/0!</v>
      </c>
      <c r="AN36" s="54">
        <f t="shared" ref="AN36" si="136">+AN35/AM35-1</f>
        <v>6.3868680188124527E-2</v>
      </c>
      <c r="AO36" s="54">
        <f t="shared" ref="AO36" si="137">+AO35/AN35-1</f>
        <v>0.16649541949800106</v>
      </c>
      <c r="AP36" s="54">
        <f t="shared" ref="AP36" si="138">+AP35/AO35-1</f>
        <v>0.13433012583271653</v>
      </c>
      <c r="AQ36" s="54">
        <f t="shared" ref="AQ36" si="139">+AQ35/AP35-1</f>
        <v>0.14162011902276039</v>
      </c>
      <c r="AR36" s="54">
        <f t="shared" ref="AR36" si="140">+AR35/AQ35-1</f>
        <v>7.6850089453618375E-2</v>
      </c>
      <c r="AS36" s="54">
        <f t="shared" ref="AS36" si="141">+AS35/AR35-1</f>
        <v>8.017781693878856E-2</v>
      </c>
      <c r="AT36" s="54">
        <f t="shared" ref="AT36" si="142">+AT35/AS35-1</f>
        <v>9.5616811656817013E-2</v>
      </c>
      <c r="AU36" s="54">
        <f t="shared" ref="AU36" si="143">+AU35/AT35-1</f>
        <v>6.2182817982656902E-2</v>
      </c>
      <c r="AV36" s="54">
        <f t="shared" ref="AV36" si="144">+AV35/AU35-1</f>
        <v>6.2337451466700111E-2</v>
      </c>
      <c r="AW36" s="54">
        <f t="shared" ref="AW36" si="145">+AW35/AV35-1</f>
        <v>6.2492724543431688E-2</v>
      </c>
      <c r="AX36" s="54">
        <f t="shared" ref="AX36" si="146">+AX35/AW35-1</f>
        <v>6.2648866618363108E-2</v>
      </c>
      <c r="AY36" s="54">
        <f t="shared" ref="AY36" si="147">+AY35/AX35-1</f>
        <v>4.9259189761608368E-2</v>
      </c>
      <c r="AZ36" s="54">
        <f t="shared" ref="AZ36" si="148">+AZ35/AY35-1</f>
        <v>4.9510996926692696E-2</v>
      </c>
      <c r="BA36" s="54">
        <f t="shared" ref="BA36" si="149">+BA35/AZ35-1</f>
        <v>4.9771684069782163E-2</v>
      </c>
      <c r="BB36" s="54">
        <f t="shared" ref="BB36" si="150">+BB35/BA35-1</f>
        <v>5.0041599433374495E-2</v>
      </c>
    </row>
    <row r="37" spans="1:54" s="42" customFormat="1" x14ac:dyDescent="0.25">
      <c r="A37" s="2"/>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L37" s="39"/>
      <c r="AM37" s="39"/>
      <c r="AN37" s="39"/>
      <c r="AO37" s="39"/>
      <c r="AP37" s="39"/>
      <c r="AQ37" s="39"/>
      <c r="AR37" s="39"/>
      <c r="AS37" s="39"/>
    </row>
    <row r="38" spans="1:54" s="42" customFormat="1" x14ac:dyDescent="0.25">
      <c r="A38" s="8" t="s">
        <v>62</v>
      </c>
      <c r="B38" s="51">
        <f t="shared" ref="B38:U38" si="151">+B42+B45</f>
        <v>1806</v>
      </c>
      <c r="C38" s="51">
        <f t="shared" si="151"/>
        <v>1771</v>
      </c>
      <c r="D38" s="51">
        <f t="shared" si="151"/>
        <v>1722</v>
      </c>
      <c r="E38" s="51">
        <f t="shared" si="151"/>
        <v>1918</v>
      </c>
      <c r="F38" s="51">
        <f t="shared" si="151"/>
        <v>2067</v>
      </c>
      <c r="G38" s="51">
        <f t="shared" si="151"/>
        <v>1719</v>
      </c>
      <c r="H38" s="51">
        <f t="shared" si="151"/>
        <v>1362</v>
      </c>
      <c r="I38" s="51">
        <f t="shared" si="151"/>
        <v>1552</v>
      </c>
      <c r="J38" s="51">
        <f t="shared" si="151"/>
        <v>1944</v>
      </c>
      <c r="K38" s="51">
        <f t="shared" si="151"/>
        <v>1836</v>
      </c>
      <c r="L38" s="51">
        <f t="shared" si="151"/>
        <v>1913</v>
      </c>
      <c r="M38" s="51">
        <f t="shared" si="151"/>
        <v>2135</v>
      </c>
      <c r="N38" s="51">
        <f t="shared" si="151"/>
        <v>1870</v>
      </c>
      <c r="O38" s="51">
        <f t="shared" si="151"/>
        <v>1642</v>
      </c>
      <c r="P38" s="51">
        <f t="shared" si="151"/>
        <v>1654</v>
      </c>
      <c r="Q38" s="51">
        <f t="shared" si="151"/>
        <v>1776</v>
      </c>
      <c r="R38" s="51">
        <f t="shared" si="151"/>
        <v>1766</v>
      </c>
      <c r="S38" s="51">
        <f t="shared" si="151"/>
        <v>1923</v>
      </c>
      <c r="T38" s="51">
        <f t="shared" si="151"/>
        <v>2026</v>
      </c>
      <c r="U38" s="51">
        <f t="shared" si="151"/>
        <v>2053</v>
      </c>
      <c r="V38" s="51">
        <f>+V42+V45</f>
        <v>2037</v>
      </c>
      <c r="W38" s="51">
        <f t="shared" ref="W38:Y38" si="152">+W42+W45</f>
        <v>2155</v>
      </c>
      <c r="X38" s="51">
        <f t="shared" si="152"/>
        <v>2117</v>
      </c>
      <c r="Y38" s="51">
        <f t="shared" si="152"/>
        <v>2225</v>
      </c>
      <c r="Z38" s="51">
        <f>+Z42+Z45</f>
        <v>2480</v>
      </c>
      <c r="AA38" s="51">
        <f t="shared" ref="AA38" si="153">+AA42+AA45</f>
        <v>2790</v>
      </c>
      <c r="AB38" s="51">
        <f t="shared" ref="AB38:AC38" si="154">+AB42+AB45</f>
        <v>3064</v>
      </c>
      <c r="AC38" s="51">
        <f t="shared" si="154"/>
        <v>2446</v>
      </c>
      <c r="AD38" s="469">
        <f t="shared" ref="AD38:AG38" si="155">+AD56</f>
        <v>2498.1248779211137</v>
      </c>
      <c r="AE38" s="469">
        <f t="shared" si="155"/>
        <v>2579.6556828636567</v>
      </c>
      <c r="AF38" s="469">
        <f t="shared" si="155"/>
        <v>2622.3429023363328</v>
      </c>
      <c r="AG38" s="469">
        <f t="shared" si="155"/>
        <v>2663.7783231550884</v>
      </c>
      <c r="AI38" s="469">
        <v>3297.9860000000003</v>
      </c>
      <c r="AK38" s="47"/>
      <c r="AL38" s="51"/>
      <c r="AM38" s="51">
        <f>+SUMIFS($B38:AG38,$B$4:AG$4,"="&amp;AM$3)</f>
        <v>1552</v>
      </c>
      <c r="AN38" s="51">
        <f>+SUMIFS($B38:AG38,$B$4:AG$4,"="&amp;AN$3)</f>
        <v>2135</v>
      </c>
      <c r="AO38" s="51">
        <f>+SUMIFS($B38:AG38,$B$4:AG$4,"="&amp;AO$3)</f>
        <v>1776</v>
      </c>
      <c r="AP38" s="51">
        <f>+SUMIFS($B38:AG38,$B$4:AG$4,"="&amp;AP$3)</f>
        <v>2053</v>
      </c>
      <c r="AQ38" s="51">
        <f>+SUMIFS($B38:AG38,$B$4:AG$4,"="&amp;AQ$3)</f>
        <v>2225</v>
      </c>
      <c r="AR38" s="51">
        <f>+SUMIFS($B38:AG38,$B$4:AG$4,"="&amp;AR$3)</f>
        <v>2446</v>
      </c>
      <c r="AS38" s="51">
        <f>+SUMIFS($B38:$AG38,$B$4:$AG$4,"="&amp;AS$3)</f>
        <v>2663.7783231550884</v>
      </c>
      <c r="AT38" s="47"/>
      <c r="AU38" s="47"/>
      <c r="AV38" s="47"/>
      <c r="AW38" s="47"/>
      <c r="AX38" s="47"/>
      <c r="AY38" s="47"/>
      <c r="AZ38" s="47"/>
      <c r="BA38" s="47"/>
      <c r="BB38" s="47"/>
    </row>
    <row r="39" spans="1:54" s="467" customFormat="1" x14ac:dyDescent="0.25">
      <c r="A39" s="524" t="s">
        <v>63</v>
      </c>
      <c r="B39" s="468">
        <f t="shared" ref="B39" si="156">+B38/AVERAGE(A7:B7)</f>
        <v>1.7663628183560893E-2</v>
      </c>
      <c r="C39" s="468">
        <f t="shared" ref="C39" si="157">+C38/AVERAGE(B7:C7)</f>
        <v>1.6980842617983778E-2</v>
      </c>
      <c r="D39" s="468">
        <f t="shared" ref="D39" si="158">+D38/AVERAGE(C7:D7)</f>
        <v>1.6070253699098033E-2</v>
      </c>
      <c r="E39" s="468">
        <f t="shared" ref="E39" si="159">+E38/AVERAGE(D7:E7)</f>
        <v>1.7767649538207857E-2</v>
      </c>
      <c r="F39" s="468">
        <f t="shared" ref="F39" si="160">+F38/AVERAGE(E7:F7)</f>
        <v>1.8680017713030826E-2</v>
      </c>
      <c r="G39" s="468">
        <f t="shared" ref="G39" si="161">+G38/AVERAGE(F7:G7)</f>
        <v>1.5283939860052814E-2</v>
      </c>
      <c r="H39" s="468">
        <f t="shared" ref="H39" si="162">+H38/AVERAGE(G7:H7)</f>
        <v>1.2230713278675276E-2</v>
      </c>
      <c r="I39" s="468">
        <f t="shared" ref="I39" si="163">+I38/AVERAGE(H7:I7)</f>
        <v>1.4009432897795229E-2</v>
      </c>
      <c r="J39" s="468">
        <f t="shared" ref="J39" si="164">+J38/AVERAGE(I7:J7)</f>
        <v>1.7418808549911069E-2</v>
      </c>
      <c r="K39" s="468">
        <f t="shared" ref="K39" si="165">+K38/AVERAGE(J7:K7)</f>
        <v>1.6157704831470561E-2</v>
      </c>
      <c r="L39" s="468">
        <f t="shared" ref="L39" si="166">+L38/AVERAGE(K7:L7)</f>
        <v>1.6654043371899675E-2</v>
      </c>
      <c r="M39" s="468">
        <f t="shared" ref="M39" si="167">+M38/AVERAGE(L7:M7)</f>
        <v>1.8309128408306428E-2</v>
      </c>
      <c r="N39" s="468">
        <f t="shared" ref="N39" si="168">+N38/AVERAGE(M7:N7)</f>
        <v>1.5636889680489006E-2</v>
      </c>
      <c r="O39" s="468">
        <f t="shared" ref="O39" si="169">+O38/AVERAGE(N7:O7)</f>
        <v>1.3416293197481789E-2</v>
      </c>
      <c r="P39" s="468">
        <f t="shared" ref="P39" si="170">+P38/AVERAGE(O7:P7)</f>
        <v>1.3255488726022512E-2</v>
      </c>
      <c r="Q39" s="468">
        <f t="shared" ref="Q39" si="171">+Q38/AVERAGE(P7:Q7)</f>
        <v>1.351176573519678E-2</v>
      </c>
      <c r="R39" s="468">
        <f t="shared" ref="R39" si="172">+R38/AVERAGE(Q7:R7)</f>
        <v>1.2606451705011885E-2</v>
      </c>
      <c r="S39" s="468">
        <f t="shared" ref="S39:X39" si="173">+S38/AVERAGE(R7:S7)</f>
        <v>1.3255761051637496E-2</v>
      </c>
      <c r="T39" s="468">
        <f t="shared" si="173"/>
        <v>1.3569311655476115E-2</v>
      </c>
      <c r="U39" s="468">
        <f t="shared" si="173"/>
        <v>1.337128267920645E-2</v>
      </c>
      <c r="V39" s="468">
        <f t="shared" si="173"/>
        <v>1.2894567759782495E-2</v>
      </c>
      <c r="W39" s="468">
        <f t="shared" si="173"/>
        <v>1.3183330886311359E-2</v>
      </c>
      <c r="X39" s="468">
        <f t="shared" si="173"/>
        <v>1.2544627646178688E-2</v>
      </c>
      <c r="Y39" s="468">
        <f>+Y38/AVERAGE(X7:Y7)</f>
        <v>1.2772345146078315E-2</v>
      </c>
      <c r="Z39" s="468">
        <f>+Z38/AVERAGE(Y7:Z7)</f>
        <v>1.3848481971845142E-2</v>
      </c>
      <c r="AA39" s="468">
        <f t="shared" ref="AA39:AG39" si="174">+AA38/AVERAGE(Z7:AA7)</f>
        <v>1.5299911161806158E-2</v>
      </c>
      <c r="AB39" s="468">
        <f t="shared" si="174"/>
        <v>1.6481004351544558E-2</v>
      </c>
      <c r="AC39" s="468">
        <f t="shared" si="174"/>
        <v>1.2909627330831631E-2</v>
      </c>
      <c r="AD39" s="468">
        <f t="shared" si="174"/>
        <v>1.2992572454261095E-2</v>
      </c>
      <c r="AE39" s="468">
        <f t="shared" si="174"/>
        <v>1.3222438033813136E-2</v>
      </c>
      <c r="AF39" s="468">
        <f t="shared" si="174"/>
        <v>1.3043148681668053E-2</v>
      </c>
      <c r="AG39" s="468">
        <f t="shared" si="174"/>
        <v>1.2937913369417626E-2</v>
      </c>
      <c r="AI39" s="468">
        <v>1.7314127666813537E-2</v>
      </c>
      <c r="AK39" s="525"/>
      <c r="AL39" s="526"/>
      <c r="AM39" s="468">
        <f t="shared" ref="AM39:AP39" si="175">+AM38/AVERAGEIFS($B$7:$AG$7,$B$4:$AG$4,"&gt;"&amp;AL$3,$B$4:$AG$4,"&lt;="&amp;AM$3)</f>
        <v>1.3903477437083853E-2</v>
      </c>
      <c r="AN39" s="468">
        <f t="shared" si="175"/>
        <v>1.854598601015903E-2</v>
      </c>
      <c r="AO39" s="468">
        <f t="shared" si="175"/>
        <v>1.3993645340671592E-2</v>
      </c>
      <c r="AP39" s="468">
        <f t="shared" si="175"/>
        <v>1.3750514890809659E-2</v>
      </c>
      <c r="AQ39" s="468">
        <f>+AQ38/AVERAGEIFS($B$7:$AG$7,$B$4:$AG$4,"&gt;"&amp;AP$3,$B$4:$AG$4,"&lt;="&amp;AQ$3)</f>
        <v>1.3178605644293146E-2</v>
      </c>
      <c r="AR39" s="468">
        <f t="shared" ref="AR39:AS39" si="176">+AR38/AVERAGEIFS($B$7:$AG$7,$B$4:$AG$4,"&gt;"&amp;AQ$3,$B$4:$AG$4,"&lt;="&amp;AR$3)</f>
        <v>1.3156726954884691E-2</v>
      </c>
      <c r="AS39" s="468">
        <f t="shared" si="176"/>
        <v>1.3286136112215201E-2</v>
      </c>
      <c r="AT39" s="525"/>
      <c r="AU39" s="525"/>
      <c r="AV39" s="525"/>
      <c r="AW39" s="525"/>
      <c r="AX39" s="525"/>
      <c r="AY39" s="525"/>
      <c r="AZ39" s="525"/>
      <c r="BA39" s="525"/>
      <c r="BB39" s="525"/>
    </row>
    <row r="40" spans="1:54" s="42" customFormat="1" x14ac:dyDescent="0.25">
      <c r="A40" s="19" t="s">
        <v>53</v>
      </c>
      <c r="B40" s="48">
        <v>217</v>
      </c>
      <c r="C40" s="48">
        <v>217</v>
      </c>
      <c r="D40" s="48">
        <v>222</v>
      </c>
      <c r="E40" s="48">
        <v>252</v>
      </c>
      <c r="F40" s="48">
        <v>293</v>
      </c>
      <c r="G40" s="48">
        <v>268</v>
      </c>
      <c r="H40" s="48">
        <v>264</v>
      </c>
      <c r="I40" s="48">
        <v>306</v>
      </c>
      <c r="J40" s="48">
        <v>333</v>
      </c>
      <c r="K40" s="48">
        <v>330</v>
      </c>
      <c r="L40" s="48">
        <v>318</v>
      </c>
      <c r="M40" s="48">
        <v>319</v>
      </c>
      <c r="N40" s="48">
        <v>290</v>
      </c>
      <c r="O40" s="48">
        <v>290</v>
      </c>
      <c r="P40" s="48">
        <v>274</v>
      </c>
      <c r="Q40" s="48">
        <v>272</v>
      </c>
      <c r="R40" s="48">
        <v>265</v>
      </c>
      <c r="S40" s="48">
        <v>246</v>
      </c>
      <c r="T40" s="48">
        <v>230</v>
      </c>
      <c r="U40" s="48">
        <v>230</v>
      </c>
      <c r="V40" s="48">
        <v>232</v>
      </c>
      <c r="W40" s="48">
        <v>226</v>
      </c>
      <c r="X40" s="48">
        <v>223</v>
      </c>
      <c r="Y40" s="48">
        <v>219</v>
      </c>
      <c r="Z40" s="48">
        <v>224</v>
      </c>
      <c r="AA40" s="48">
        <v>221</v>
      </c>
      <c r="AB40" s="48">
        <v>230</v>
      </c>
      <c r="AC40" s="48">
        <v>218</v>
      </c>
      <c r="AD40" s="47"/>
      <c r="AE40" s="47"/>
      <c r="AF40" s="47"/>
      <c r="AG40" s="47"/>
      <c r="AI40" s="47"/>
      <c r="AK40" s="47"/>
      <c r="AL40" s="48"/>
      <c r="AM40" s="48">
        <f>+SUMIFS($B40:AG40,$B$4:AG$4,"="&amp;AM$3)</f>
        <v>306</v>
      </c>
      <c r="AN40" s="48">
        <f>+SUMIFS($B40:AG40,$B$4:AG$4,"="&amp;AN$3)</f>
        <v>319</v>
      </c>
      <c r="AO40" s="48">
        <f>+SUMIFS($B40:AG40,$B$4:AG$4,"="&amp;AO$3)</f>
        <v>272</v>
      </c>
      <c r="AP40" s="48">
        <f>+SUMIFS($B40:AG40,$B$4:AG$4,"="&amp;AP$3)</f>
        <v>230</v>
      </c>
      <c r="AQ40" s="48">
        <f>+SUMIFS($B40:AG40,$B$4:AG$4,"="&amp;AQ$3)</f>
        <v>219</v>
      </c>
      <c r="AR40" s="48">
        <f>+SUMIFS($B40:AG40,$B$4:AG$4,"="&amp;AR$3)</f>
        <v>218</v>
      </c>
      <c r="AS40" s="48">
        <f t="shared" ref="AS40:AS45" si="177">+SUMIFS($B40:$AG40,$B$4:$AG$4,"="&amp;AS$3)</f>
        <v>0</v>
      </c>
      <c r="AT40" s="47"/>
      <c r="AU40" s="47"/>
      <c r="AV40" s="47"/>
      <c r="AW40" s="47"/>
      <c r="AX40" s="47"/>
      <c r="AY40" s="47"/>
      <c r="AZ40" s="47"/>
      <c r="BA40" s="47"/>
      <c r="BB40" s="47"/>
    </row>
    <row r="41" spans="1:54" s="42" customFormat="1" x14ac:dyDescent="0.25">
      <c r="A41" s="19" t="s">
        <v>54</v>
      </c>
      <c r="B41" s="48">
        <v>68</v>
      </c>
      <c r="C41" s="48">
        <v>79</v>
      </c>
      <c r="D41" s="48">
        <v>91</v>
      </c>
      <c r="E41" s="48">
        <v>104</v>
      </c>
      <c r="F41" s="48">
        <v>107</v>
      </c>
      <c r="G41" s="48">
        <v>84</v>
      </c>
      <c r="H41" s="48">
        <v>64</v>
      </c>
      <c r="I41" s="48">
        <v>150</v>
      </c>
      <c r="J41" s="48">
        <v>213</v>
      </c>
      <c r="K41" s="48">
        <v>142</v>
      </c>
      <c r="L41" s="48">
        <v>122</v>
      </c>
      <c r="M41" s="48">
        <v>109</v>
      </c>
      <c r="N41" s="48">
        <v>106</v>
      </c>
      <c r="O41" s="48">
        <v>106</v>
      </c>
      <c r="P41" s="48">
        <v>128</v>
      </c>
      <c r="Q41" s="48">
        <v>146</v>
      </c>
      <c r="R41" s="48">
        <v>175</v>
      </c>
      <c r="S41" s="48">
        <v>264</v>
      </c>
      <c r="T41" s="48">
        <v>335</v>
      </c>
      <c r="U41" s="48">
        <v>361</v>
      </c>
      <c r="V41" s="48">
        <v>308</v>
      </c>
      <c r="W41" s="48">
        <v>318</v>
      </c>
      <c r="X41" s="48">
        <v>227</v>
      </c>
      <c r="Y41" s="48">
        <v>213</v>
      </c>
      <c r="Z41" s="48">
        <v>293</v>
      </c>
      <c r="AA41" s="48">
        <v>324</v>
      </c>
      <c r="AB41" s="48">
        <v>319</v>
      </c>
      <c r="AC41" s="48">
        <v>348</v>
      </c>
      <c r="AD41" s="47"/>
      <c r="AE41" s="47"/>
      <c r="AF41" s="47"/>
      <c r="AG41" s="47"/>
      <c r="AI41" s="47"/>
      <c r="AK41" s="47"/>
      <c r="AL41" s="48"/>
      <c r="AM41" s="48">
        <f>+SUMIFS($B41:AG41,$B$4:AG$4,"="&amp;AM$3)</f>
        <v>150</v>
      </c>
      <c r="AN41" s="48">
        <f>+SUMIFS($B41:AG41,$B$4:AG$4,"="&amp;AN$3)</f>
        <v>109</v>
      </c>
      <c r="AO41" s="48">
        <f>+SUMIFS($B41:AG41,$B$4:AG$4,"="&amp;AO$3)</f>
        <v>146</v>
      </c>
      <c r="AP41" s="48">
        <f>+SUMIFS($B41:AG41,$B$4:AG$4,"="&amp;AP$3)</f>
        <v>361</v>
      </c>
      <c r="AQ41" s="48">
        <f>+SUMIFS($B41:AG41,$B$4:AG$4,"="&amp;AQ$3)</f>
        <v>213</v>
      </c>
      <c r="AR41" s="48">
        <f>+SUMIFS($B41:AG41,$B$4:AG$4,"="&amp;AR$3)</f>
        <v>348</v>
      </c>
      <c r="AS41" s="48">
        <f t="shared" si="177"/>
        <v>0</v>
      </c>
      <c r="AT41" s="47"/>
      <c r="AU41" s="47"/>
      <c r="AV41" s="47"/>
      <c r="AW41" s="47"/>
      <c r="AX41" s="47"/>
      <c r="AY41" s="47"/>
      <c r="AZ41" s="47"/>
      <c r="BA41" s="47"/>
      <c r="BB41" s="47"/>
    </row>
    <row r="42" spans="1:54" s="42" customFormat="1" x14ac:dyDescent="0.25">
      <c r="A42" s="8" t="s">
        <v>55</v>
      </c>
      <c r="B42" s="51">
        <f t="shared" ref="B42:U42" si="178">+B40+B41</f>
        <v>285</v>
      </c>
      <c r="C42" s="51">
        <f t="shared" si="178"/>
        <v>296</v>
      </c>
      <c r="D42" s="51">
        <f t="shared" si="178"/>
        <v>313</v>
      </c>
      <c r="E42" s="51">
        <f t="shared" si="178"/>
        <v>356</v>
      </c>
      <c r="F42" s="51">
        <f t="shared" si="178"/>
        <v>400</v>
      </c>
      <c r="G42" s="51">
        <f t="shared" si="178"/>
        <v>352</v>
      </c>
      <c r="H42" s="51">
        <f t="shared" si="178"/>
        <v>328</v>
      </c>
      <c r="I42" s="51">
        <f t="shared" si="178"/>
        <v>456</v>
      </c>
      <c r="J42" s="51">
        <f t="shared" si="178"/>
        <v>546</v>
      </c>
      <c r="K42" s="51">
        <f t="shared" si="178"/>
        <v>472</v>
      </c>
      <c r="L42" s="51">
        <f t="shared" si="178"/>
        <v>440</v>
      </c>
      <c r="M42" s="51">
        <f t="shared" si="178"/>
        <v>428</v>
      </c>
      <c r="N42" s="51">
        <f t="shared" si="178"/>
        <v>396</v>
      </c>
      <c r="O42" s="51">
        <f t="shared" si="178"/>
        <v>396</v>
      </c>
      <c r="P42" s="51">
        <f t="shared" si="178"/>
        <v>402</v>
      </c>
      <c r="Q42" s="51">
        <f t="shared" si="178"/>
        <v>418</v>
      </c>
      <c r="R42" s="51">
        <f t="shared" si="178"/>
        <v>440</v>
      </c>
      <c r="S42" s="51">
        <f t="shared" si="178"/>
        <v>510</v>
      </c>
      <c r="T42" s="51">
        <f t="shared" si="178"/>
        <v>565</v>
      </c>
      <c r="U42" s="51">
        <f t="shared" si="178"/>
        <v>591</v>
      </c>
      <c r="V42" s="51">
        <f>+V40+V41</f>
        <v>540</v>
      </c>
      <c r="W42" s="51">
        <f t="shared" ref="W42:AC42" si="179">+W40+W41</f>
        <v>544</v>
      </c>
      <c r="X42" s="51">
        <f t="shared" si="179"/>
        <v>450</v>
      </c>
      <c r="Y42" s="51">
        <f t="shared" si="179"/>
        <v>432</v>
      </c>
      <c r="Z42" s="51">
        <f t="shared" si="179"/>
        <v>517</v>
      </c>
      <c r="AA42" s="51">
        <f t="shared" si="179"/>
        <v>545</v>
      </c>
      <c r="AB42" s="51">
        <f t="shared" si="179"/>
        <v>549</v>
      </c>
      <c r="AC42" s="51">
        <f t="shared" si="179"/>
        <v>566</v>
      </c>
      <c r="AD42" s="47"/>
      <c r="AE42" s="47"/>
      <c r="AF42" s="47"/>
      <c r="AG42" s="47"/>
      <c r="AI42" s="47"/>
      <c r="AK42" s="47"/>
      <c r="AL42" s="51"/>
      <c r="AM42" s="51">
        <f>+SUMIFS($B42:AG42,$B$4:AG$4,"="&amp;AM$3)</f>
        <v>456</v>
      </c>
      <c r="AN42" s="51">
        <f>+SUMIFS($B42:AG42,$B$4:AG$4,"="&amp;AN$3)</f>
        <v>428</v>
      </c>
      <c r="AO42" s="51">
        <f>+SUMIFS($B42:AG42,$B$4:AG$4,"="&amp;AO$3)</f>
        <v>418</v>
      </c>
      <c r="AP42" s="51">
        <f>+SUMIFS($B42:AG42,$B$4:AG$4,"="&amp;AP$3)</f>
        <v>591</v>
      </c>
      <c r="AQ42" s="51">
        <f>+SUMIFS($B42:AG42,$B$4:AG$4,"="&amp;AQ$3)</f>
        <v>432</v>
      </c>
      <c r="AR42" s="51">
        <f>+SUMIFS($B42:AG42,$B$4:AG$4,"="&amp;AR$3)</f>
        <v>566</v>
      </c>
      <c r="AS42" s="51">
        <f t="shared" si="177"/>
        <v>0</v>
      </c>
      <c r="AT42" s="47"/>
      <c r="AU42" s="47"/>
      <c r="AV42" s="47"/>
      <c r="AW42" s="47"/>
      <c r="AX42" s="47"/>
      <c r="AY42" s="47"/>
      <c r="AZ42" s="47"/>
      <c r="BA42" s="47"/>
      <c r="BB42" s="47"/>
    </row>
    <row r="43" spans="1:54" s="42" customFormat="1" x14ac:dyDescent="0.25">
      <c r="A43" s="8"/>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47"/>
      <c r="AE43" s="47"/>
      <c r="AF43" s="47"/>
      <c r="AG43" s="47"/>
      <c r="AI43" s="47"/>
      <c r="AK43" s="47"/>
      <c r="AL43" s="51"/>
      <c r="AM43" s="51">
        <f>+SUMIFS($B43:AG43,$B$4:AG$4,"="&amp;AM$3)</f>
        <v>0</v>
      </c>
      <c r="AN43" s="51">
        <f>+SUMIFS($B43:AG43,$B$4:AG$4,"="&amp;AN$3)</f>
        <v>0</v>
      </c>
      <c r="AO43" s="51">
        <f>+SUMIFS($B43:AG43,$B$4:AG$4,"="&amp;AO$3)</f>
        <v>0</v>
      </c>
      <c r="AP43" s="51">
        <f>+SUMIFS($B43:AG43,$B$4:AG$4,"="&amp;AP$3)</f>
        <v>0</v>
      </c>
      <c r="AQ43" s="51">
        <f>+SUMIFS($B43:AG43,$B$4:AG$4,"="&amp;AQ$3)</f>
        <v>0</v>
      </c>
      <c r="AR43" s="51">
        <f>+SUMIFS($B43:AG43,$B$4:AG$4,"="&amp;AR$3)</f>
        <v>0</v>
      </c>
      <c r="AS43" s="51">
        <f t="shared" si="177"/>
        <v>0</v>
      </c>
      <c r="AT43" s="47"/>
      <c r="AU43" s="47"/>
      <c r="AV43" s="47"/>
      <c r="AW43" s="47"/>
      <c r="AX43" s="47"/>
      <c r="AY43" s="47"/>
      <c r="AZ43" s="47"/>
      <c r="BA43" s="47"/>
      <c r="BB43" s="47"/>
    </row>
    <row r="44" spans="1:54" x14ac:dyDescent="0.25">
      <c r="A44" s="19" t="s">
        <v>56</v>
      </c>
      <c r="B44" s="48">
        <v>1521</v>
      </c>
      <c r="C44" s="48">
        <v>1475</v>
      </c>
      <c r="D44" s="48">
        <v>1409</v>
      </c>
      <c r="E44" s="48">
        <v>1562</v>
      </c>
      <c r="F44" s="48">
        <v>1667</v>
      </c>
      <c r="G44" s="48">
        <v>1367</v>
      </c>
      <c r="H44" s="48">
        <v>1034</v>
      </c>
      <c r="I44" s="48">
        <v>1096</v>
      </c>
      <c r="J44" s="48">
        <v>1398</v>
      </c>
      <c r="K44" s="48">
        <v>1364</v>
      </c>
      <c r="L44" s="48">
        <v>1473</v>
      </c>
      <c r="M44" s="48">
        <v>1707</v>
      </c>
      <c r="N44" s="48">
        <v>1474</v>
      </c>
      <c r="O44" s="48">
        <v>1246</v>
      </c>
      <c r="P44" s="48">
        <v>1252</v>
      </c>
      <c r="Q44" s="48">
        <v>1358</v>
      </c>
      <c r="R44" s="48">
        <v>1326</v>
      </c>
      <c r="S44" s="48">
        <v>1413</v>
      </c>
      <c r="T44" s="48">
        <v>1461</v>
      </c>
      <c r="U44" s="48">
        <v>1462</v>
      </c>
      <c r="V44" s="48">
        <v>1497</v>
      </c>
      <c r="W44" s="48">
        <v>1611</v>
      </c>
      <c r="X44" s="48">
        <v>1667</v>
      </c>
      <c r="Y44" s="48">
        <v>1793</v>
      </c>
      <c r="Z44" s="48">
        <v>1963</v>
      </c>
      <c r="AA44" s="48">
        <v>2245</v>
      </c>
      <c r="AB44" s="48">
        <v>2515</v>
      </c>
      <c r="AC44" s="48">
        <v>1880</v>
      </c>
      <c r="AD44" s="50"/>
      <c r="AE44" s="50"/>
      <c r="AF44" s="50"/>
      <c r="AG44" s="50"/>
      <c r="AI44" s="50"/>
      <c r="AK44" s="50"/>
      <c r="AL44" s="48"/>
      <c r="AM44" s="48">
        <f>+SUMIFS($B44:AG44,$B$4:AG$4,"="&amp;AM$3)</f>
        <v>1096</v>
      </c>
      <c r="AN44" s="48">
        <f>+SUMIFS($B44:AG44,$B$4:AG$4,"="&amp;AN$3)</f>
        <v>1707</v>
      </c>
      <c r="AO44" s="48">
        <f>+SUMIFS($B44:AG44,$B$4:AG$4,"="&amp;AO$3)</f>
        <v>1358</v>
      </c>
      <c r="AP44" s="48">
        <f>+SUMIFS($B44:AG44,$B$4:AG$4,"="&amp;AP$3)</f>
        <v>1462</v>
      </c>
      <c r="AQ44" s="48">
        <f>+SUMIFS($B44:AG44,$B$4:AG$4,"="&amp;AQ$3)</f>
        <v>1793</v>
      </c>
      <c r="AR44" s="48">
        <f>+SUMIFS($B44:AG44,$B$4:AG$4,"="&amp;AR$3)</f>
        <v>1880</v>
      </c>
      <c r="AS44" s="48">
        <f t="shared" si="177"/>
        <v>0</v>
      </c>
      <c r="AT44" s="50"/>
      <c r="AU44" s="50"/>
      <c r="AV44" s="50"/>
      <c r="AW44" s="50"/>
      <c r="AX44" s="50"/>
      <c r="AY44" s="50"/>
      <c r="AZ44" s="50"/>
      <c r="BA44" s="50"/>
      <c r="BB44" s="50"/>
    </row>
    <row r="45" spans="1:54" x14ac:dyDescent="0.25">
      <c r="A45" s="8" t="s">
        <v>59</v>
      </c>
      <c r="B45" s="51">
        <f t="shared" ref="B45:U45" si="180">+B44</f>
        <v>1521</v>
      </c>
      <c r="C45" s="51">
        <f t="shared" si="180"/>
        <v>1475</v>
      </c>
      <c r="D45" s="51">
        <f t="shared" si="180"/>
        <v>1409</v>
      </c>
      <c r="E45" s="51">
        <f t="shared" si="180"/>
        <v>1562</v>
      </c>
      <c r="F45" s="51">
        <f t="shared" si="180"/>
        <v>1667</v>
      </c>
      <c r="G45" s="51">
        <f t="shared" si="180"/>
        <v>1367</v>
      </c>
      <c r="H45" s="51">
        <f t="shared" si="180"/>
        <v>1034</v>
      </c>
      <c r="I45" s="51">
        <f t="shared" si="180"/>
        <v>1096</v>
      </c>
      <c r="J45" s="51">
        <f t="shared" si="180"/>
        <v>1398</v>
      </c>
      <c r="K45" s="51">
        <f t="shared" si="180"/>
        <v>1364</v>
      </c>
      <c r="L45" s="51">
        <f t="shared" si="180"/>
        <v>1473</v>
      </c>
      <c r="M45" s="51">
        <f t="shared" si="180"/>
        <v>1707</v>
      </c>
      <c r="N45" s="51">
        <f t="shared" si="180"/>
        <v>1474</v>
      </c>
      <c r="O45" s="51">
        <f t="shared" si="180"/>
        <v>1246</v>
      </c>
      <c r="P45" s="51">
        <f t="shared" si="180"/>
        <v>1252</v>
      </c>
      <c r="Q45" s="51">
        <f t="shared" si="180"/>
        <v>1358</v>
      </c>
      <c r="R45" s="51">
        <f t="shared" si="180"/>
        <v>1326</v>
      </c>
      <c r="S45" s="51">
        <f t="shared" si="180"/>
        <v>1413</v>
      </c>
      <c r="T45" s="51">
        <f t="shared" si="180"/>
        <v>1461</v>
      </c>
      <c r="U45" s="51">
        <f t="shared" si="180"/>
        <v>1462</v>
      </c>
      <c r="V45" s="51">
        <f>+V44</f>
        <v>1497</v>
      </c>
      <c r="W45" s="51">
        <f t="shared" ref="W45:AC45" si="181">+W44</f>
        <v>1611</v>
      </c>
      <c r="X45" s="51">
        <f t="shared" si="181"/>
        <v>1667</v>
      </c>
      <c r="Y45" s="51">
        <f t="shared" si="181"/>
        <v>1793</v>
      </c>
      <c r="Z45" s="51">
        <f t="shared" si="181"/>
        <v>1963</v>
      </c>
      <c r="AA45" s="51">
        <f t="shared" si="181"/>
        <v>2245</v>
      </c>
      <c r="AB45" s="51">
        <f t="shared" si="181"/>
        <v>2515</v>
      </c>
      <c r="AC45" s="51">
        <f t="shared" si="181"/>
        <v>1880</v>
      </c>
      <c r="AD45" s="50"/>
      <c r="AE45" s="50"/>
      <c r="AF45" s="50"/>
      <c r="AG45" s="50"/>
      <c r="AI45" s="50"/>
      <c r="AK45" s="50"/>
      <c r="AL45" s="51"/>
      <c r="AM45" s="51">
        <f>+SUMIFS($B45:AG45,$B$4:AG$4,"="&amp;AM$3)</f>
        <v>1096</v>
      </c>
      <c r="AN45" s="51">
        <f>+SUMIFS($B45:AG45,$B$4:AG$4,"="&amp;AN$3)</f>
        <v>1707</v>
      </c>
      <c r="AO45" s="51">
        <f>+SUMIFS($B45:AG45,$B$4:AG$4,"="&amp;AO$3)</f>
        <v>1358</v>
      </c>
      <c r="AP45" s="51">
        <f>+SUMIFS($B45:AG45,$B$4:AG$4,"="&amp;AP$3)</f>
        <v>1462</v>
      </c>
      <c r="AQ45" s="51">
        <f>+SUMIFS($B45:AG45,$B$4:AG$4,"="&amp;AQ$3)</f>
        <v>1793</v>
      </c>
      <c r="AR45" s="51">
        <f>+SUMIFS($B45:AG45,$B$4:AG$4,"="&amp;AR$3)</f>
        <v>1880</v>
      </c>
      <c r="AS45" s="51">
        <f t="shared" si="177"/>
        <v>0</v>
      </c>
      <c r="AT45" s="50"/>
      <c r="AU45" s="50"/>
      <c r="AV45" s="50"/>
      <c r="AW45" s="50"/>
      <c r="AX45" s="50"/>
      <c r="AY45" s="50"/>
      <c r="AZ45" s="50"/>
      <c r="BA45" s="50"/>
      <c r="BB45" s="50"/>
    </row>
    <row r="46" spans="1:54" ht="15.75" thickBot="1" x14ac:dyDescent="0.3">
      <c r="A46" s="8"/>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0"/>
      <c r="AE46" s="50"/>
      <c r="AF46" s="50"/>
      <c r="AG46" s="50"/>
      <c r="AI46" s="50"/>
      <c r="AK46" s="50"/>
      <c r="AL46" s="51"/>
      <c r="AM46" s="51"/>
      <c r="AN46" s="51"/>
      <c r="AO46" s="51"/>
      <c r="AP46" s="51"/>
      <c r="AQ46" s="51"/>
      <c r="AR46" s="51"/>
      <c r="AS46" s="51"/>
      <c r="AT46" s="50"/>
      <c r="AU46" s="50"/>
      <c r="AV46" s="50"/>
      <c r="AW46" s="50"/>
      <c r="AX46" s="50"/>
      <c r="AY46" s="50"/>
      <c r="AZ46" s="50"/>
      <c r="BA46" s="50"/>
      <c r="BB46" s="50"/>
    </row>
    <row r="47" spans="1:54" s="61" customFormat="1" ht="15.75" thickTop="1" x14ac:dyDescent="0.25">
      <c r="A47" s="9" t="s">
        <v>64</v>
      </c>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60"/>
      <c r="AE47" s="60"/>
      <c r="AF47" s="60"/>
      <c r="AG47" s="60"/>
      <c r="AI47" s="60"/>
      <c r="AK47" s="60"/>
      <c r="AL47" s="59"/>
      <c r="AM47" s="59"/>
      <c r="AN47" s="59"/>
      <c r="AO47" s="59"/>
      <c r="AP47" s="59"/>
      <c r="AQ47" s="59"/>
      <c r="AR47" s="59"/>
      <c r="AS47" s="59"/>
      <c r="AT47" s="60"/>
      <c r="AU47" s="60"/>
      <c r="AV47" s="60"/>
      <c r="AW47" s="60"/>
      <c r="AX47" s="60"/>
      <c r="AY47" s="60"/>
      <c r="AZ47" s="60"/>
      <c r="BA47" s="60"/>
      <c r="BB47" s="60"/>
    </row>
    <row r="48" spans="1:54" s="42" customFormat="1" x14ac:dyDescent="0.25">
      <c r="A48" s="8" t="s">
        <v>65</v>
      </c>
      <c r="B48" s="51"/>
      <c r="C48" s="51"/>
      <c r="D48" s="51"/>
      <c r="E48" s="51"/>
      <c r="F48" s="51"/>
      <c r="G48" s="51"/>
      <c r="H48" s="51"/>
      <c r="I48" s="51"/>
      <c r="J48" s="51">
        <f t="shared" ref="J48:U48" si="182">+I56</f>
        <v>1552</v>
      </c>
      <c r="K48" s="51">
        <f t="shared" si="182"/>
        <v>1944</v>
      </c>
      <c r="L48" s="51">
        <f t="shared" si="182"/>
        <v>1836</v>
      </c>
      <c r="M48" s="51">
        <f t="shared" si="182"/>
        <v>1913</v>
      </c>
      <c r="N48" s="51">
        <f t="shared" si="182"/>
        <v>2135</v>
      </c>
      <c r="O48" s="51">
        <f t="shared" si="182"/>
        <v>1870</v>
      </c>
      <c r="P48" s="51">
        <f t="shared" si="182"/>
        <v>1642</v>
      </c>
      <c r="Q48" s="51">
        <f t="shared" si="182"/>
        <v>1654</v>
      </c>
      <c r="R48" s="51">
        <f t="shared" si="182"/>
        <v>1845</v>
      </c>
      <c r="S48" s="51">
        <f t="shared" si="182"/>
        <v>1766</v>
      </c>
      <c r="T48" s="51">
        <f t="shared" si="182"/>
        <v>1923</v>
      </c>
      <c r="U48" s="51">
        <f t="shared" si="182"/>
        <v>2063</v>
      </c>
      <c r="V48" s="51">
        <f>+U56</f>
        <v>2053</v>
      </c>
      <c r="W48" s="51">
        <f t="shared" ref="W48:X48" si="183">+V56</f>
        <v>2187</v>
      </c>
      <c r="X48" s="51">
        <f t="shared" si="183"/>
        <v>2181</v>
      </c>
      <c r="Y48" s="51">
        <f t="shared" ref="Y48:AG48" si="184">+X56</f>
        <v>2134</v>
      </c>
      <c r="Z48" s="51">
        <f t="shared" si="184"/>
        <v>2250</v>
      </c>
      <c r="AA48" s="51">
        <f t="shared" si="184"/>
        <v>2480</v>
      </c>
      <c r="AB48" s="51">
        <f t="shared" si="184"/>
        <v>2790</v>
      </c>
      <c r="AC48" s="51">
        <f t="shared" si="184"/>
        <v>3064</v>
      </c>
      <c r="AD48" s="52">
        <f t="shared" si="184"/>
        <v>2446</v>
      </c>
      <c r="AE48" s="52">
        <f t="shared" si="184"/>
        <v>2498.1248779211137</v>
      </c>
      <c r="AF48" s="52">
        <f t="shared" si="184"/>
        <v>2579.6556828636567</v>
      </c>
      <c r="AG48" s="52">
        <f t="shared" si="184"/>
        <v>2622.3429023363328</v>
      </c>
      <c r="AH48" s="414"/>
      <c r="AI48" s="52">
        <v>3064</v>
      </c>
      <c r="AJ48" s="414"/>
      <c r="AK48" s="47"/>
      <c r="AL48" s="51"/>
      <c r="AM48" s="51">
        <f t="shared" ref="AM48" si="185">+AL56</f>
        <v>0</v>
      </c>
      <c r="AN48" s="51">
        <f t="shared" ref="AN48" si="186">+AM56</f>
        <v>1552</v>
      </c>
      <c r="AO48" s="51">
        <f t="shared" ref="AO48" si="187">+AN56</f>
        <v>2135</v>
      </c>
      <c r="AP48" s="51">
        <f t="shared" ref="AP48" si="188">+AO56</f>
        <v>1845</v>
      </c>
      <c r="AQ48" s="51">
        <f t="shared" ref="AQ48" si="189">+AP56</f>
        <v>2053</v>
      </c>
      <c r="AR48" s="51">
        <f t="shared" ref="AR48" si="190">+AQ56</f>
        <v>2250</v>
      </c>
      <c r="AS48" s="51">
        <f t="shared" ref="AS48" si="191">+AR56</f>
        <v>2446</v>
      </c>
      <c r="AT48" s="52">
        <f t="shared" ref="AT48" si="192">+AS56</f>
        <v>2663.7783231550879</v>
      </c>
      <c r="AU48" s="52">
        <f t="shared" ref="AU48" si="193">+AT56</f>
        <v>3083.6165709871375</v>
      </c>
      <c r="AV48" s="52">
        <f t="shared" ref="AV48" si="194">+AU56</f>
        <v>3439.5961687576141</v>
      </c>
      <c r="AW48" s="52">
        <f t="shared" ref="AW48" si="195">+AV56</f>
        <v>3700.1881370359342</v>
      </c>
      <c r="AX48" s="52">
        <f t="shared" ref="AX48" si="196">+AW56</f>
        <v>4127.4540501057818</v>
      </c>
      <c r="AY48" s="52">
        <f t="shared" ref="AY48" si="197">+AX56</f>
        <v>4549.1771857079693</v>
      </c>
      <c r="AZ48" s="52">
        <f t="shared" ref="AZ48" si="198">+AY56</f>
        <v>4942.4458437619378</v>
      </c>
      <c r="BA48" s="52">
        <f t="shared" ref="BA48" si="199">+AZ56</f>
        <v>5306.8872931504193</v>
      </c>
      <c r="BB48" s="52">
        <f t="shared" ref="BB48" si="200">+BA56</f>
        <v>5699.9948731340573</v>
      </c>
    </row>
    <row r="49" spans="1:54" s="42" customFormat="1" x14ac:dyDescent="0.25">
      <c r="A49" s="19" t="s">
        <v>66</v>
      </c>
      <c r="B49" s="48"/>
      <c r="C49" s="48"/>
      <c r="D49" s="48"/>
      <c r="E49" s="48"/>
      <c r="F49" s="48"/>
      <c r="G49" s="48"/>
      <c r="H49" s="48"/>
      <c r="I49" s="48"/>
      <c r="J49" s="48">
        <v>749</v>
      </c>
      <c r="K49" s="48">
        <v>422</v>
      </c>
      <c r="L49" s="48">
        <v>487</v>
      </c>
      <c r="M49" s="48">
        <v>692</v>
      </c>
      <c r="N49" s="48">
        <v>600</v>
      </c>
      <c r="O49" s="48">
        <v>357</v>
      </c>
      <c r="P49" s="48">
        <v>431</v>
      </c>
      <c r="Q49" s="48">
        <v>523</v>
      </c>
      <c r="R49" s="48">
        <v>511</v>
      </c>
      <c r="S49" s="48">
        <v>575</v>
      </c>
      <c r="T49" s="48">
        <v>594</v>
      </c>
      <c r="U49" s="48">
        <v>765</v>
      </c>
      <c r="V49" s="48">
        <v>647</v>
      </c>
      <c r="W49" s="48">
        <v>611</v>
      </c>
      <c r="X49" s="48">
        <v>756</v>
      </c>
      <c r="Y49" s="48">
        <f>38+701</f>
        <v>739</v>
      </c>
      <c r="Z49" s="48">
        <v>885</v>
      </c>
      <c r="AA49" s="48">
        <v>841</v>
      </c>
      <c r="AB49" s="48">
        <v>974</v>
      </c>
      <c r="AC49" s="48">
        <v>849</v>
      </c>
      <c r="AD49" s="62">
        <f t="shared" ref="AD49:AG49" si="201">+AD59</f>
        <v>864.4166756739229</v>
      </c>
      <c r="AE49" s="62">
        <f t="shared" si="201"/>
        <v>877.31203663070971</v>
      </c>
      <c r="AF49" s="62">
        <f t="shared" si="201"/>
        <v>889.71369690222446</v>
      </c>
      <c r="AG49" s="62">
        <f t="shared" si="201"/>
        <v>931.38451241920507</v>
      </c>
      <c r="AH49" s="87"/>
      <c r="AI49" s="62">
        <v>647.62599999999998</v>
      </c>
      <c r="AJ49" s="87"/>
      <c r="AK49" s="47"/>
      <c r="AL49" s="48"/>
      <c r="AM49" s="48">
        <f>+SUMIFS($B49:AG49,$B$4:AG$4,"&lt;="&amp;AM$3,$B$4:AG$4,"&gt;"&amp;AL$3)</f>
        <v>0</v>
      </c>
      <c r="AN49" s="48">
        <f>+SUMIFS($B49:AG49,$B$4:AG$4,"&lt;="&amp;AN$3,$B$4:AG$4,"&gt;"&amp;AM$3)</f>
        <v>2350</v>
      </c>
      <c r="AO49" s="48">
        <f>+SUMIFS($B49:AG49,$B$4:AG$4,"&lt;="&amp;AO$3,$B$4:AG$4,"&gt;"&amp;AN$3)</f>
        <v>1911</v>
      </c>
      <c r="AP49" s="48">
        <f>+SUMIFS($B49:AG49,$B$4:AG$4,"&lt;="&amp;AP$3,$B$4:AG$4,"&gt;"&amp;AO$3)</f>
        <v>2445</v>
      </c>
      <c r="AQ49" s="48">
        <f>+SUMIFS($B49:AG49,$B$4:AG$4,"&lt;="&amp;AQ$3,$B$4:AG$4,"&gt;"&amp;AP$3)</f>
        <v>2753</v>
      </c>
      <c r="AR49" s="48">
        <f>+SUMIFS($B49:AG49,$B$4:AG$4,"&lt;="&amp;AR$3,$B$4:AG$4,"&gt;"&amp;AQ$3)</f>
        <v>3549</v>
      </c>
      <c r="AS49" s="48">
        <f>+SUMIFS($B49:$AG49,$B$4:$AG$4,"&lt;="&amp;AS$3,$B$4:$AG$4,"&gt;"&amp;AR$3)</f>
        <v>3562.8269216260624</v>
      </c>
      <c r="AT49" s="121">
        <f t="shared" ref="AT49:BB49" si="202">+AT59</f>
        <v>3663.6269828748855</v>
      </c>
      <c r="AU49" s="121">
        <f t="shared" si="202"/>
        <v>4013.9313140772661</v>
      </c>
      <c r="AV49" s="121">
        <f t="shared" si="202"/>
        <v>4263.528874375419</v>
      </c>
      <c r="AW49" s="121">
        <f t="shared" si="202"/>
        <v>4529.3063986586722</v>
      </c>
      <c r="AX49" s="121">
        <f t="shared" si="202"/>
        <v>4812.3550958028509</v>
      </c>
      <c r="AY49" s="121">
        <f t="shared" si="202"/>
        <v>5113.8436883200038</v>
      </c>
      <c r="AZ49" s="121">
        <f t="shared" si="202"/>
        <v>5365.747484974162</v>
      </c>
      <c r="BA49" s="121">
        <f t="shared" si="202"/>
        <v>5631.410992212127</v>
      </c>
      <c r="BB49" s="121">
        <f t="shared" si="202"/>
        <v>5911.6958009836071</v>
      </c>
    </row>
    <row r="50" spans="1:54" s="42" customFormat="1" x14ac:dyDescent="0.25">
      <c r="A50" s="19" t="s">
        <v>67</v>
      </c>
      <c r="B50" s="48"/>
      <c r="C50" s="48"/>
      <c r="D50" s="48"/>
      <c r="E50" s="48"/>
      <c r="F50" s="48"/>
      <c r="G50" s="48"/>
      <c r="H50" s="48"/>
      <c r="I50" s="48"/>
      <c r="J50" s="48">
        <v>64</v>
      </c>
      <c r="K50" s="48">
        <v>90</v>
      </c>
      <c r="L50" s="48">
        <v>81</v>
      </c>
      <c r="M50" s="48">
        <v>394</v>
      </c>
      <c r="N50" s="48">
        <v>96</v>
      </c>
      <c r="O50" s="48">
        <v>85</v>
      </c>
      <c r="P50" s="48">
        <v>64</v>
      </c>
      <c r="Q50" s="48">
        <v>99</v>
      </c>
      <c r="R50" s="48">
        <v>189</v>
      </c>
      <c r="S50" s="48">
        <v>71</v>
      </c>
      <c r="T50" s="48">
        <v>204</v>
      </c>
      <c r="U50" s="48">
        <v>70</v>
      </c>
      <c r="V50" s="48">
        <v>132</v>
      </c>
      <c r="W50" s="48">
        <v>102</v>
      </c>
      <c r="X50" s="48">
        <v>180</v>
      </c>
      <c r="Y50" s="48">
        <v>164</v>
      </c>
      <c r="Z50" s="48">
        <v>73</v>
      </c>
      <c r="AA50" s="48">
        <v>208</v>
      </c>
      <c r="AB50" s="48">
        <v>86</v>
      </c>
      <c r="AC50" s="48">
        <v>398</v>
      </c>
      <c r="AD50" s="629">
        <f>+AVERAGE(Z50:AC50)</f>
        <v>191.25</v>
      </c>
      <c r="AE50" s="629">
        <f t="shared" ref="AE50" si="203">+AVERAGE(AA50:AD50)</f>
        <v>220.8125</v>
      </c>
      <c r="AF50" s="629">
        <f t="shared" ref="AF50" si="204">+AVERAGE(AB50:AE50)</f>
        <v>224.015625</v>
      </c>
      <c r="AG50" s="629">
        <f t="shared" ref="AG50" si="205">+AVERAGE(AC50:AF50)</f>
        <v>258.51953125</v>
      </c>
      <c r="AI50" s="47"/>
      <c r="AK50" s="47"/>
      <c r="AL50" s="48"/>
      <c r="AM50" s="48">
        <f>+SUMIFS($B50:AG50,$B$4:AG$4,"&lt;="&amp;AM$3,$B$4:AG$4,"&gt;"&amp;AL$3)</f>
        <v>0</v>
      </c>
      <c r="AN50" s="48">
        <f>+SUMIFS($B50:AG50,$B$4:AG$4,"&lt;="&amp;AN$3,$B$4:AG$4,"&gt;"&amp;AM$3)</f>
        <v>629</v>
      </c>
      <c r="AO50" s="48">
        <f>+SUMIFS($B50:AG50,$B$4:AG$4,"&lt;="&amp;AO$3,$B$4:AG$4,"&gt;"&amp;AN$3)</f>
        <v>344</v>
      </c>
      <c r="AP50" s="48">
        <f>+SUMIFS($B50:AG50,$B$4:AG$4,"&lt;="&amp;AP$3,$B$4:AG$4,"&gt;"&amp;AO$3)</f>
        <v>534</v>
      </c>
      <c r="AQ50" s="48">
        <f>+SUMIFS($B50:AG50,$B$4:AG$4,"&lt;="&amp;AQ$3,$B$4:AG$4,"&gt;"&amp;AP$3)</f>
        <v>578</v>
      </c>
      <c r="AR50" s="48">
        <f>+SUMIFS($B50:AG50,$B$4:AG$4,"&lt;="&amp;AR$3,$B$4:AG$4,"&gt;"&amp;AQ$3)</f>
        <v>765</v>
      </c>
      <c r="AS50" s="48">
        <f>+SUMIFS($B50:$AG50,$B$4:$AG$4,"&lt;="&amp;AS$3,$B$4:$AG$4,"&gt;"&amp;AR$3)</f>
        <v>894.59765625</v>
      </c>
      <c r="AT50" s="629">
        <f t="shared" ref="AT50" si="206">+AVERAGE(AP50:AS50)</f>
        <v>692.8994140625</v>
      </c>
      <c r="AU50" s="629">
        <f t="shared" ref="AU50" si="207">+AVERAGE(AQ50:AT50)</f>
        <v>732.624267578125</v>
      </c>
      <c r="AV50" s="629">
        <f t="shared" ref="AV50" si="208">+AVERAGE(AR50:AU50)</f>
        <v>771.28033447265625</v>
      </c>
      <c r="AW50" s="629">
        <f t="shared" ref="AW50" si="209">+AVERAGE(AS50:AV50)</f>
        <v>772.85041809082031</v>
      </c>
      <c r="AX50" s="629">
        <f t="shared" ref="AX50" si="210">+AVERAGE(AT50:AW50)</f>
        <v>742.41360855102539</v>
      </c>
      <c r="AY50" s="629">
        <f t="shared" ref="AY50" si="211">+AVERAGE(AU50:AX50)</f>
        <v>754.79215717315674</v>
      </c>
      <c r="AZ50" s="629">
        <f t="shared" ref="AZ50" si="212">+AVERAGE(AV50:AY50)</f>
        <v>760.33412957191467</v>
      </c>
      <c r="BA50" s="629">
        <f t="shared" ref="BA50" si="213">+AVERAGE(AW50:AZ50)</f>
        <v>757.59757834672928</v>
      </c>
      <c r="BB50" s="629">
        <f t="shared" ref="BB50" si="214">+AVERAGE(AX50:BA50)</f>
        <v>753.78436841070652</v>
      </c>
    </row>
    <row r="51" spans="1:54" x14ac:dyDescent="0.25">
      <c r="A51" s="8"/>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0"/>
      <c r="AE51" s="50"/>
      <c r="AF51" s="50"/>
      <c r="AG51" s="50"/>
      <c r="AI51" s="50"/>
      <c r="AK51" s="50"/>
      <c r="AL51" s="51"/>
      <c r="AM51" s="51"/>
      <c r="AN51" s="51"/>
      <c r="AO51" s="51"/>
      <c r="AP51" s="51"/>
      <c r="AQ51" s="51"/>
      <c r="AR51" s="51"/>
      <c r="AS51" s="51"/>
      <c r="AT51" s="50"/>
      <c r="AU51" s="50"/>
      <c r="AV51" s="50"/>
      <c r="AW51" s="50"/>
      <c r="AX51" s="50"/>
      <c r="AY51" s="50"/>
      <c r="AZ51" s="50"/>
      <c r="BA51" s="50"/>
      <c r="BB51" s="50"/>
    </row>
    <row r="52" spans="1:54" x14ac:dyDescent="0.25">
      <c r="A52" s="8" t="s">
        <v>68</v>
      </c>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0"/>
      <c r="AE52" s="50"/>
      <c r="AF52" s="50"/>
      <c r="AG52" s="50"/>
      <c r="AI52" s="50"/>
      <c r="AK52" s="50"/>
      <c r="AL52" s="51"/>
      <c r="AM52" s="51"/>
      <c r="AN52" s="51"/>
      <c r="AO52" s="51"/>
      <c r="AP52" s="51"/>
      <c r="AQ52" s="51"/>
      <c r="AR52" s="51"/>
      <c r="AS52" s="51"/>
      <c r="AT52" s="50"/>
      <c r="AU52" s="50"/>
      <c r="AV52" s="50"/>
      <c r="AW52" s="50"/>
      <c r="AX52" s="50"/>
      <c r="AY52" s="50"/>
      <c r="AZ52" s="50"/>
      <c r="BA52" s="50"/>
      <c r="BB52" s="50"/>
    </row>
    <row r="53" spans="1:54" s="42" customFormat="1" x14ac:dyDescent="0.25">
      <c r="A53" s="19" t="s">
        <v>69</v>
      </c>
      <c r="B53" s="48"/>
      <c r="C53" s="48"/>
      <c r="D53" s="48"/>
      <c r="E53" s="48"/>
      <c r="F53" s="48"/>
      <c r="G53" s="48"/>
      <c r="H53" s="48"/>
      <c r="I53" s="48"/>
      <c r="J53" s="48">
        <v>-132</v>
      </c>
      <c r="K53" s="48">
        <v>-250</v>
      </c>
      <c r="L53" s="48">
        <v>-197</v>
      </c>
      <c r="M53" s="48">
        <v>-556</v>
      </c>
      <c r="N53" s="48">
        <v>-167</v>
      </c>
      <c r="O53" s="48">
        <v>-139</v>
      </c>
      <c r="P53" s="48">
        <v>-205</v>
      </c>
      <c r="Q53" s="48">
        <v>-128</v>
      </c>
      <c r="R53" s="48">
        <v>-346</v>
      </c>
      <c r="S53" s="48">
        <v>-215</v>
      </c>
      <c r="T53" s="48">
        <v>-313</v>
      </c>
      <c r="U53" s="48">
        <v>-213</v>
      </c>
      <c r="V53" s="48">
        <v>-249</v>
      </c>
      <c r="W53" s="48">
        <v>-249</v>
      </c>
      <c r="X53" s="48">
        <v>-385</v>
      </c>
      <c r="Y53" s="48">
        <v>-359</v>
      </c>
      <c r="Z53" s="48">
        <v>-263</v>
      </c>
      <c r="AA53" s="48">
        <v>-308</v>
      </c>
      <c r="AB53" s="48">
        <v>-272</v>
      </c>
      <c r="AC53" s="48">
        <v>-777</v>
      </c>
      <c r="AD53" s="629">
        <f>+AVERAGE(Z53:AC53)</f>
        <v>-405</v>
      </c>
      <c r="AE53" s="629">
        <f t="shared" ref="AE53" si="215">+AVERAGE(AA53:AD53)</f>
        <v>-440.5</v>
      </c>
      <c r="AF53" s="629">
        <f t="shared" ref="AF53" si="216">+AVERAGE(AB53:AE53)</f>
        <v>-473.625</v>
      </c>
      <c r="AG53" s="629">
        <f t="shared" ref="AG53" si="217">+AVERAGE(AC53:AF53)</f>
        <v>-524.03125</v>
      </c>
      <c r="AI53" s="47"/>
      <c r="AK53" s="47"/>
      <c r="AL53" s="48"/>
      <c r="AM53" s="48">
        <f>+SUMIFS($B53:AG53,$B$4:AG$4,"&lt;="&amp;AM$3,$B$4:AG$4,"&gt;"&amp;AL$3)</f>
        <v>0</v>
      </c>
      <c r="AN53" s="48">
        <f>+SUMIFS($B53:AG53,$B$4:AG$4,"&lt;="&amp;AN$3,$B$4:AG$4,"&gt;"&amp;AM$3)</f>
        <v>-1135</v>
      </c>
      <c r="AO53" s="48">
        <f>+SUMIFS($B53:AG53,$B$4:AG$4,"&lt;="&amp;AO$3,$B$4:AG$4,"&gt;"&amp;AN$3)</f>
        <v>-639</v>
      </c>
      <c r="AP53" s="48">
        <f>+SUMIFS($B53:AG53,$B$4:AG$4,"&lt;="&amp;AP$3,$B$4:AG$4,"&gt;"&amp;AO$3)</f>
        <v>-1087</v>
      </c>
      <c r="AQ53" s="48">
        <f>+SUMIFS($B53:AG53,$B$4:AG$4,"&lt;="&amp;AQ$3,$B$4:AG$4,"&gt;"&amp;AP$3)</f>
        <v>-1242</v>
      </c>
      <c r="AR53" s="48">
        <f>+SUMIFS($B53:AG53,$B$4:AG$4,"&lt;="&amp;AR$3,$B$4:AG$4,"&gt;"&amp;AQ$3)</f>
        <v>-1620</v>
      </c>
      <c r="AS53" s="48">
        <f>+SUMIFS($B53:$AG53,$B$4:$AG$4,"&lt;="&amp;AS$3,$B$4:$AG$4,"&gt;"&amp;AR$3)</f>
        <v>-1843.15625</v>
      </c>
      <c r="AT53" s="629">
        <f t="shared" ref="AT53" si="218">+AVERAGE(AP53:AS53)</f>
        <v>-1448.0390625</v>
      </c>
      <c r="AU53" s="629">
        <f t="shared" ref="AU53" si="219">+AVERAGE(AQ53:AT53)</f>
        <v>-1538.298828125</v>
      </c>
      <c r="AV53" s="629">
        <f t="shared" ref="AV53" si="220">+AVERAGE(AR53:AU53)</f>
        <v>-1612.37353515625</v>
      </c>
      <c r="AW53" s="629">
        <f t="shared" ref="AW53" si="221">+AVERAGE(AS53:AV53)</f>
        <v>-1610.4669189453125</v>
      </c>
      <c r="AX53" s="629">
        <f t="shared" ref="AX53" si="222">+AVERAGE(AT53:AW53)</f>
        <v>-1552.2945861816406</v>
      </c>
      <c r="AY53" s="629">
        <f t="shared" ref="AY53" si="223">+AVERAGE(AU53:AX53)</f>
        <v>-1578.3584671020508</v>
      </c>
      <c r="AZ53" s="629">
        <f t="shared" ref="AZ53" si="224">+AVERAGE(AV53:AY53)</f>
        <v>-1588.3733768463135</v>
      </c>
      <c r="BA53" s="629">
        <f t="shared" ref="BA53" si="225">+AVERAGE(AW53:AZ53)</f>
        <v>-1582.3733372688293</v>
      </c>
      <c r="BB53" s="629">
        <f t="shared" ref="BB53" si="226">+AVERAGE(AX53:BA53)</f>
        <v>-1575.3499418497086</v>
      </c>
    </row>
    <row r="54" spans="1:54" s="42" customFormat="1" x14ac:dyDescent="0.25">
      <c r="A54" s="19" t="s">
        <v>70</v>
      </c>
      <c r="B54" s="48"/>
      <c r="C54" s="48"/>
      <c r="D54" s="48"/>
      <c r="E54" s="48"/>
      <c r="F54" s="48"/>
      <c r="G54" s="48"/>
      <c r="H54" s="48"/>
      <c r="I54" s="48"/>
      <c r="J54" s="48">
        <v>-98</v>
      </c>
      <c r="K54" s="48">
        <v>-231</v>
      </c>
      <c r="L54" s="48">
        <v>-165</v>
      </c>
      <c r="M54" s="48">
        <v>-204</v>
      </c>
      <c r="N54" s="48">
        <v>-136</v>
      </c>
      <c r="O54" s="48">
        <v>-320</v>
      </c>
      <c r="P54" s="48">
        <v>-179</v>
      </c>
      <c r="Q54" s="48">
        <v>-212</v>
      </c>
      <c r="R54" s="48">
        <v>-252</v>
      </c>
      <c r="S54" s="48">
        <v>-205</v>
      </c>
      <c r="T54" s="48">
        <v>-256</v>
      </c>
      <c r="U54" s="48">
        <v>-392</v>
      </c>
      <c r="V54" s="48">
        <v>-276</v>
      </c>
      <c r="W54" s="48">
        <v>-364</v>
      </c>
      <c r="X54" s="48">
        <v>-468</v>
      </c>
      <c r="Y54" s="48">
        <v>-367</v>
      </c>
      <c r="Z54" s="48">
        <v>-383</v>
      </c>
      <c r="AA54" s="48">
        <v>-266</v>
      </c>
      <c r="AB54" s="48">
        <v>-386</v>
      </c>
      <c r="AC54" s="48">
        <v>-753</v>
      </c>
      <c r="AD54" s="322">
        <f t="shared" ref="AD54:AG54" si="227">+AD64*AC10</f>
        <v>-421.04179775280898</v>
      </c>
      <c r="AE54" s="322">
        <f t="shared" si="227"/>
        <v>-374.71873168816705</v>
      </c>
      <c r="AF54" s="322">
        <f t="shared" si="227"/>
        <v>-386.94835242954849</v>
      </c>
      <c r="AG54" s="322">
        <f t="shared" si="227"/>
        <v>-393.35143535044989</v>
      </c>
      <c r="AH54" s="421"/>
      <c r="AI54" s="322">
        <v>-413.64000000000004</v>
      </c>
      <c r="AJ54" s="421"/>
      <c r="AK54" s="47"/>
      <c r="AL54" s="48"/>
      <c r="AM54" s="48">
        <f>+SUMIFS($B54:AG54,$B$4:AG$4,"&lt;="&amp;AM$3,$B$4:AG$4,"&gt;"&amp;AL$3)</f>
        <v>0</v>
      </c>
      <c r="AN54" s="48">
        <f>+SUMIFS($B54:AG54,$B$4:AG$4,"&lt;="&amp;AN$3,$B$4:AG$4,"&gt;"&amp;AM$3)</f>
        <v>-698</v>
      </c>
      <c r="AO54" s="48">
        <f>+SUMIFS($B54:AG54,$B$4:AG$4,"&lt;="&amp;AO$3,$B$4:AG$4,"&gt;"&amp;AN$3)</f>
        <v>-847</v>
      </c>
      <c r="AP54" s="48">
        <f>+SUMIFS($B54:AG54,$B$4:AG$4,"&lt;="&amp;AP$3,$B$4:AG$4,"&gt;"&amp;AO$3)</f>
        <v>-1105</v>
      </c>
      <c r="AQ54" s="48">
        <f>+SUMIFS($B54:AG54,$B$4:AG$4,"&lt;="&amp;AQ$3,$B$4:AG$4,"&gt;"&amp;AP$3)</f>
        <v>-1475</v>
      </c>
      <c r="AR54" s="48">
        <f>+SUMIFS($B54:AG54,$B$4:AG$4,"&lt;="&amp;AR$3,$B$4:AG$4,"&gt;"&amp;AQ$3)</f>
        <v>-1788</v>
      </c>
      <c r="AS54" s="48">
        <f>+SUMIFS($B54:$AG54,$B$4:$AG$4,"&lt;="&amp;AS$3,$B$4:$AG$4,"&gt;"&amp;AR$3)</f>
        <v>-1576.0603172209744</v>
      </c>
      <c r="AT54" s="120">
        <f t="shared" ref="AT54" si="228">+AT64*AS10</f>
        <v>-1857.0416647303366</v>
      </c>
      <c r="AU54" s="120">
        <f t="shared" ref="AU54" si="229">+AU64*AT10</f>
        <v>-2207.517878416164</v>
      </c>
      <c r="AV54" s="120">
        <f t="shared" ref="AV54" si="230">+AV64*AU10</f>
        <v>-2460.1446087338181</v>
      </c>
      <c r="AW54" s="120">
        <f t="shared" ref="AW54" si="231">+AW64*AV10</f>
        <v>-2564.800113884723</v>
      </c>
      <c r="AX54" s="120">
        <f t="shared" ref="AX54" si="232">+AX64*AW10</f>
        <v>-2911.328565883035</v>
      </c>
      <c r="AY54" s="120">
        <f t="shared" ref="AY54" si="233">+AY64*AX10</f>
        <v>-3218.1325549471276</v>
      </c>
      <c r="AZ54" s="120">
        <f t="shared" ref="AZ54" si="234">+AZ64*AY10</f>
        <v>-3485.8614009097005</v>
      </c>
      <c r="BA54" s="120">
        <f t="shared" ref="BA54" si="235">+BA64*AZ10</f>
        <v>-3729.6956932243356</v>
      </c>
      <c r="BB54" s="120">
        <f t="shared" ref="BB54" si="236">+BB64*BA10</f>
        <v>-4019.7225172118892</v>
      </c>
    </row>
    <row r="55" spans="1:54" s="42" customFormat="1" x14ac:dyDescent="0.25">
      <c r="A55" s="19" t="s">
        <v>71</v>
      </c>
      <c r="B55" s="48"/>
      <c r="C55" s="48"/>
      <c r="D55" s="48"/>
      <c r="E55" s="48"/>
      <c r="F55" s="48"/>
      <c r="G55" s="48"/>
      <c r="H55" s="48"/>
      <c r="I55" s="48"/>
      <c r="J55" s="48">
        <v>-191</v>
      </c>
      <c r="K55" s="48">
        <v>-139</v>
      </c>
      <c r="L55" s="48">
        <v>-129</v>
      </c>
      <c r="M55" s="48">
        <v>-104</v>
      </c>
      <c r="N55" s="48">
        <v>-658</v>
      </c>
      <c r="O55" s="48">
        <v>-211</v>
      </c>
      <c r="P55" s="48">
        <v>-99</v>
      </c>
      <c r="Q55" s="48">
        <v>-91</v>
      </c>
      <c r="R55" s="48">
        <v>-181</v>
      </c>
      <c r="S55" s="48">
        <v>-69</v>
      </c>
      <c r="T55" s="48">
        <v>-89</v>
      </c>
      <c r="U55" s="48">
        <v>-240</v>
      </c>
      <c r="V55" s="48">
        <v>-120</v>
      </c>
      <c r="W55" s="48">
        <v>-106</v>
      </c>
      <c r="X55" s="48">
        <v>-130</v>
      </c>
      <c r="Y55" s="48">
        <f>-34-27</f>
        <v>-61</v>
      </c>
      <c r="Z55" s="48">
        <v>-82</v>
      </c>
      <c r="AA55" s="48">
        <v>-165</v>
      </c>
      <c r="AB55" s="48">
        <v>-128</v>
      </c>
      <c r="AC55" s="48">
        <v>-335</v>
      </c>
      <c r="AD55" s="629">
        <f>+AVERAGE(Z55:AC55)</f>
        <v>-177.5</v>
      </c>
      <c r="AE55" s="629">
        <f t="shared" ref="AE55:AG55" si="237">+AVERAGE(AA55:AD55)</f>
        <v>-201.375</v>
      </c>
      <c r="AF55" s="629">
        <f t="shared" si="237"/>
        <v>-210.46875</v>
      </c>
      <c r="AG55" s="629">
        <f t="shared" si="237"/>
        <v>-231.0859375</v>
      </c>
      <c r="AI55" s="47"/>
      <c r="AK55" s="47"/>
      <c r="AL55" s="48"/>
      <c r="AM55" s="48">
        <f>+SUMIFS($B55:AG55,$B$4:AG$4,"&lt;="&amp;AM$3,$B$4:AG$4,"&gt;"&amp;AL$3)</f>
        <v>0</v>
      </c>
      <c r="AN55" s="48">
        <f>+SUMIFS($B55:AG55,$B$4:AG$4,"&lt;="&amp;AN$3,$B$4:AG$4,"&gt;"&amp;AM$3)</f>
        <v>-563</v>
      </c>
      <c r="AO55" s="48">
        <f>+SUMIFS($B55:AG55,$B$4:AG$4,"&lt;="&amp;AO$3,$B$4:AG$4,"&gt;"&amp;AN$3)</f>
        <v>-1059</v>
      </c>
      <c r="AP55" s="48">
        <f>+SUMIFS($B55:AG55,$B$4:AG$4,"&lt;="&amp;AP$3,$B$4:AG$4,"&gt;"&amp;AO$3)</f>
        <v>-579</v>
      </c>
      <c r="AQ55" s="48">
        <f>+SUMIFS($B55:AG55,$B$4:AG$4,"&lt;="&amp;AQ$3,$B$4:AG$4,"&gt;"&amp;AP$3)</f>
        <v>-417</v>
      </c>
      <c r="AR55" s="48">
        <f>+SUMIFS($B55:AG55,$B$4:AG$4,"&lt;="&amp;AR$3,$B$4:AG$4,"&gt;"&amp;AQ$3)</f>
        <v>-710</v>
      </c>
      <c r="AS55" s="48">
        <f>+SUMIFS($B55:$AG55,$B$4:$AG$4,"&lt;="&amp;AS$3,$B$4:$AG$4,"&gt;"&amp;AR$3)</f>
        <v>-820.4296875</v>
      </c>
      <c r="AT55" s="629">
        <f t="shared" ref="AT55" si="238">+AVERAGE(AP55:AS55)</f>
        <v>-631.607421875</v>
      </c>
      <c r="AU55" s="629">
        <f t="shared" ref="AU55" si="239">+AVERAGE(AQ55:AT55)</f>
        <v>-644.75927734375</v>
      </c>
      <c r="AV55" s="629">
        <f t="shared" ref="AV55" si="240">+AVERAGE(AR55:AU55)</f>
        <v>-701.6990966796875</v>
      </c>
      <c r="AW55" s="629">
        <f t="shared" ref="AW55" si="241">+AVERAGE(AS55:AV55)</f>
        <v>-699.62387084960938</v>
      </c>
      <c r="AX55" s="629">
        <f t="shared" ref="AX55" si="242">+AVERAGE(AT55:AW55)</f>
        <v>-669.42241668701172</v>
      </c>
      <c r="AY55" s="629">
        <f t="shared" ref="AY55" si="243">+AVERAGE(AU55:AX55)</f>
        <v>-678.87616539001465</v>
      </c>
      <c r="AZ55" s="629">
        <f t="shared" ref="AZ55" si="244">+AVERAGE(AV55:AY55)</f>
        <v>-687.40538740158081</v>
      </c>
      <c r="BA55" s="629">
        <f t="shared" ref="BA55" si="245">+AVERAGE(AW55:AZ55)</f>
        <v>-683.83196008205414</v>
      </c>
      <c r="BB55" s="629">
        <f t="shared" ref="BB55" si="246">+AVERAGE(AX55:BA55)</f>
        <v>-679.88398239016533</v>
      </c>
    </row>
    <row r="56" spans="1:54" s="66" customFormat="1" ht="15.75" thickBot="1" x14ac:dyDescent="0.3">
      <c r="A56" s="10" t="s">
        <v>72</v>
      </c>
      <c r="B56" s="63"/>
      <c r="C56" s="63"/>
      <c r="D56" s="63"/>
      <c r="E56" s="63"/>
      <c r="F56" s="63"/>
      <c r="G56" s="63"/>
      <c r="H56" s="63"/>
      <c r="I56" s="63">
        <f>+I10</f>
        <v>1552</v>
      </c>
      <c r="J56" s="63">
        <f t="shared" ref="J56:AG56" si="247">+J48+J49+J50+J53+J54+J55</f>
        <v>1944</v>
      </c>
      <c r="K56" s="63">
        <f t="shared" si="247"/>
        <v>1836</v>
      </c>
      <c r="L56" s="63">
        <f t="shared" si="247"/>
        <v>1913</v>
      </c>
      <c r="M56" s="63">
        <f t="shared" si="247"/>
        <v>2135</v>
      </c>
      <c r="N56" s="63">
        <f t="shared" si="247"/>
        <v>1870</v>
      </c>
      <c r="O56" s="63">
        <f t="shared" si="247"/>
        <v>1642</v>
      </c>
      <c r="P56" s="63">
        <f t="shared" si="247"/>
        <v>1654</v>
      </c>
      <c r="Q56" s="63">
        <f t="shared" si="247"/>
        <v>1845</v>
      </c>
      <c r="R56" s="63">
        <f t="shared" si="247"/>
        <v>1766</v>
      </c>
      <c r="S56" s="63">
        <f t="shared" si="247"/>
        <v>1923</v>
      </c>
      <c r="T56" s="63">
        <f t="shared" si="247"/>
        <v>2063</v>
      </c>
      <c r="U56" s="63">
        <f t="shared" si="247"/>
        <v>2053</v>
      </c>
      <c r="V56" s="63">
        <f t="shared" si="247"/>
        <v>2187</v>
      </c>
      <c r="W56" s="63">
        <f t="shared" si="247"/>
        <v>2181</v>
      </c>
      <c r="X56" s="63">
        <f t="shared" si="247"/>
        <v>2134</v>
      </c>
      <c r="Y56" s="63">
        <f t="shared" si="247"/>
        <v>2250</v>
      </c>
      <c r="Z56" s="63">
        <f t="shared" si="247"/>
        <v>2480</v>
      </c>
      <c r="AA56" s="63">
        <f t="shared" si="247"/>
        <v>2790</v>
      </c>
      <c r="AB56" s="63">
        <f t="shared" si="247"/>
        <v>3064</v>
      </c>
      <c r="AC56" s="63">
        <f t="shared" si="247"/>
        <v>2446</v>
      </c>
      <c r="AD56" s="64">
        <f t="shared" si="247"/>
        <v>2498.1248779211137</v>
      </c>
      <c r="AE56" s="64">
        <f t="shared" si="247"/>
        <v>2579.6556828636567</v>
      </c>
      <c r="AF56" s="64">
        <f t="shared" si="247"/>
        <v>2622.3429023363328</v>
      </c>
      <c r="AG56" s="64">
        <f t="shared" si="247"/>
        <v>2663.7783231550884</v>
      </c>
      <c r="AH56" s="422"/>
      <c r="AI56" s="64">
        <v>3297.9860000000003</v>
      </c>
      <c r="AJ56" s="486">
        <f>+AB56/AI56-1</f>
        <v>-7.0948148354783913E-2</v>
      </c>
      <c r="AK56" s="65"/>
      <c r="AL56" s="63"/>
      <c r="AM56" s="63">
        <f>+I56</f>
        <v>1552</v>
      </c>
      <c r="AN56" s="63">
        <f t="shared" ref="AN56:BB56" si="248">+AN48+AN49+AN50+AN53+AN54+AN55</f>
        <v>2135</v>
      </c>
      <c r="AO56" s="63">
        <f t="shared" si="248"/>
        <v>1845</v>
      </c>
      <c r="AP56" s="63">
        <f t="shared" si="248"/>
        <v>2053</v>
      </c>
      <c r="AQ56" s="63">
        <f t="shared" si="248"/>
        <v>2250</v>
      </c>
      <c r="AR56" s="63">
        <f t="shared" si="248"/>
        <v>2446</v>
      </c>
      <c r="AS56" s="63">
        <f t="shared" si="248"/>
        <v>2663.7783231550879</v>
      </c>
      <c r="AT56" s="64">
        <f t="shared" si="248"/>
        <v>3083.6165709871375</v>
      </c>
      <c r="AU56" s="64">
        <f t="shared" si="248"/>
        <v>3439.5961687576141</v>
      </c>
      <c r="AV56" s="64">
        <f t="shared" si="248"/>
        <v>3700.1881370359342</v>
      </c>
      <c r="AW56" s="64">
        <f t="shared" si="248"/>
        <v>4127.4540501057818</v>
      </c>
      <c r="AX56" s="64">
        <f t="shared" si="248"/>
        <v>4549.1771857079693</v>
      </c>
      <c r="AY56" s="64">
        <f t="shared" si="248"/>
        <v>4942.4458437619378</v>
      </c>
      <c r="AZ56" s="64">
        <f t="shared" si="248"/>
        <v>5306.8872931504193</v>
      </c>
      <c r="BA56" s="64">
        <f t="shared" si="248"/>
        <v>5699.9948731340573</v>
      </c>
      <c r="BB56" s="64">
        <f t="shared" si="248"/>
        <v>6090.5186010766083</v>
      </c>
    </row>
    <row r="57" spans="1:54" ht="15.75" thickTop="1" x14ac:dyDescent="0.25">
      <c r="A57" s="2" t="s">
        <v>323</v>
      </c>
      <c r="B57" s="481">
        <f t="shared" ref="B57:AB57" si="249">+B56/B5</f>
        <v>0</v>
      </c>
      <c r="C57" s="481">
        <f t="shared" si="249"/>
        <v>0</v>
      </c>
      <c r="D57" s="481">
        <f t="shared" si="249"/>
        <v>0</v>
      </c>
      <c r="E57" s="481">
        <f t="shared" si="249"/>
        <v>0</v>
      </c>
      <c r="F57" s="481">
        <f t="shared" si="249"/>
        <v>0</v>
      </c>
      <c r="G57" s="481">
        <f t="shared" si="249"/>
        <v>0</v>
      </c>
      <c r="H57" s="481">
        <f t="shared" si="249"/>
        <v>0</v>
      </c>
      <c r="I57" s="481">
        <f t="shared" si="249"/>
        <v>1.4372366532388757E-2</v>
      </c>
      <c r="J57" s="481">
        <f t="shared" si="249"/>
        <v>1.7639692938678474E-2</v>
      </c>
      <c r="K57" s="481">
        <f t="shared" si="249"/>
        <v>1.6391686308120847E-2</v>
      </c>
      <c r="L57" s="481">
        <f t="shared" si="249"/>
        <v>1.6974267968056789E-2</v>
      </c>
      <c r="M57" s="481">
        <f t="shared" si="249"/>
        <v>1.8530090784426044E-2</v>
      </c>
      <c r="N57" s="481">
        <f t="shared" si="249"/>
        <v>1.5779791740502591E-2</v>
      </c>
      <c r="O57" s="481">
        <f t="shared" si="249"/>
        <v>1.3564530652369662E-2</v>
      </c>
      <c r="P57" s="481">
        <f t="shared" si="249"/>
        <v>1.3398136897529365E-2</v>
      </c>
      <c r="Q57" s="481">
        <f t="shared" si="249"/>
        <v>1.3759004877175712E-2</v>
      </c>
      <c r="R57" s="481">
        <f t="shared" si="249"/>
        <v>1.259233906619891E-2</v>
      </c>
      <c r="S57" s="481">
        <f t="shared" si="249"/>
        <v>1.3383815535805012E-2</v>
      </c>
      <c r="T57" s="481">
        <f t="shared" si="249"/>
        <v>1.3885336599943463E-2</v>
      </c>
      <c r="U57" s="481">
        <f t="shared" si="249"/>
        <v>1.3491401121107175E-2</v>
      </c>
      <c r="V57" s="481">
        <f t="shared" si="249"/>
        <v>1.3891976700607893E-2</v>
      </c>
      <c r="W57" s="481">
        <f t="shared" si="249"/>
        <v>1.3378890674649426E-2</v>
      </c>
      <c r="X57" s="481">
        <f t="shared" si="249"/>
        <v>1.2701398106098933E-2</v>
      </c>
      <c r="Y57" s="481">
        <f t="shared" si="249"/>
        <v>1.2922493754128019E-2</v>
      </c>
      <c r="Z57" s="481">
        <f t="shared" si="249"/>
        <v>1.3941591477640049E-2</v>
      </c>
      <c r="AA57" s="481">
        <f t="shared" si="249"/>
        <v>1.545809139665795E-2</v>
      </c>
      <c r="AB57" s="481">
        <f t="shared" si="249"/>
        <v>1.6578382092750206E-2</v>
      </c>
      <c r="AC57" s="481">
        <f>+AC56/AC5</f>
        <v>1.3019086854235196E-2</v>
      </c>
      <c r="AL57" s="39"/>
      <c r="AM57" s="39"/>
      <c r="AN57" s="481">
        <f t="shared" ref="AN57:BB57" si="250">+AN56/AN5</f>
        <v>1.8530090784426044E-2</v>
      </c>
      <c r="AO57" s="481">
        <f t="shared" si="250"/>
        <v>1.3759004877175712E-2</v>
      </c>
      <c r="AP57" s="481">
        <f t="shared" si="250"/>
        <v>1.3491401121107175E-2</v>
      </c>
      <c r="AQ57" s="481">
        <f t="shared" si="250"/>
        <v>1.2922493754128019E-2</v>
      </c>
      <c r="AR57" s="481">
        <f t="shared" si="250"/>
        <v>1.3019086854235196E-2</v>
      </c>
      <c r="AS57" s="481">
        <f t="shared" si="250"/>
        <v>1.3138732440060306E-2</v>
      </c>
      <c r="AT57" s="481">
        <f t="shared" si="250"/>
        <v>1.3894733606820935E-2</v>
      </c>
      <c r="AU57" s="481">
        <f t="shared" si="250"/>
        <v>1.4571969458732719E-2</v>
      </c>
      <c r="AV57" s="481">
        <f t="shared" si="250"/>
        <v>1.4738052257152367E-2</v>
      </c>
      <c r="AW57" s="481">
        <f t="shared" si="250"/>
        <v>1.544909839835229E-2</v>
      </c>
      <c r="AX57" s="481">
        <f t="shared" si="250"/>
        <v>1.5992386125805433E-2</v>
      </c>
      <c r="AY57" s="481">
        <f t="shared" si="250"/>
        <v>1.6524568176566317E-2</v>
      </c>
      <c r="AZ57" s="481">
        <f t="shared" si="250"/>
        <v>1.6869399531472755E-2</v>
      </c>
      <c r="BA57" s="481">
        <f t="shared" si="250"/>
        <v>1.7220354489917419E-2</v>
      </c>
      <c r="BB57" s="481">
        <f t="shared" si="250"/>
        <v>1.7481243051586243E-2</v>
      </c>
    </row>
    <row r="58" spans="1:54" x14ac:dyDescent="0.25">
      <c r="A58" s="2"/>
      <c r="B58" s="481"/>
      <c r="C58" s="481"/>
      <c r="D58" s="481"/>
      <c r="E58" s="481"/>
      <c r="F58" s="481"/>
      <c r="G58" s="481"/>
      <c r="H58" s="481"/>
      <c r="I58" s="481"/>
      <c r="J58" s="481"/>
      <c r="K58" s="481"/>
      <c r="L58" s="481"/>
      <c r="M58" s="481"/>
      <c r="N58" s="481"/>
      <c r="O58" s="481"/>
      <c r="P58" s="481"/>
      <c r="Q58" s="481"/>
      <c r="R58" s="481"/>
      <c r="S58" s="481"/>
      <c r="T58" s="481"/>
      <c r="U58" s="481"/>
      <c r="V58" s="481"/>
      <c r="W58" s="481"/>
      <c r="X58" s="481"/>
      <c r="Y58" s="481"/>
      <c r="Z58" s="481"/>
      <c r="AA58" s="481"/>
      <c r="AB58" s="481"/>
      <c r="AC58" s="481"/>
      <c r="AL58" s="39"/>
      <c r="AM58" s="39"/>
      <c r="AN58" s="39"/>
      <c r="AO58" s="39"/>
      <c r="AP58" s="39"/>
      <c r="AQ58" s="39"/>
      <c r="AR58" s="39"/>
      <c r="AS58" s="39"/>
    </row>
    <row r="59" spans="1:54" x14ac:dyDescent="0.25">
      <c r="A59" s="2" t="s">
        <v>73</v>
      </c>
      <c r="B59" s="39"/>
      <c r="C59" s="39"/>
      <c r="D59" s="39"/>
      <c r="E59" s="39"/>
      <c r="F59" s="39"/>
      <c r="G59" s="39"/>
      <c r="H59" s="39"/>
      <c r="I59" s="433">
        <f t="shared" ref="I59:AC59" si="251">+I49</f>
        <v>0</v>
      </c>
      <c r="J59" s="433">
        <f t="shared" si="251"/>
        <v>749</v>
      </c>
      <c r="K59" s="433">
        <f t="shared" si="251"/>
        <v>422</v>
      </c>
      <c r="L59" s="433">
        <f t="shared" si="251"/>
        <v>487</v>
      </c>
      <c r="M59" s="433">
        <f t="shared" si="251"/>
        <v>692</v>
      </c>
      <c r="N59" s="433">
        <f t="shared" si="251"/>
        <v>600</v>
      </c>
      <c r="O59" s="433">
        <f t="shared" si="251"/>
        <v>357</v>
      </c>
      <c r="P59" s="433">
        <f t="shared" si="251"/>
        <v>431</v>
      </c>
      <c r="Q59" s="433">
        <f t="shared" si="251"/>
        <v>523</v>
      </c>
      <c r="R59" s="433">
        <f t="shared" si="251"/>
        <v>511</v>
      </c>
      <c r="S59" s="433">
        <f t="shared" si="251"/>
        <v>575</v>
      </c>
      <c r="T59" s="433">
        <f t="shared" si="251"/>
        <v>594</v>
      </c>
      <c r="U59" s="433">
        <f t="shared" si="251"/>
        <v>765</v>
      </c>
      <c r="V59" s="433">
        <f t="shared" si="251"/>
        <v>647</v>
      </c>
      <c r="W59" s="433">
        <f t="shared" si="251"/>
        <v>611</v>
      </c>
      <c r="X59" s="433">
        <f t="shared" si="251"/>
        <v>756</v>
      </c>
      <c r="Y59" s="433">
        <f t="shared" si="251"/>
        <v>739</v>
      </c>
      <c r="Z59" s="433">
        <f t="shared" si="251"/>
        <v>885</v>
      </c>
      <c r="AA59" s="433">
        <f t="shared" si="251"/>
        <v>841</v>
      </c>
      <c r="AB59" s="433">
        <f t="shared" si="251"/>
        <v>974</v>
      </c>
      <c r="AC59" s="433">
        <f>+AC49</f>
        <v>849</v>
      </c>
      <c r="AD59" s="67">
        <f t="shared" ref="AD59:AG59" si="252">+AD60*AC9</f>
        <v>864.4166756739229</v>
      </c>
      <c r="AE59" s="67">
        <f t="shared" si="252"/>
        <v>877.31203663070971</v>
      </c>
      <c r="AF59" s="67">
        <f t="shared" si="252"/>
        <v>889.71369690222446</v>
      </c>
      <c r="AG59" s="67">
        <f t="shared" si="252"/>
        <v>931.38451241920507</v>
      </c>
      <c r="AH59" s="415"/>
      <c r="AI59" s="67">
        <v>647.62599999999998</v>
      </c>
      <c r="AJ59" s="486">
        <f>+AB59/AI59-1</f>
        <v>0.50395444284201063</v>
      </c>
      <c r="AL59" s="41"/>
      <c r="AM59" s="41">
        <f>+SUMIFS($B59:AG59,$B$4:AG$4,"&lt;="&amp;AM$3,$B$4:AG$4,"&gt;"&amp;AL$3)</f>
        <v>0</v>
      </c>
      <c r="AN59" s="41">
        <f>+SUMIFS($B59:AG59,$B$4:AG$4,"&lt;="&amp;AN$3,$B$4:AG$4,"&gt;"&amp;AM$3)</f>
        <v>2350</v>
      </c>
      <c r="AO59" s="41">
        <f>+SUMIFS($B59:AG59,$B$4:AG$4,"&lt;="&amp;AO$3,$B$4:AG$4,"&gt;"&amp;AN$3)</f>
        <v>1911</v>
      </c>
      <c r="AP59" s="41">
        <f>+SUMIFS($B59:AG59,$B$4:AG$4,"&lt;="&amp;AP$3,$B$4:AG$4,"&gt;"&amp;AO$3)</f>
        <v>2445</v>
      </c>
      <c r="AQ59" s="41">
        <f>+SUMIFS($B59:AG59,$B$4:AG$4,"&lt;="&amp;AQ$3,$B$4:AG$4,"&gt;"&amp;AP$3)</f>
        <v>2753</v>
      </c>
      <c r="AR59" s="41">
        <f>+SUMIFS($B59:AG59,$B$4:AG$4,"&lt;="&amp;AR$3,$B$4:AG$4,"&gt;"&amp;AQ$3)</f>
        <v>3549</v>
      </c>
      <c r="AS59" s="41">
        <f>+SUMIFS($B59:AH59,$B$4:AH$4,"&lt;="&amp;AS$3,$B$4:AH$4,"&gt;"&amp;AR$3)</f>
        <v>3562.8269216260624</v>
      </c>
      <c r="AT59" s="67">
        <f>+AT60*AS9</f>
        <v>3663.6269828748855</v>
      </c>
      <c r="AU59" s="67">
        <f t="shared" ref="AU59:BB59" si="253">+AU60*AT9</f>
        <v>4013.9313140772661</v>
      </c>
      <c r="AV59" s="67">
        <f t="shared" si="253"/>
        <v>4263.528874375419</v>
      </c>
      <c r="AW59" s="67">
        <f t="shared" si="253"/>
        <v>4529.3063986586722</v>
      </c>
      <c r="AX59" s="67">
        <f t="shared" si="253"/>
        <v>4812.3550958028509</v>
      </c>
      <c r="AY59" s="67">
        <f t="shared" si="253"/>
        <v>5113.8436883200038</v>
      </c>
      <c r="AZ59" s="67">
        <f t="shared" si="253"/>
        <v>5365.747484974162</v>
      </c>
      <c r="BA59" s="67">
        <f t="shared" si="253"/>
        <v>5631.410992212127</v>
      </c>
      <c r="BB59" s="67">
        <f t="shared" si="253"/>
        <v>5911.6958009836071</v>
      </c>
    </row>
    <row r="60" spans="1:54" s="475" customFormat="1" ht="12.75" x14ac:dyDescent="0.2">
      <c r="A60" s="470" t="s">
        <v>313</v>
      </c>
      <c r="B60" s="471"/>
      <c r="C60" s="471"/>
      <c r="D60" s="471"/>
      <c r="E60" s="471"/>
      <c r="F60" s="471"/>
      <c r="G60" s="471"/>
      <c r="H60" s="471"/>
      <c r="I60" s="630"/>
      <c r="J60" s="564">
        <f t="shared" ref="J60:Z60" si="254">+J59/I$9</f>
        <v>6.8801440329218106E-3</v>
      </c>
      <c r="K60" s="564">
        <f t="shared" si="254"/>
        <v>3.8070493563199725E-3</v>
      </c>
      <c r="L60" s="564">
        <f t="shared" si="254"/>
        <v>4.323777223371481E-3</v>
      </c>
      <c r="M60" s="564">
        <f t="shared" si="254"/>
        <v>6.1048768438139601E-3</v>
      </c>
      <c r="N60" s="564">
        <f t="shared" si="254"/>
        <v>5.1805866150910485E-3</v>
      </c>
      <c r="O60" s="564">
        <f t="shared" si="254"/>
        <v>2.9910519789537182E-3</v>
      </c>
      <c r="P60" s="564">
        <f t="shared" si="254"/>
        <v>3.5354239637762595E-3</v>
      </c>
      <c r="Q60" s="564">
        <f t="shared" si="254"/>
        <v>4.2058028821410189E-3</v>
      </c>
      <c r="R60" s="564">
        <f t="shared" si="254"/>
        <v>3.7823834196891192E-3</v>
      </c>
      <c r="S60" s="564">
        <f t="shared" si="254"/>
        <v>4.0626854704236496E-3</v>
      </c>
      <c r="T60" s="564">
        <f t="shared" si="254"/>
        <v>4.0988979898838648E-3</v>
      </c>
      <c r="U60" s="564">
        <f t="shared" si="254"/>
        <v>5.1085483041622979E-3</v>
      </c>
      <c r="V60" s="564">
        <f t="shared" si="254"/>
        <v>4.22191480476091E-3</v>
      </c>
      <c r="W60" s="564">
        <f t="shared" si="254"/>
        <v>3.8522404151088525E-3</v>
      </c>
      <c r="X60" s="564">
        <f t="shared" si="254"/>
        <v>4.6061891096528911E-3</v>
      </c>
      <c r="Y60" s="564">
        <f t="shared" si="254"/>
        <v>4.3697816883086164E-3</v>
      </c>
      <c r="Z60" s="476">
        <f t="shared" si="254"/>
        <v>5.0585592537339026E-3</v>
      </c>
      <c r="AA60" s="564">
        <f>+AA59/Z$9</f>
        <v>4.7113262299306466E-3</v>
      </c>
      <c r="AB60" s="476">
        <f>+AB59/AA$9</f>
        <v>5.3832379015320677E-3</v>
      </c>
      <c r="AC60" s="564">
        <f>+AC59/AB$9</f>
        <v>4.5882963315246762E-3</v>
      </c>
      <c r="AD60" s="473">
        <f>+AC60</f>
        <v>4.5882963315246762E-3</v>
      </c>
      <c r="AE60" s="473">
        <f t="shared" ref="AE60:AG60" si="255">+AD60</f>
        <v>4.5882963315246762E-3</v>
      </c>
      <c r="AF60" s="473">
        <f t="shared" si="255"/>
        <v>4.5882963315246762E-3</v>
      </c>
      <c r="AG60" s="473">
        <f t="shared" si="255"/>
        <v>4.5882963315246762E-3</v>
      </c>
      <c r="AH60" s="474"/>
      <c r="AI60" s="473">
        <v>3.5000000000000001E-3</v>
      </c>
      <c r="AJ60" s="474"/>
      <c r="AL60" s="472"/>
      <c r="AM60" s="472">
        <f t="shared" ref="AM60:AP60" si="256">+AM59/AVERAGEIFS($B$9:$AG$9,$B$4:$AG$4,"&gt;"&amp;AL$3,$B$4:$AG$4,"&lt;="&amp;AM$3)</f>
        <v>0</v>
      </c>
      <c r="AN60" s="472">
        <f t="shared" si="256"/>
        <v>2.0766642586198137E-2</v>
      </c>
      <c r="AO60" s="476">
        <f t="shared" si="256"/>
        <v>1.5266108400553606E-2</v>
      </c>
      <c r="AP60" s="476">
        <f t="shared" si="256"/>
        <v>1.6591850652986025E-2</v>
      </c>
      <c r="AQ60" s="468">
        <f>+AQ59/AVERAGEIFS($B$9:$AG$9,$B$4:$AG$4,"&gt;"&amp;AP$3,$B$4:$AG$4,"&lt;="&amp;AQ$3)</f>
        <v>1.6514622759645652E-2</v>
      </c>
      <c r="AR60" s="468">
        <f>+AR59/AVERAGEIFS($B$9:$AG$9,$B$4:$AG$4,"&gt;"&amp;AQ$3,$B$4:$AG$4,"&lt;="&amp;AR$3)</f>
        <v>1.9370420401981253E-2</v>
      </c>
      <c r="AS60" s="468">
        <f>+AS59/AVERAGEIFS($B$9:$AG$9,$B$4:$AG$4,"&gt;"&amp;AR$3,$B$4:$AG$4,"&lt;="&amp;AS$3)</f>
        <v>1.8002976606203883E-2</v>
      </c>
      <c r="AT60" s="473">
        <f>+AS60</f>
        <v>1.8002976606203883E-2</v>
      </c>
      <c r="AU60" s="473">
        <f t="shared" ref="AU60:BB60" si="257">+AT60</f>
        <v>1.8002976606203883E-2</v>
      </c>
      <c r="AV60" s="473">
        <f t="shared" si="257"/>
        <v>1.8002976606203883E-2</v>
      </c>
      <c r="AW60" s="473">
        <f t="shared" si="257"/>
        <v>1.8002976606203883E-2</v>
      </c>
      <c r="AX60" s="473">
        <f t="shared" si="257"/>
        <v>1.8002976606203883E-2</v>
      </c>
      <c r="AY60" s="473">
        <f t="shared" si="257"/>
        <v>1.8002976606203883E-2</v>
      </c>
      <c r="AZ60" s="473">
        <f t="shared" si="257"/>
        <v>1.8002976606203883E-2</v>
      </c>
      <c r="BA60" s="473">
        <f t="shared" si="257"/>
        <v>1.8002976606203883E-2</v>
      </c>
      <c r="BB60" s="473">
        <f t="shared" si="257"/>
        <v>1.8002976606203883E-2</v>
      </c>
    </row>
    <row r="61" spans="1:54" s="475" customFormat="1" ht="12.75" x14ac:dyDescent="0.2">
      <c r="A61" s="470"/>
      <c r="B61" s="471" t="e">
        <f>+SUM(#REF!)/A7</f>
        <v>#REF!</v>
      </c>
      <c r="C61" s="471" t="e">
        <f>+SUM(#REF!)/B7</f>
        <v>#REF!</v>
      </c>
      <c r="D61" s="471">
        <f t="shared" ref="D61:AA61" si="258">+SUM(A59:D59)/C7</f>
        <v>0</v>
      </c>
      <c r="E61" s="471">
        <f t="shared" si="258"/>
        <v>0</v>
      </c>
      <c r="F61" s="471">
        <f t="shared" si="258"/>
        <v>0</v>
      </c>
      <c r="G61" s="471">
        <f t="shared" si="258"/>
        <v>0</v>
      </c>
      <c r="H61" s="471">
        <f t="shared" si="258"/>
        <v>0</v>
      </c>
      <c r="I61" s="630">
        <f t="shared" si="258"/>
        <v>0</v>
      </c>
      <c r="J61" s="564">
        <f t="shared" si="258"/>
        <v>6.7834371830169538E-3</v>
      </c>
      <c r="K61" s="564">
        <f t="shared" si="258"/>
        <v>1.0382034027537658E-2</v>
      </c>
      <c r="L61" s="564">
        <f t="shared" si="258"/>
        <v>1.4484270850623314E-2</v>
      </c>
      <c r="M61" s="564">
        <f t="shared" si="258"/>
        <v>2.0387802021428883E-2</v>
      </c>
      <c r="N61" s="564">
        <f t="shared" si="258"/>
        <v>1.866013293543136E-2</v>
      </c>
      <c r="O61" s="564">
        <f t="shared" si="258"/>
        <v>1.7619982512002377E-2</v>
      </c>
      <c r="P61" s="564">
        <f t="shared" si="258"/>
        <v>1.6835153094673455E-2</v>
      </c>
      <c r="Q61" s="564">
        <f t="shared" si="258"/>
        <v>1.5165944478834341E-2</v>
      </c>
      <c r="R61" s="564">
        <f t="shared" si="258"/>
        <v>1.3311318273473802E-2</v>
      </c>
      <c r="S61" s="564">
        <f t="shared" si="258"/>
        <v>1.4236067495708245E-2</v>
      </c>
      <c r="T61" s="564">
        <f t="shared" si="258"/>
        <v>1.5002724053391446E-2</v>
      </c>
      <c r="U61" s="564">
        <f t="shared" si="258"/>
        <v>1.6109372426288914E-2</v>
      </c>
      <c r="V61" s="564">
        <f t="shared" si="258"/>
        <v>1.6619339218678565E-2</v>
      </c>
      <c r="W61" s="564">
        <f t="shared" si="258"/>
        <v>1.6290477198311816E-2</v>
      </c>
      <c r="X61" s="564">
        <f t="shared" si="258"/>
        <v>1.6712572617601423E-2</v>
      </c>
      <c r="Y61" s="564">
        <f t="shared" si="258"/>
        <v>1.6077508424193934E-2</v>
      </c>
      <c r="Z61" s="564">
        <f t="shared" si="258"/>
        <v>1.6881518941617376E-2</v>
      </c>
      <c r="AA61" s="564">
        <f t="shared" si="258"/>
        <v>1.7796956670681711E-2</v>
      </c>
      <c r="AB61" s="564">
        <f>+SUM(Y59:AB59)/AA7</f>
        <v>1.8718498601147385E-2</v>
      </c>
      <c r="AC61" s="564">
        <f>+SUM(Z59:AC59)/AB7</f>
        <v>1.886762360446571E-2</v>
      </c>
      <c r="AD61" s="598">
        <f t="shared" ref="AD61:AG61" si="259">+SUM(AA59:AD59)/AC7</f>
        <v>1.8488680037276505E-2</v>
      </c>
      <c r="AE61" s="598">
        <f t="shared" si="259"/>
        <v>1.8402910609802658E-2</v>
      </c>
      <c r="AF61" s="598">
        <f t="shared" si="259"/>
        <v>1.7713163470476512E-2</v>
      </c>
      <c r="AG61" s="598">
        <f t="shared" si="259"/>
        <v>1.7327769848677621E-2</v>
      </c>
      <c r="AH61" s="474"/>
      <c r="AI61" s="473">
        <v>1.3272865497076024E-2</v>
      </c>
      <c r="AJ61" s="474"/>
      <c r="AL61" s="472"/>
      <c r="AM61" s="472"/>
      <c r="AN61" s="472"/>
      <c r="AO61" s="476"/>
      <c r="AP61" s="476"/>
      <c r="AQ61" s="468"/>
      <c r="AR61" s="468"/>
      <c r="AS61" s="472"/>
      <c r="AT61" s="473"/>
      <c r="AU61" s="473"/>
      <c r="AV61" s="473"/>
      <c r="AW61" s="473"/>
      <c r="AX61" s="473"/>
      <c r="AY61" s="473"/>
      <c r="AZ61" s="473"/>
      <c r="BA61" s="473"/>
      <c r="BB61" s="473"/>
    </row>
    <row r="62" spans="1:54" s="475" customFormat="1" ht="12.75" x14ac:dyDescent="0.2">
      <c r="A62" s="470"/>
      <c r="B62" s="471"/>
      <c r="C62" s="471"/>
      <c r="D62" s="471"/>
      <c r="E62" s="471"/>
      <c r="F62" s="471"/>
      <c r="G62" s="471"/>
      <c r="H62" s="471"/>
      <c r="I62" s="630"/>
      <c r="J62" s="564"/>
      <c r="K62" s="564"/>
      <c r="L62" s="564"/>
      <c r="M62" s="564"/>
      <c r="N62" s="564"/>
      <c r="O62" s="564"/>
      <c r="P62" s="564"/>
      <c r="Q62" s="564"/>
      <c r="R62" s="564"/>
      <c r="S62" s="564"/>
      <c r="T62" s="564"/>
      <c r="U62" s="564"/>
      <c r="V62" s="564"/>
      <c r="W62" s="564"/>
      <c r="X62" s="564"/>
      <c r="Y62" s="564"/>
      <c r="Z62" s="564"/>
      <c r="AA62" s="564"/>
      <c r="AB62" s="564"/>
      <c r="AC62" s="564"/>
      <c r="AD62" s="473"/>
      <c r="AE62" s="473"/>
      <c r="AF62" s="473"/>
      <c r="AG62" s="473"/>
      <c r="AH62" s="474"/>
      <c r="AI62" s="473"/>
      <c r="AJ62" s="474"/>
      <c r="AL62" s="472"/>
      <c r="AM62" s="472"/>
      <c r="AN62" s="472"/>
      <c r="AO62" s="476"/>
      <c r="AP62" s="476"/>
      <c r="AQ62" s="468"/>
      <c r="AR62" s="468"/>
      <c r="AS62" s="472"/>
      <c r="AT62" s="473"/>
      <c r="AU62" s="473"/>
      <c r="AV62" s="473"/>
      <c r="AW62" s="473"/>
      <c r="AX62" s="473"/>
      <c r="AY62" s="473"/>
      <c r="AZ62" s="473"/>
      <c r="BA62" s="473"/>
      <c r="BB62" s="473"/>
    </row>
    <row r="63" spans="1:54" x14ac:dyDescent="0.25">
      <c r="B63" s="41"/>
      <c r="C63" s="41"/>
      <c r="D63" s="41"/>
      <c r="E63" s="41"/>
      <c r="F63" s="41"/>
      <c r="G63" s="41"/>
      <c r="H63" s="41"/>
      <c r="I63" s="41"/>
      <c r="J63" s="68"/>
      <c r="K63" s="68"/>
      <c r="L63" s="68"/>
      <c r="M63" s="68"/>
      <c r="N63" s="68"/>
      <c r="O63" s="68"/>
      <c r="P63" s="68"/>
      <c r="Q63" s="68"/>
      <c r="R63" s="68"/>
      <c r="S63" s="68"/>
      <c r="T63" s="68"/>
      <c r="U63" s="68"/>
      <c r="V63" s="68"/>
      <c r="W63" s="68"/>
      <c r="X63" s="68"/>
      <c r="Y63" s="68"/>
      <c r="Z63" s="68"/>
      <c r="AA63" s="68"/>
      <c r="AB63" s="68"/>
      <c r="AC63" s="68"/>
      <c r="AL63" s="68"/>
      <c r="AM63" s="68"/>
      <c r="AN63" s="68"/>
      <c r="AO63" s="68"/>
      <c r="AP63" s="68"/>
      <c r="AQ63" s="68"/>
      <c r="AR63" s="68"/>
      <c r="AS63" s="68"/>
    </row>
    <row r="64" spans="1:54" x14ac:dyDescent="0.25">
      <c r="A64" t="s">
        <v>74</v>
      </c>
      <c r="B64" s="41"/>
      <c r="C64" s="41"/>
      <c r="D64" s="41"/>
      <c r="E64" s="41"/>
      <c r="F64" s="41"/>
      <c r="G64" s="41"/>
      <c r="H64" s="41"/>
      <c r="I64" s="41"/>
      <c r="J64" s="68"/>
      <c r="K64" s="68">
        <f t="shared" ref="K64:U64" si="260">+K54/J10</f>
        <v>-0.11882716049382716</v>
      </c>
      <c r="L64" s="68">
        <f t="shared" si="260"/>
        <v>-8.9869281045751634E-2</v>
      </c>
      <c r="M64" s="68">
        <f t="shared" si="260"/>
        <v>-0.10663878724516467</v>
      </c>
      <c r="N64" s="68">
        <f t="shared" si="260"/>
        <v>-6.3700234192037478E-2</v>
      </c>
      <c r="O64" s="68">
        <f t="shared" si="260"/>
        <v>-0.17112299465240641</v>
      </c>
      <c r="P64" s="68">
        <f t="shared" si="260"/>
        <v>-0.10901339829476249</v>
      </c>
      <c r="Q64" s="68">
        <f t="shared" si="260"/>
        <v>-0.12817412333736397</v>
      </c>
      <c r="R64" s="68">
        <f t="shared" si="260"/>
        <v>-0.14189189189189189</v>
      </c>
      <c r="S64" s="68">
        <f t="shared" si="260"/>
        <v>-0.1160815402038505</v>
      </c>
      <c r="T64" s="68">
        <f t="shared" si="260"/>
        <v>-0.13312532501300053</v>
      </c>
      <c r="U64" s="68">
        <f t="shared" si="260"/>
        <v>-0.19348469891411649</v>
      </c>
      <c r="V64" s="68">
        <f>+V54/U10</f>
        <v>-0.13443740867023868</v>
      </c>
      <c r="W64" s="68">
        <f t="shared" ref="W64:AC64" si="261">+W54/V10</f>
        <v>-0.17869415807560138</v>
      </c>
      <c r="X64" s="68">
        <f t="shared" ref="X64" si="262">+X54/W10</f>
        <v>-0.217169373549884</v>
      </c>
      <c r="Y64" s="68">
        <f t="shared" si="261"/>
        <v>-0.17335852621634387</v>
      </c>
      <c r="Z64" s="68">
        <f t="shared" si="261"/>
        <v>-0.17213483146067415</v>
      </c>
      <c r="AA64" s="68">
        <f t="shared" si="261"/>
        <v>-0.10725806451612903</v>
      </c>
      <c r="AB64" s="68">
        <f t="shared" si="261"/>
        <v>-0.13835125448028673</v>
      </c>
      <c r="AC64" s="68">
        <f t="shared" si="261"/>
        <v>-0.24575718015665796</v>
      </c>
      <c r="AD64" s="69">
        <f>+Z64</f>
        <v>-0.17213483146067415</v>
      </c>
      <c r="AE64" s="69">
        <v>-0.15</v>
      </c>
      <c r="AF64" s="69">
        <v>-0.15</v>
      </c>
      <c r="AG64" s="69">
        <v>-0.15</v>
      </c>
      <c r="AH64" s="423"/>
      <c r="AI64" s="69">
        <v>-0.13500000000000001</v>
      </c>
      <c r="AJ64" s="423"/>
      <c r="AL64" s="68"/>
      <c r="AM64" s="68">
        <f t="shared" ref="AM64" si="263">+AM54/AL10</f>
        <v>0</v>
      </c>
      <c r="AN64" s="68">
        <f t="shared" ref="AN64" si="264">+AN54/AM10</f>
        <v>-0.44974226804123713</v>
      </c>
      <c r="AO64" s="68">
        <f t="shared" ref="AO64" si="265">+AO54/AN10</f>
        <v>-0.39672131147540984</v>
      </c>
      <c r="AP64" s="68">
        <f t="shared" ref="AP64" si="266">+AP54/AO10</f>
        <v>-0.62218468468468469</v>
      </c>
      <c r="AQ64" s="68">
        <f t="shared" ref="AQ64" si="267">+AQ54/AP10</f>
        <v>-0.7184607890891378</v>
      </c>
      <c r="AR64" s="68">
        <f t="shared" ref="AR64" si="268">+AR54/AQ10</f>
        <v>-0.80359550561797755</v>
      </c>
      <c r="AS64" s="68">
        <f t="shared" ref="AS64" si="269">+AS54/AR10</f>
        <v>-0.6443419121917312</v>
      </c>
      <c r="AT64" s="69">
        <f>+AVERAGE(AP64:AS64)</f>
        <v>-0.69714572289588284</v>
      </c>
      <c r="AU64" s="69">
        <f t="shared" ref="AU64:BB64" si="270">+AVERAGE(AQ64:AT64)</f>
        <v>-0.71588598244868229</v>
      </c>
      <c r="AV64" s="69">
        <f t="shared" si="270"/>
        <v>-0.71524228078856855</v>
      </c>
      <c r="AW64" s="69">
        <f t="shared" si="270"/>
        <v>-0.69315397458121608</v>
      </c>
      <c r="AX64" s="69">
        <f t="shared" si="270"/>
        <v>-0.70535699017858744</v>
      </c>
      <c r="AY64" s="69">
        <f t="shared" si="270"/>
        <v>-0.70740980699926359</v>
      </c>
      <c r="AZ64" s="69">
        <f t="shared" si="270"/>
        <v>-0.70529076313690886</v>
      </c>
      <c r="BA64" s="69">
        <f t="shared" si="270"/>
        <v>-0.70280288372399402</v>
      </c>
      <c r="BB64" s="69">
        <f t="shared" si="270"/>
        <v>-0.70521511100968848</v>
      </c>
    </row>
    <row r="65" spans="1:54" x14ac:dyDescent="0.25">
      <c r="B65" s="41"/>
      <c r="C65" s="41"/>
      <c r="D65" s="41"/>
      <c r="E65" s="41"/>
      <c r="F65" s="41"/>
      <c r="G65" s="41"/>
      <c r="H65" s="41"/>
      <c r="I65" s="41"/>
      <c r="J65" s="68"/>
      <c r="K65" s="68"/>
      <c r="L65" s="68"/>
      <c r="M65" s="68"/>
      <c r="N65" s="68"/>
      <c r="O65" s="68"/>
      <c r="P65" s="68"/>
      <c r="Q65" s="68"/>
      <c r="R65" s="68"/>
      <c r="S65" s="68"/>
      <c r="T65" s="68"/>
      <c r="U65" s="68"/>
      <c r="V65" s="68"/>
      <c r="W65" s="68"/>
      <c r="X65" s="68"/>
      <c r="Y65" s="68"/>
      <c r="Z65" s="68"/>
      <c r="AA65" s="68"/>
      <c r="AB65" s="68"/>
      <c r="AC65" s="68"/>
      <c r="AD65" s="69"/>
      <c r="AE65" s="69"/>
      <c r="AF65" s="69"/>
      <c r="AG65" s="69"/>
      <c r="AH65" s="423"/>
      <c r="AI65" s="69"/>
      <c r="AJ65" s="423"/>
      <c r="AL65" s="68"/>
      <c r="AM65" s="68"/>
      <c r="AN65" s="68"/>
      <c r="AO65" s="68"/>
      <c r="AP65" s="68"/>
      <c r="AQ65" s="68"/>
      <c r="AR65" s="68"/>
      <c r="AS65" s="68"/>
      <c r="AT65" s="69"/>
      <c r="AU65" s="69"/>
      <c r="AV65" s="69"/>
      <c r="AW65" s="69"/>
      <c r="AX65" s="69"/>
      <c r="AY65" s="69"/>
      <c r="AZ65" s="69"/>
      <c r="BA65" s="69"/>
      <c r="BB65" s="69"/>
    </row>
    <row r="66" spans="1:54" s="42" customFormat="1" x14ac:dyDescent="0.25">
      <c r="A66" s="2" t="s">
        <v>75</v>
      </c>
      <c r="B66" s="39">
        <v>2157</v>
      </c>
      <c r="C66" s="39">
        <v>2187</v>
      </c>
      <c r="D66" s="39">
        <v>2319</v>
      </c>
      <c r="E66" s="39">
        <v>2231</v>
      </c>
      <c r="F66" s="39">
        <v>2342</v>
      </c>
      <c r="G66" s="39">
        <v>2447</v>
      </c>
      <c r="H66" s="39">
        <v>2369</v>
      </c>
      <c r="I66" s="39">
        <v>2307</v>
      </c>
      <c r="J66" s="39">
        <v>2626</v>
      </c>
      <c r="K66" s="39">
        <v>2773</v>
      </c>
      <c r="L66" s="39">
        <v>2643</v>
      </c>
      <c r="M66" s="39">
        <v>2739</v>
      </c>
      <c r="N66" s="39">
        <v>2827</v>
      </c>
      <c r="O66" s="39">
        <v>3051</v>
      </c>
      <c r="P66" s="39">
        <v>2818</v>
      </c>
      <c r="Q66" s="39">
        <v>2861</v>
      </c>
      <c r="R66" s="39">
        <v>3055</v>
      </c>
      <c r="S66" s="39">
        <v>3219</v>
      </c>
      <c r="T66" s="39">
        <v>3375</v>
      </c>
      <c r="U66" s="39">
        <f>+T69</f>
        <v>3484</v>
      </c>
      <c r="V66" s="39">
        <f t="shared" ref="V66:AG66" si="271">+U69</f>
        <v>3426</v>
      </c>
      <c r="W66" s="39">
        <f t="shared" ref="W66" si="272">+V69</f>
        <v>3540</v>
      </c>
      <c r="X66" s="39">
        <f t="shared" ref="X66" si="273">+W69</f>
        <v>3619</v>
      </c>
      <c r="Y66" s="39">
        <f t="shared" si="271"/>
        <v>3593</v>
      </c>
      <c r="Z66" s="39">
        <f t="shared" si="271"/>
        <v>3653</v>
      </c>
      <c r="AA66" s="39">
        <f t="shared" si="271"/>
        <v>3737</v>
      </c>
      <c r="AB66" s="39">
        <f t="shared" si="271"/>
        <v>3906</v>
      </c>
      <c r="AC66" s="39">
        <f t="shared" si="271"/>
        <v>3990</v>
      </c>
      <c r="AD66" s="39">
        <f t="shared" si="271"/>
        <v>3731</v>
      </c>
      <c r="AE66" s="39">
        <f t="shared" si="271"/>
        <v>3805.4369832846496</v>
      </c>
      <c r="AF66" s="39">
        <f t="shared" si="271"/>
        <v>3931.0836208713808</v>
      </c>
      <c r="AG66" s="39">
        <f t="shared" si="271"/>
        <v>4051.9039137585105</v>
      </c>
      <c r="AH66" s="416"/>
      <c r="AI66" s="39">
        <v>3990</v>
      </c>
      <c r="AJ66" s="416"/>
      <c r="AL66" s="39"/>
      <c r="AM66" s="39"/>
      <c r="AN66" s="39">
        <f>+AM69</f>
        <v>2626</v>
      </c>
      <c r="AO66" s="39">
        <f t="shared" ref="AO66:AS66" si="274">+AN69</f>
        <v>2827</v>
      </c>
      <c r="AP66" s="39">
        <f t="shared" si="274"/>
        <v>3055</v>
      </c>
      <c r="AQ66" s="39">
        <f t="shared" si="274"/>
        <v>3426</v>
      </c>
      <c r="AR66" s="39">
        <f t="shared" si="274"/>
        <v>3653</v>
      </c>
      <c r="AS66" s="39">
        <f t="shared" si="274"/>
        <v>3731</v>
      </c>
      <c r="AT66" s="39">
        <f t="shared" ref="AT66" si="275">+AS69</f>
        <v>4189.5449809695965</v>
      </c>
      <c r="AU66" s="39">
        <f t="shared" ref="AU66" si="276">+AT69</f>
        <v>4435.9287122837968</v>
      </c>
      <c r="AV66" s="39">
        <f t="shared" ref="AV66" si="277">+AU69</f>
        <v>4541.1929555823281</v>
      </c>
      <c r="AW66" s="39">
        <f t="shared" ref="AW66" si="278">+AV69</f>
        <v>4543.1389710280291</v>
      </c>
      <c r="AX66" s="39">
        <f t="shared" ref="AX66" si="279">+AW69</f>
        <v>4591.5907151619913</v>
      </c>
      <c r="AY66" s="39">
        <f t="shared" ref="AY66" si="280">+AX69</f>
        <v>4465.692145584002</v>
      </c>
      <c r="AZ66" s="39">
        <f t="shared" ref="AZ66" si="281">+AY69</f>
        <v>4213.4180265913128</v>
      </c>
      <c r="BA66" s="39">
        <f t="shared" ref="BA66" si="282">+AZ69</f>
        <v>3844.711142460721</v>
      </c>
      <c r="BB66" s="39">
        <f t="shared" ref="BB66" si="283">+BA69</f>
        <v>3389.8960517732617</v>
      </c>
    </row>
    <row r="67" spans="1:54" x14ac:dyDescent="0.25">
      <c r="A67" t="s">
        <v>76</v>
      </c>
      <c r="B67" s="70">
        <v>154</v>
      </c>
      <c r="C67" s="70">
        <v>218</v>
      </c>
      <c r="D67" s="70">
        <v>130</v>
      </c>
      <c r="E67" s="70">
        <v>229</v>
      </c>
      <c r="F67" s="70">
        <v>175</v>
      </c>
      <c r="G67" s="70">
        <v>157</v>
      </c>
      <c r="H67" s="70">
        <v>260</v>
      </c>
      <c r="I67" s="70">
        <v>472</v>
      </c>
      <c r="J67" s="70">
        <v>237</v>
      </c>
      <c r="K67" s="70">
        <v>118</v>
      </c>
      <c r="L67" s="70">
        <v>238</v>
      </c>
      <c r="M67" s="70">
        <v>260</v>
      </c>
      <c r="N67" s="70">
        <v>-49</v>
      </c>
      <c r="O67" s="70">
        <v>66</v>
      </c>
      <c r="P67" s="70">
        <v>207</v>
      </c>
      <c r="Q67" s="70">
        <v>220</v>
      </c>
      <c r="R67" s="70">
        <v>290</v>
      </c>
      <c r="S67" s="70">
        <v>339</v>
      </c>
      <c r="T67" s="70">
        <v>336</v>
      </c>
      <c r="U67" s="70">
        <v>305</v>
      </c>
      <c r="V67" s="70">
        <v>375</v>
      </c>
      <c r="W67" s="70">
        <v>410</v>
      </c>
      <c r="X67" s="70">
        <v>419</v>
      </c>
      <c r="Y67" s="70">
        <v>444</v>
      </c>
      <c r="Z67" s="70">
        <v>413</v>
      </c>
      <c r="AA67" s="70">
        <v>415</v>
      </c>
      <c r="AB67" s="70">
        <v>458</v>
      </c>
      <c r="AC67" s="70">
        <v>471</v>
      </c>
      <c r="AD67" s="67">
        <f>+AD59*AD73</f>
        <v>475.42917162065766</v>
      </c>
      <c r="AE67" s="67">
        <f>+AE59*AE73</f>
        <v>482.52162014689037</v>
      </c>
      <c r="AF67" s="67">
        <f>+AF59*AF73</f>
        <v>489.34253329622351</v>
      </c>
      <c r="AG67" s="67">
        <f>+AG59*AG73</f>
        <v>512.26148183056284</v>
      </c>
      <c r="AH67" s="415"/>
      <c r="AI67" s="67">
        <v>453.33819999999997</v>
      </c>
      <c r="AJ67" s="415"/>
      <c r="AL67" s="70"/>
      <c r="AM67" s="70">
        <f>+SUMIFS($B67:AG67,$B$4:AG$4,"&lt;="&amp;AM$3,$B$4:AG$4,"&gt;"&amp;AL$3)</f>
        <v>1064</v>
      </c>
      <c r="AN67" s="70">
        <f>+SUMIFS($B67:AG67,$B$4:AG$4,"&lt;="&amp;AN$3,$B$4:AG$4,"&gt;"&amp;AM$3)</f>
        <v>853</v>
      </c>
      <c r="AO67" s="70">
        <f>+SUMIFS($B67:AG67,$B$4:AG$4,"&lt;="&amp;AO$3,$B$4:AG$4,"&gt;"&amp;AN$3)</f>
        <v>444</v>
      </c>
      <c r="AP67" s="70">
        <f>+SUMIFS($B67:AG67,$B$4:AG$4,"&lt;="&amp;AP$3,$B$4:AG$4,"&gt;"&amp;AO$3)</f>
        <v>1270</v>
      </c>
      <c r="AQ67" s="70">
        <f>+SUMIFS($B67:AG67,$B$4:AG$4,"&lt;="&amp;AQ$3,$B$4:AG$4,"&gt;"&amp;AP$3)</f>
        <v>1648</v>
      </c>
      <c r="AR67" s="70">
        <f>+SUMIFS($B67:AG67,$B$4:AG$4,"&lt;="&amp;AR$3,$B$4:AG$4,"&gt;"&amp;AQ$3)</f>
        <v>1757</v>
      </c>
      <c r="AS67" s="70">
        <f>+SUMIFS($B67:$AG67,$B$4:$AG$4,"&lt;="&amp;AS$3,$B$4:$AG$4,"&gt;"&amp;AR$3)</f>
        <v>1959.5548068943344</v>
      </c>
      <c r="AT67" s="67">
        <f t="shared" ref="AT67:BB67" si="284">+AT59*AT73</f>
        <v>2014.9948405811872</v>
      </c>
      <c r="AU67" s="67">
        <f t="shared" si="284"/>
        <v>2207.6622227424964</v>
      </c>
      <c r="AV67" s="67">
        <f t="shared" si="284"/>
        <v>2344.9408809064807</v>
      </c>
      <c r="AW67" s="67">
        <f t="shared" si="284"/>
        <v>2491.1185192622697</v>
      </c>
      <c r="AX67" s="67">
        <f t="shared" si="284"/>
        <v>2646.7953026915684</v>
      </c>
      <c r="AY67" s="67">
        <f t="shared" si="284"/>
        <v>2812.6140285760025</v>
      </c>
      <c r="AZ67" s="67">
        <f t="shared" si="284"/>
        <v>2951.1611167357892</v>
      </c>
      <c r="BA67" s="67">
        <f t="shared" si="284"/>
        <v>3097.2760457166701</v>
      </c>
      <c r="BB67" s="67">
        <f t="shared" si="284"/>
        <v>3251.4326905409844</v>
      </c>
    </row>
    <row r="68" spans="1:54" x14ac:dyDescent="0.25">
      <c r="A68" t="s">
        <v>77</v>
      </c>
      <c r="B68" s="71">
        <f t="shared" ref="B68:U68" si="285">+B69-B67-B66</f>
        <v>-124</v>
      </c>
      <c r="C68" s="71">
        <f t="shared" si="285"/>
        <v>-86</v>
      </c>
      <c r="D68" s="71">
        <f t="shared" si="285"/>
        <v>-218</v>
      </c>
      <c r="E68" s="71">
        <f t="shared" si="285"/>
        <v>-118</v>
      </c>
      <c r="F68" s="71">
        <f t="shared" si="285"/>
        <v>-70</v>
      </c>
      <c r="G68" s="71">
        <f t="shared" si="285"/>
        <v>-235</v>
      </c>
      <c r="H68" s="71">
        <f t="shared" si="285"/>
        <v>-322</v>
      </c>
      <c r="I68" s="71">
        <f t="shared" si="285"/>
        <v>-153</v>
      </c>
      <c r="J68" s="71">
        <f t="shared" si="285"/>
        <v>-90</v>
      </c>
      <c r="K68" s="71">
        <f t="shared" si="285"/>
        <v>-248</v>
      </c>
      <c r="L68" s="71">
        <f t="shared" si="285"/>
        <v>-142</v>
      </c>
      <c r="M68" s="71">
        <f t="shared" si="285"/>
        <v>-172</v>
      </c>
      <c r="N68" s="71">
        <f t="shared" si="285"/>
        <v>273</v>
      </c>
      <c r="O68" s="71">
        <f t="shared" si="285"/>
        <v>-299</v>
      </c>
      <c r="P68" s="71">
        <f t="shared" si="285"/>
        <v>-164</v>
      </c>
      <c r="Q68" s="71">
        <f t="shared" si="285"/>
        <v>-26</v>
      </c>
      <c r="R68" s="71">
        <f t="shared" si="285"/>
        <v>-126</v>
      </c>
      <c r="S68" s="71">
        <f t="shared" si="285"/>
        <v>-183</v>
      </c>
      <c r="T68" s="71">
        <f t="shared" si="285"/>
        <v>-227</v>
      </c>
      <c r="U68" s="71">
        <f t="shared" si="285"/>
        <v>-363</v>
      </c>
      <c r="V68" s="71">
        <f>+V69-V67-V66</f>
        <v>-261</v>
      </c>
      <c r="W68" s="71">
        <f t="shared" ref="W68:AB68" si="286">+W69-W67-W66</f>
        <v>-331</v>
      </c>
      <c r="X68" s="71">
        <f t="shared" si="286"/>
        <v>-445</v>
      </c>
      <c r="Y68" s="71">
        <f t="shared" si="286"/>
        <v>-384</v>
      </c>
      <c r="Z68" s="71">
        <f t="shared" si="286"/>
        <v>-329</v>
      </c>
      <c r="AA68" s="71">
        <f t="shared" si="286"/>
        <v>-246</v>
      </c>
      <c r="AB68" s="71">
        <f t="shared" si="286"/>
        <v>-374</v>
      </c>
      <c r="AC68" s="71">
        <f t="shared" ref="AC68" si="287">+AC69-AC67-AC66</f>
        <v>-730</v>
      </c>
      <c r="AD68" s="67">
        <f>+AD54/AD77</f>
        <v>-400.99218833600855</v>
      </c>
      <c r="AE68" s="67">
        <f>+AE54/AE77</f>
        <v>-356.87498256015908</v>
      </c>
      <c r="AF68" s="67">
        <f>+AF54/AF77</f>
        <v>-368.5222404090938</v>
      </c>
      <c r="AG68" s="67">
        <f>+AG54/AG77</f>
        <v>-374.62041461947609</v>
      </c>
      <c r="AH68" s="415"/>
      <c r="AI68" s="67">
        <v>-393.94285714285718</v>
      </c>
      <c r="AJ68" s="415"/>
      <c r="AL68" s="71"/>
      <c r="AM68" s="71">
        <f>+SUMIFS($B68:AG68,$B$4:AG$4,"&lt;="&amp;AM$3,$B$4:AG$4,"&gt;"&amp;AL$3)</f>
        <v>-780</v>
      </c>
      <c r="AN68" s="71">
        <f>+SUMIFS($B68:AG68,$B$4:AG$4,"&lt;="&amp;AN$3,$B$4:AG$4,"&gt;"&amp;AM$3)</f>
        <v>-652</v>
      </c>
      <c r="AO68" s="71">
        <f>+SUMIFS($B68:AG68,$B$4:AG$4,"&lt;="&amp;AO$3,$B$4:AG$4,"&gt;"&amp;AN$3)</f>
        <v>-216</v>
      </c>
      <c r="AP68" s="71">
        <f>+SUMIFS($B68:AG68,$B$4:AG$4,"&lt;="&amp;AP$3,$B$4:AG$4,"&gt;"&amp;AO$3)</f>
        <v>-899</v>
      </c>
      <c r="AQ68" s="71">
        <f>+SUMIFS($B68:AG68,$B$4:AG$4,"&lt;="&amp;AQ$3,$B$4:AG$4,"&gt;"&amp;AP$3)</f>
        <v>-1421</v>
      </c>
      <c r="AR68" s="71">
        <f>+SUMIFS($B68:AG68,$B$4:AG$4,"&lt;="&amp;AR$3,$B$4:AG$4,"&gt;"&amp;AQ$3)</f>
        <v>-1679</v>
      </c>
      <c r="AS68" s="71">
        <f>+SUMIFS($B68:$AG68,$B$4:$AG$4,"&lt;="&amp;AS$3,$B$4:$AG$4,"&gt;"&amp;AR$3)</f>
        <v>-1501.0098259247377</v>
      </c>
      <c r="AT68" s="67">
        <f t="shared" ref="AT68:BB68" si="288">+AT54/AT77</f>
        <v>-1768.6111092669871</v>
      </c>
      <c r="AU68" s="67">
        <f t="shared" si="288"/>
        <v>-2102.3979794439656</v>
      </c>
      <c r="AV68" s="67">
        <f t="shared" si="288"/>
        <v>-2342.9948654607792</v>
      </c>
      <c r="AW68" s="67">
        <f t="shared" si="288"/>
        <v>-2442.6667751283076</v>
      </c>
      <c r="AX68" s="67">
        <f t="shared" si="288"/>
        <v>-2772.6938722695572</v>
      </c>
      <c r="AY68" s="67">
        <f t="shared" si="288"/>
        <v>-3064.8881475686926</v>
      </c>
      <c r="AZ68" s="67">
        <f t="shared" si="288"/>
        <v>-3319.8680008663814</v>
      </c>
      <c r="BA68" s="67">
        <f t="shared" si="288"/>
        <v>-3552.091136404129</v>
      </c>
      <c r="BB68" s="67">
        <f t="shared" si="288"/>
        <v>-3828.307159249418</v>
      </c>
    </row>
    <row r="69" spans="1:54" s="180" customFormat="1" x14ac:dyDescent="0.25">
      <c r="A69" s="152" t="s">
        <v>78</v>
      </c>
      <c r="B69" s="177">
        <v>2187</v>
      </c>
      <c r="C69" s="177">
        <v>2319</v>
      </c>
      <c r="D69" s="177">
        <v>2231</v>
      </c>
      <c r="E69" s="177">
        <v>2342</v>
      </c>
      <c r="F69" s="177">
        <v>2447</v>
      </c>
      <c r="G69" s="177">
        <v>2369</v>
      </c>
      <c r="H69" s="177">
        <v>2307</v>
      </c>
      <c r="I69" s="177">
        <v>2626</v>
      </c>
      <c r="J69" s="178">
        <v>2773</v>
      </c>
      <c r="K69" s="178">
        <v>2643</v>
      </c>
      <c r="L69" s="178">
        <v>2739</v>
      </c>
      <c r="M69" s="178">
        <v>2827</v>
      </c>
      <c r="N69" s="178">
        <v>3051</v>
      </c>
      <c r="O69" s="178">
        <v>2818</v>
      </c>
      <c r="P69" s="178">
        <v>2861</v>
      </c>
      <c r="Q69" s="178">
        <v>3055</v>
      </c>
      <c r="R69" s="178">
        <v>3219</v>
      </c>
      <c r="S69" s="178">
        <v>3375</v>
      </c>
      <c r="T69" s="178">
        <v>3484</v>
      </c>
      <c r="U69" s="178">
        <v>3426</v>
      </c>
      <c r="V69" s="178">
        <v>3540</v>
      </c>
      <c r="W69" s="178">
        <v>3619</v>
      </c>
      <c r="X69" s="178">
        <v>3593</v>
      </c>
      <c r="Y69" s="178">
        <v>3653</v>
      </c>
      <c r="Z69" s="178">
        <v>3737</v>
      </c>
      <c r="AA69" s="178">
        <v>3906</v>
      </c>
      <c r="AB69" s="178">
        <v>3990</v>
      </c>
      <c r="AC69" s="178">
        <v>3731</v>
      </c>
      <c r="AD69" s="179">
        <f t="shared" ref="AD69:AG69" si="289">+AD66+AD67+AD68</f>
        <v>3805.4369832846496</v>
      </c>
      <c r="AE69" s="179">
        <f t="shared" si="289"/>
        <v>3931.0836208713808</v>
      </c>
      <c r="AF69" s="179">
        <f t="shared" si="289"/>
        <v>4051.9039137585105</v>
      </c>
      <c r="AG69" s="179">
        <f t="shared" si="289"/>
        <v>4189.5449809695974</v>
      </c>
      <c r="AH69" s="424"/>
      <c r="AI69" s="179">
        <v>4049.3953428571431</v>
      </c>
      <c r="AJ69" s="486">
        <f>+AB69/AI69-1</f>
        <v>-1.4667706614991838E-2</v>
      </c>
      <c r="AL69" s="178"/>
      <c r="AM69" s="178">
        <f>+I69</f>
        <v>2626</v>
      </c>
      <c r="AN69" s="178">
        <f t="shared" ref="AN69:BB69" si="290">+AN66+AN67+AN68</f>
        <v>2827</v>
      </c>
      <c r="AO69" s="178">
        <f t="shared" si="290"/>
        <v>3055</v>
      </c>
      <c r="AP69" s="178">
        <f t="shared" si="290"/>
        <v>3426</v>
      </c>
      <c r="AQ69" s="178">
        <f t="shared" si="290"/>
        <v>3653</v>
      </c>
      <c r="AR69" s="178">
        <f t="shared" si="290"/>
        <v>3731</v>
      </c>
      <c r="AS69" s="178">
        <f t="shared" si="290"/>
        <v>4189.5449809695965</v>
      </c>
      <c r="AT69" s="179">
        <f t="shared" si="290"/>
        <v>4435.9287122837968</v>
      </c>
      <c r="AU69" s="179">
        <f t="shared" si="290"/>
        <v>4541.1929555823281</v>
      </c>
      <c r="AV69" s="179">
        <f t="shared" si="290"/>
        <v>4543.1389710280291</v>
      </c>
      <c r="AW69" s="179">
        <f t="shared" si="290"/>
        <v>4591.5907151619913</v>
      </c>
      <c r="AX69" s="179">
        <f t="shared" si="290"/>
        <v>4465.692145584002</v>
      </c>
      <c r="AY69" s="179">
        <f t="shared" si="290"/>
        <v>4213.4180265913128</v>
      </c>
      <c r="AZ69" s="179">
        <f t="shared" si="290"/>
        <v>3844.711142460721</v>
      </c>
      <c r="BA69" s="179">
        <f t="shared" si="290"/>
        <v>3389.8960517732617</v>
      </c>
      <c r="BB69" s="179">
        <f t="shared" si="290"/>
        <v>2813.0215830648285</v>
      </c>
    </row>
    <row r="70" spans="1:54" x14ac:dyDescent="0.25">
      <c r="B70" s="41"/>
      <c r="C70" s="41"/>
      <c r="D70" s="41"/>
      <c r="E70" s="41"/>
      <c r="F70" s="41"/>
      <c r="G70" s="41"/>
      <c r="H70" s="41"/>
      <c r="I70" s="41"/>
      <c r="J70" s="41"/>
      <c r="K70" s="41"/>
      <c r="L70" s="41"/>
      <c r="M70" s="41"/>
      <c r="N70" s="41"/>
      <c r="O70" s="41"/>
      <c r="P70" s="41"/>
      <c r="Q70" s="481">
        <f t="shared" ref="Q70:Y70" si="291">+Q67/Q$9</f>
        <v>1.6284233900814211E-3</v>
      </c>
      <c r="R70" s="481">
        <f t="shared" si="291"/>
        <v>2.0490065850832322E-3</v>
      </c>
      <c r="S70" s="481">
        <f t="shared" si="291"/>
        <v>2.3392700649337208E-3</v>
      </c>
      <c r="T70" s="481">
        <f t="shared" si="291"/>
        <v>2.2437545492791271E-3</v>
      </c>
      <c r="U70" s="481">
        <f t="shared" si="291"/>
        <v>1.9902380455209855E-3</v>
      </c>
      <c r="V70" s="481">
        <f t="shared" si="291"/>
        <v>2.3643046737574793E-3</v>
      </c>
      <c r="W70" s="481">
        <f t="shared" si="291"/>
        <v>2.4980655224308007E-3</v>
      </c>
      <c r="X70" s="481">
        <f t="shared" si="291"/>
        <v>2.4775893469571181E-3</v>
      </c>
      <c r="Y70" s="482">
        <f t="shared" si="291"/>
        <v>2.5378534561105682E-3</v>
      </c>
      <c r="Z70" s="564">
        <f>+Z67/Z$9</f>
        <v>2.3136477205248003E-3</v>
      </c>
      <c r="AA70" s="564">
        <f t="shared" ref="AA70:AG70" si="292">+AA67/AA$9</f>
        <v>2.2936793933632524E-3</v>
      </c>
      <c r="AB70" s="564">
        <f t="shared" si="292"/>
        <v>2.4751940162995307E-3</v>
      </c>
      <c r="AC70" s="564">
        <f t="shared" ref="AC70" si="293">+AC67/AC$9</f>
        <v>2.5000530796832204E-3</v>
      </c>
      <c r="AD70" s="481">
        <f t="shared" si="292"/>
        <v>2.486469845352308E-3</v>
      </c>
      <c r="AE70" s="481">
        <f t="shared" si="292"/>
        <v>2.4883872051310275E-3</v>
      </c>
      <c r="AF70" s="481">
        <f t="shared" si="292"/>
        <v>2.4106569525728749E-3</v>
      </c>
      <c r="AG70" s="481">
        <f t="shared" si="292"/>
        <v>2.5172408426848577E-3</v>
      </c>
      <c r="AH70" s="423"/>
      <c r="AI70" s="481">
        <v>2.3915165658837888E-3</v>
      </c>
      <c r="AJ70" s="423"/>
      <c r="AL70" s="68"/>
      <c r="AM70" s="481">
        <f t="shared" ref="AM70:AQ70" si="294">+AM67/AVERAGEIFS($B$9:$AG$9,$B$4:$AG$4,"&gt;"&amp;AL$3,$B$4:$AG$4,"&lt;="&amp;AM$3)</f>
        <v>9.6769719445120254E-3</v>
      </c>
      <c r="AN70" s="481">
        <f t="shared" si="294"/>
        <v>7.5378494153306424E-3</v>
      </c>
      <c r="AO70" s="481">
        <f t="shared" si="294"/>
        <v>3.5469137257173214E-3</v>
      </c>
      <c r="AP70" s="481">
        <f t="shared" si="294"/>
        <v>8.6182618933710632E-3</v>
      </c>
      <c r="AQ70" s="481">
        <f t="shared" si="294"/>
        <v>9.8859783174340844E-3</v>
      </c>
      <c r="AR70" s="481">
        <f>+AR67/AVERAGEIFS($B$9:$AG$9,$B$4:$AG$4,"&gt;"&amp;AQ$3,$B$4:$AG$4,"&lt;="&amp;AR$3)</f>
        <v>9.5896953074897321E-3</v>
      </c>
      <c r="AS70" s="481">
        <f t="shared" ref="AS70" si="295">+AS67/AVERAGEIFS($B$9:$AG$9,$B$4:$AG$4,"&gt;"&amp;AR$3,$B$4:$AG$4,"&lt;="&amp;AS$3)</f>
        <v>9.9016371334121351E-3</v>
      </c>
      <c r="AT70" s="69"/>
      <c r="AU70" s="69"/>
      <c r="AV70" s="69"/>
      <c r="AW70" s="69"/>
      <c r="AX70" s="69"/>
      <c r="AY70" s="69"/>
      <c r="AZ70" s="69"/>
      <c r="BA70" s="69"/>
      <c r="BB70" s="69"/>
    </row>
    <row r="71" spans="1:54" x14ac:dyDescent="0.25">
      <c r="B71" s="41"/>
      <c r="C71" s="41"/>
      <c r="D71" s="41"/>
      <c r="E71" s="41"/>
      <c r="F71" s="41"/>
      <c r="G71" s="41"/>
      <c r="H71" s="41"/>
      <c r="I71" s="41"/>
      <c r="J71" s="41"/>
      <c r="K71" s="41"/>
      <c r="L71" s="41"/>
      <c r="M71" s="41"/>
      <c r="N71" s="41"/>
      <c r="O71" s="41"/>
      <c r="P71" s="41"/>
      <c r="Q71" s="481"/>
      <c r="R71" s="481"/>
      <c r="S71" s="481"/>
      <c r="T71" s="481"/>
      <c r="U71" s="481"/>
      <c r="V71" s="481"/>
      <c r="W71" s="481"/>
      <c r="X71" s="481"/>
      <c r="Y71" s="482"/>
      <c r="Z71" s="564"/>
      <c r="AA71" s="564"/>
      <c r="AB71" s="564"/>
      <c r="AC71" s="564"/>
      <c r="AD71" s="481"/>
      <c r="AE71" s="481"/>
      <c r="AF71" s="481"/>
      <c r="AG71" s="481"/>
      <c r="AH71" s="423"/>
      <c r="AI71" s="481"/>
      <c r="AJ71" s="423"/>
      <c r="AL71" s="68"/>
      <c r="AM71" s="481"/>
      <c r="AN71" s="481"/>
      <c r="AO71" s="481"/>
      <c r="AP71" s="481"/>
      <c r="AQ71" s="481"/>
      <c r="AR71" s="481"/>
      <c r="AS71" s="481"/>
      <c r="AT71" s="69"/>
      <c r="AU71" s="69"/>
      <c r="AV71" s="69"/>
      <c r="AW71" s="69"/>
      <c r="AX71" s="69"/>
      <c r="AY71" s="69"/>
      <c r="AZ71" s="69"/>
      <c r="BA71" s="69"/>
      <c r="BB71" s="69"/>
    </row>
    <row r="72" spans="1:54" s="42" customFormat="1" x14ac:dyDescent="0.25">
      <c r="A72" s="2" t="s">
        <v>314</v>
      </c>
      <c r="B72" s="561" t="e">
        <f t="shared" ref="B72:AA72" si="296">+B69/B56</f>
        <v>#DIV/0!</v>
      </c>
      <c r="C72" s="561" t="e">
        <f t="shared" si="296"/>
        <v>#DIV/0!</v>
      </c>
      <c r="D72" s="561" t="e">
        <f t="shared" si="296"/>
        <v>#DIV/0!</v>
      </c>
      <c r="E72" s="561" t="e">
        <f t="shared" si="296"/>
        <v>#DIV/0!</v>
      </c>
      <c r="F72" s="561" t="e">
        <f t="shared" si="296"/>
        <v>#DIV/0!</v>
      </c>
      <c r="G72" s="561" t="e">
        <f t="shared" si="296"/>
        <v>#DIV/0!</v>
      </c>
      <c r="H72" s="561" t="e">
        <f t="shared" si="296"/>
        <v>#DIV/0!</v>
      </c>
      <c r="I72" s="561">
        <f t="shared" si="296"/>
        <v>1.6920103092783505</v>
      </c>
      <c r="J72" s="561">
        <f t="shared" si="296"/>
        <v>1.4264403292181069</v>
      </c>
      <c r="K72" s="561">
        <f t="shared" si="296"/>
        <v>1.4395424836601307</v>
      </c>
      <c r="L72" s="561">
        <f t="shared" si="296"/>
        <v>1.4317825405122844</v>
      </c>
      <c r="M72" s="561">
        <f t="shared" si="296"/>
        <v>1.3241217798594849</v>
      </c>
      <c r="N72" s="561">
        <f t="shared" si="296"/>
        <v>1.6315508021390375</v>
      </c>
      <c r="O72" s="561">
        <f t="shared" si="296"/>
        <v>1.7161997563946407</v>
      </c>
      <c r="P72" s="561">
        <f t="shared" si="296"/>
        <v>1.729746070133011</v>
      </c>
      <c r="Q72" s="561">
        <f t="shared" si="296"/>
        <v>1.6558265582655827</v>
      </c>
      <c r="R72" s="561">
        <f t="shared" si="296"/>
        <v>1.8227633069082674</v>
      </c>
      <c r="S72" s="561">
        <f t="shared" si="296"/>
        <v>1.7550702028081124</v>
      </c>
      <c r="T72" s="561">
        <f t="shared" si="296"/>
        <v>1.6888027144934561</v>
      </c>
      <c r="U72" s="561">
        <f t="shared" si="296"/>
        <v>1.6687773989283974</v>
      </c>
      <c r="V72" s="561">
        <f t="shared" si="296"/>
        <v>1.6186556927297668</v>
      </c>
      <c r="W72" s="561">
        <f t="shared" si="296"/>
        <v>1.6593305823016964</v>
      </c>
      <c r="X72" s="561">
        <f t="shared" si="296"/>
        <v>1.6836925960637301</v>
      </c>
      <c r="Y72" s="565">
        <f t="shared" si="296"/>
        <v>1.6235555555555556</v>
      </c>
      <c r="Z72" s="566">
        <f t="shared" si="296"/>
        <v>1.5068548387096774</v>
      </c>
      <c r="AA72" s="566">
        <f t="shared" si="296"/>
        <v>1.4</v>
      </c>
      <c r="AB72" s="566">
        <f>+AB69/AB56</f>
        <v>1.3022193211488251</v>
      </c>
      <c r="AC72" s="566">
        <f>+AC69/AC56</f>
        <v>1.5253475061324611</v>
      </c>
      <c r="AD72" s="561">
        <f>+AD69/AD56</f>
        <v>1.5233173557166018</v>
      </c>
      <c r="AE72" s="561">
        <f>+AE69/AE56</f>
        <v>1.5238791932524554</v>
      </c>
      <c r="AF72" s="561">
        <f>+AF69/AF56</f>
        <v>1.5451464833788648</v>
      </c>
      <c r="AG72" s="561">
        <f>+AG69/AG56</f>
        <v>1.5727828943390936</v>
      </c>
      <c r="AH72" s="562"/>
      <c r="AI72" s="563">
        <v>1.2278388516073575</v>
      </c>
      <c r="AJ72" s="562"/>
      <c r="AL72" s="481"/>
      <c r="AM72" s="561">
        <f t="shared" ref="AM72:BB72" si="297">+AM69/AM56</f>
        <v>1.6920103092783505</v>
      </c>
      <c r="AN72" s="561">
        <f t="shared" si="297"/>
        <v>1.3241217798594849</v>
      </c>
      <c r="AO72" s="561">
        <f t="shared" si="297"/>
        <v>1.6558265582655827</v>
      </c>
      <c r="AP72" s="561">
        <f t="shared" si="297"/>
        <v>1.6687773989283974</v>
      </c>
      <c r="AQ72" s="561">
        <f t="shared" si="297"/>
        <v>1.6235555555555556</v>
      </c>
      <c r="AR72" s="561">
        <f t="shared" si="297"/>
        <v>1.5253475061324611</v>
      </c>
      <c r="AS72" s="561">
        <f t="shared" si="297"/>
        <v>1.5727828943390936</v>
      </c>
      <c r="AT72" s="561">
        <f t="shared" si="297"/>
        <v>1.438547436156679</v>
      </c>
      <c r="AU72" s="561">
        <f t="shared" si="297"/>
        <v>1.3202692213785701</v>
      </c>
      <c r="AV72" s="561">
        <f t="shared" si="297"/>
        <v>1.2278129659286319</v>
      </c>
      <c r="AW72" s="561">
        <f t="shared" si="297"/>
        <v>1.1124510798719405</v>
      </c>
      <c r="AX72" s="561">
        <f t="shared" si="297"/>
        <v>0.98164832084662468</v>
      </c>
      <c r="AY72" s="561">
        <f t="shared" si="297"/>
        <v>0.85249654923568652</v>
      </c>
      <c r="AZ72" s="561">
        <f t="shared" si="297"/>
        <v>0.72447574822685157</v>
      </c>
      <c r="BA72" s="561">
        <f t="shared" si="297"/>
        <v>0.59471914049448571</v>
      </c>
      <c r="BB72" s="561">
        <f t="shared" si="297"/>
        <v>0.46186897492892914</v>
      </c>
    </row>
    <row r="73" spans="1:54" x14ac:dyDescent="0.25">
      <c r="A73" t="s">
        <v>79</v>
      </c>
      <c r="B73" s="68" t="e">
        <f t="shared" ref="B73:AB73" si="298">+B67/B59</f>
        <v>#DIV/0!</v>
      </c>
      <c r="C73" s="68" t="e">
        <f t="shared" si="298"/>
        <v>#DIV/0!</v>
      </c>
      <c r="D73" s="68" t="e">
        <f t="shared" si="298"/>
        <v>#DIV/0!</v>
      </c>
      <c r="E73" s="68" t="e">
        <f t="shared" si="298"/>
        <v>#DIV/0!</v>
      </c>
      <c r="F73" s="68" t="e">
        <f t="shared" si="298"/>
        <v>#DIV/0!</v>
      </c>
      <c r="G73" s="68" t="e">
        <f t="shared" si="298"/>
        <v>#DIV/0!</v>
      </c>
      <c r="H73" s="68" t="e">
        <f t="shared" si="298"/>
        <v>#DIV/0!</v>
      </c>
      <c r="I73" s="68" t="e">
        <f t="shared" si="298"/>
        <v>#DIV/0!</v>
      </c>
      <c r="J73" s="68">
        <f t="shared" si="298"/>
        <v>0.31642189586114822</v>
      </c>
      <c r="K73" s="68">
        <f t="shared" si="298"/>
        <v>0.27962085308056872</v>
      </c>
      <c r="L73" s="68">
        <f t="shared" si="298"/>
        <v>0.48870636550308011</v>
      </c>
      <c r="M73" s="68">
        <f t="shared" si="298"/>
        <v>0.37572254335260113</v>
      </c>
      <c r="N73" s="68">
        <f t="shared" si="298"/>
        <v>-8.1666666666666665E-2</v>
      </c>
      <c r="O73" s="68">
        <f t="shared" si="298"/>
        <v>0.18487394957983194</v>
      </c>
      <c r="P73" s="68">
        <f t="shared" si="298"/>
        <v>0.48027842227378192</v>
      </c>
      <c r="Q73" s="68">
        <f t="shared" si="298"/>
        <v>0.42065009560229444</v>
      </c>
      <c r="R73" s="68">
        <f t="shared" si="298"/>
        <v>0.56751467710371817</v>
      </c>
      <c r="S73" s="68">
        <f t="shared" si="298"/>
        <v>0.5895652173913043</v>
      </c>
      <c r="T73" s="68">
        <f t="shared" si="298"/>
        <v>0.56565656565656564</v>
      </c>
      <c r="U73" s="68">
        <f t="shared" si="298"/>
        <v>0.39869281045751637</v>
      </c>
      <c r="V73" s="548">
        <f t="shared" si="298"/>
        <v>0.57959814528593512</v>
      </c>
      <c r="W73" s="548">
        <f t="shared" si="298"/>
        <v>0.67103109656301141</v>
      </c>
      <c r="X73" s="548">
        <f t="shared" si="298"/>
        <v>0.55423280423280419</v>
      </c>
      <c r="Y73" s="548">
        <f t="shared" si="298"/>
        <v>0.60081190798376183</v>
      </c>
      <c r="Z73" s="495">
        <f t="shared" si="298"/>
        <v>0.46666666666666667</v>
      </c>
      <c r="AA73" s="495">
        <f t="shared" si="298"/>
        <v>0.49346016646848989</v>
      </c>
      <c r="AB73" s="495">
        <f t="shared" si="298"/>
        <v>0.47022587268993837</v>
      </c>
      <c r="AC73" s="495">
        <f t="shared" ref="AC73" si="299">+AC67/AC59</f>
        <v>0.55477031802120136</v>
      </c>
      <c r="AD73" s="69">
        <v>0.55000000000000004</v>
      </c>
      <c r="AE73" s="69">
        <v>0.55000000000000004</v>
      </c>
      <c r="AF73" s="69">
        <v>0.55000000000000004</v>
      </c>
      <c r="AG73" s="69">
        <v>0.55000000000000004</v>
      </c>
      <c r="AH73" s="423"/>
      <c r="AI73" s="69">
        <v>0.7</v>
      </c>
      <c r="AJ73" s="423"/>
      <c r="AL73" s="68"/>
      <c r="AM73" s="68" t="e">
        <f t="shared" ref="AM73:AS73" si="300">+AM67/AM59</f>
        <v>#DIV/0!</v>
      </c>
      <c r="AN73" s="68">
        <f t="shared" si="300"/>
        <v>0.3629787234042553</v>
      </c>
      <c r="AO73" s="68">
        <f t="shared" si="300"/>
        <v>0.23233908948194662</v>
      </c>
      <c r="AP73" s="68">
        <f t="shared" si="300"/>
        <v>0.51942740286298572</v>
      </c>
      <c r="AQ73" s="68">
        <f t="shared" si="300"/>
        <v>0.59861968761351259</v>
      </c>
      <c r="AR73" s="68">
        <f t="shared" si="300"/>
        <v>0.49506903353057197</v>
      </c>
      <c r="AS73" s="68">
        <f t="shared" si="300"/>
        <v>0.55000000000000004</v>
      </c>
      <c r="AT73" s="69">
        <f>+AS73</f>
        <v>0.55000000000000004</v>
      </c>
      <c r="AU73" s="69">
        <f t="shared" ref="AU73:BB73" si="301">+AT73</f>
        <v>0.55000000000000004</v>
      </c>
      <c r="AV73" s="69">
        <f t="shared" si="301"/>
        <v>0.55000000000000004</v>
      </c>
      <c r="AW73" s="69">
        <f t="shared" si="301"/>
        <v>0.55000000000000004</v>
      </c>
      <c r="AX73" s="69">
        <f t="shared" si="301"/>
        <v>0.55000000000000004</v>
      </c>
      <c r="AY73" s="69">
        <f t="shared" si="301"/>
        <v>0.55000000000000004</v>
      </c>
      <c r="AZ73" s="69">
        <f t="shared" si="301"/>
        <v>0.55000000000000004</v>
      </c>
      <c r="BA73" s="69">
        <f t="shared" si="301"/>
        <v>0.55000000000000004</v>
      </c>
      <c r="BB73" s="69">
        <f t="shared" si="301"/>
        <v>0.55000000000000004</v>
      </c>
    </row>
    <row r="74" spans="1:54" x14ac:dyDescent="0.25">
      <c r="B74" s="41"/>
      <c r="C74" s="41"/>
      <c r="D74" s="41"/>
      <c r="E74" s="41"/>
      <c r="F74" s="41"/>
      <c r="G74" s="41"/>
      <c r="H74" s="41"/>
      <c r="I74" s="41"/>
      <c r="J74" s="68"/>
      <c r="K74" s="68"/>
      <c r="L74" s="68"/>
      <c r="M74" s="68"/>
      <c r="N74" s="68"/>
      <c r="O74" s="68"/>
      <c r="P74" s="68"/>
      <c r="Q74" s="68"/>
      <c r="R74" s="68"/>
      <c r="S74" s="68"/>
      <c r="T74" s="68"/>
      <c r="U74" s="68"/>
      <c r="V74" s="68"/>
      <c r="W74" s="68"/>
      <c r="X74" s="68"/>
      <c r="Y74" s="548">
        <f t="shared" ref="Y74:AC74" si="302">+Y67/Y49</f>
        <v>0.60081190798376183</v>
      </c>
      <c r="Z74" s="548">
        <f t="shared" si="302"/>
        <v>0.46666666666666667</v>
      </c>
      <c r="AA74" s="548">
        <f t="shared" si="302"/>
        <v>0.49346016646848989</v>
      </c>
      <c r="AB74" s="548">
        <f t="shared" si="302"/>
        <v>0.47022587268993837</v>
      </c>
      <c r="AC74" s="548">
        <f>+AC67/AC49</f>
        <v>0.55477031802120136</v>
      </c>
      <c r="AD74" s="69"/>
      <c r="AE74" s="69"/>
      <c r="AF74" s="69"/>
      <c r="AG74" s="69"/>
      <c r="AH74" s="423"/>
      <c r="AI74" s="69"/>
      <c r="AJ74" s="423"/>
      <c r="AL74" s="68"/>
      <c r="AM74" s="68"/>
      <c r="AN74" s="68"/>
      <c r="AO74" s="68"/>
      <c r="AP74" s="68"/>
      <c r="AQ74" s="68"/>
      <c r="AR74" s="68"/>
      <c r="AS74" s="68"/>
      <c r="AT74" s="69"/>
      <c r="AU74" s="69"/>
      <c r="AV74" s="69"/>
      <c r="AW74" s="69"/>
      <c r="AX74" s="69"/>
      <c r="AY74" s="69"/>
      <c r="AZ74" s="69"/>
      <c r="BA74" s="69"/>
      <c r="BB74" s="69"/>
    </row>
    <row r="76" spans="1:54" x14ac:dyDescent="0.25">
      <c r="B76" s="41"/>
      <c r="C76" s="41"/>
      <c r="D76" s="41"/>
      <c r="E76" s="41"/>
      <c r="F76" s="41"/>
      <c r="G76" s="41"/>
      <c r="H76" s="41"/>
      <c r="I76" s="41"/>
      <c r="J76" s="68"/>
      <c r="K76" s="68"/>
      <c r="L76" s="68"/>
      <c r="M76" s="68"/>
      <c r="N76" s="68"/>
      <c r="O76" s="68"/>
      <c r="P76" s="68"/>
      <c r="Q76" s="68"/>
      <c r="R76" s="68"/>
      <c r="S76" s="68"/>
      <c r="T76" s="68"/>
      <c r="U76" s="68"/>
      <c r="V76" s="548"/>
      <c r="W76" s="548"/>
      <c r="X76" s="548"/>
      <c r="Y76" s="548"/>
      <c r="Z76" s="548"/>
      <c r="AA76" s="548"/>
      <c r="AB76" s="548"/>
      <c r="AC76" s="548"/>
      <c r="AD76" s="69"/>
      <c r="AE76" s="69"/>
      <c r="AF76" s="69"/>
      <c r="AG76" s="69"/>
      <c r="AH76" s="423"/>
      <c r="AI76" s="69"/>
      <c r="AJ76" s="423"/>
      <c r="AL76" s="68"/>
      <c r="AM76" s="68"/>
      <c r="AN76" s="68"/>
      <c r="AO76" s="68"/>
      <c r="AP76" s="68"/>
      <c r="AQ76" s="68"/>
      <c r="AR76" s="68"/>
      <c r="AS76" s="68"/>
      <c r="AT76" s="69"/>
      <c r="AU76" s="69"/>
      <c r="AV76" s="69"/>
      <c r="AW76" s="69"/>
      <c r="AX76" s="69"/>
      <c r="AY76" s="69"/>
      <c r="AZ76" s="69"/>
      <c r="BA76" s="69"/>
      <c r="BB76" s="69"/>
    </row>
    <row r="77" spans="1:54" x14ac:dyDescent="0.25">
      <c r="A77" t="s">
        <v>80</v>
      </c>
      <c r="B77" s="41"/>
      <c r="C77" s="41"/>
      <c r="D77" s="41"/>
      <c r="E77" s="41"/>
      <c r="F77" s="41"/>
      <c r="G77" s="41"/>
      <c r="H77" s="41"/>
      <c r="I77" s="41"/>
      <c r="J77" s="73">
        <f t="shared" ref="J77:AB77" si="303">+J54/J68</f>
        <v>1.0888888888888888</v>
      </c>
      <c r="K77" s="73">
        <f t="shared" si="303"/>
        <v>0.93145161290322576</v>
      </c>
      <c r="L77" s="73">
        <f t="shared" si="303"/>
        <v>1.1619718309859155</v>
      </c>
      <c r="M77" s="73">
        <f t="shared" si="303"/>
        <v>1.1860465116279071</v>
      </c>
      <c r="N77" s="73">
        <f t="shared" si="303"/>
        <v>-0.49816849816849818</v>
      </c>
      <c r="O77" s="73">
        <f t="shared" si="303"/>
        <v>1.0702341137123745</v>
      </c>
      <c r="P77" s="73">
        <f t="shared" si="303"/>
        <v>1.0914634146341464</v>
      </c>
      <c r="Q77" s="73">
        <f t="shared" si="303"/>
        <v>8.1538461538461533</v>
      </c>
      <c r="R77" s="73">
        <f t="shared" si="303"/>
        <v>2</v>
      </c>
      <c r="S77" s="73">
        <f t="shared" si="303"/>
        <v>1.1202185792349726</v>
      </c>
      <c r="T77" s="73">
        <f t="shared" si="303"/>
        <v>1.1277533039647578</v>
      </c>
      <c r="U77" s="73">
        <f t="shared" si="303"/>
        <v>1.0798898071625345</v>
      </c>
      <c r="V77" s="73">
        <f t="shared" si="303"/>
        <v>1.0574712643678161</v>
      </c>
      <c r="W77" s="73">
        <f t="shared" si="303"/>
        <v>1.0996978851963746</v>
      </c>
      <c r="X77" s="73">
        <f t="shared" si="303"/>
        <v>1.0516853932584269</v>
      </c>
      <c r="Y77" s="73">
        <f t="shared" si="303"/>
        <v>0.95572916666666663</v>
      </c>
      <c r="Z77" s="73">
        <f t="shared" si="303"/>
        <v>1.1641337386018238</v>
      </c>
      <c r="AA77" s="73">
        <f t="shared" si="303"/>
        <v>1.0813008130081301</v>
      </c>
      <c r="AB77" s="73">
        <f t="shared" si="303"/>
        <v>1.0320855614973261</v>
      </c>
      <c r="AC77" s="73">
        <f t="shared" ref="AC77" si="304">+AC54/AC68</f>
        <v>1.0315068493150685</v>
      </c>
      <c r="AD77" s="69">
        <v>1.05</v>
      </c>
      <c r="AE77" s="69">
        <v>1.05</v>
      </c>
      <c r="AF77" s="69">
        <v>1.05</v>
      </c>
      <c r="AG77" s="69">
        <v>1.05</v>
      </c>
      <c r="AH77" s="423"/>
      <c r="AI77" s="69">
        <v>1.05</v>
      </c>
      <c r="AJ77" s="423"/>
      <c r="AL77" s="73"/>
      <c r="AM77" s="73">
        <f t="shared" ref="AM77:AS77" si="305">+AM54/AM68</f>
        <v>0</v>
      </c>
      <c r="AN77" s="73">
        <f t="shared" si="305"/>
        <v>1.0705521472392638</v>
      </c>
      <c r="AO77" s="73">
        <f t="shared" si="305"/>
        <v>3.9212962962962963</v>
      </c>
      <c r="AP77" s="73">
        <f t="shared" si="305"/>
        <v>1.2291434927697442</v>
      </c>
      <c r="AQ77" s="73">
        <f t="shared" si="305"/>
        <v>1.0380014074595356</v>
      </c>
      <c r="AR77" s="73">
        <f t="shared" si="305"/>
        <v>1.064919594997022</v>
      </c>
      <c r="AS77" s="73">
        <f t="shared" si="305"/>
        <v>1.0499999999999998</v>
      </c>
      <c r="AT77" s="69">
        <v>1.05</v>
      </c>
      <c r="AU77" s="69">
        <v>1.05</v>
      </c>
      <c r="AV77" s="69">
        <v>1.05</v>
      </c>
      <c r="AW77" s="69">
        <v>1.05</v>
      </c>
      <c r="AX77" s="69">
        <v>1.05</v>
      </c>
      <c r="AY77" s="69">
        <v>1.05</v>
      </c>
      <c r="AZ77" s="69">
        <v>1.05</v>
      </c>
      <c r="BA77" s="69">
        <v>1.05</v>
      </c>
      <c r="BB77" s="69">
        <v>1.05</v>
      </c>
    </row>
    <row r="78" spans="1:54" ht="15.75" thickBot="1" x14ac:dyDescent="0.3">
      <c r="B78" s="41"/>
      <c r="C78" s="41"/>
      <c r="D78" s="41"/>
      <c r="E78" s="41"/>
      <c r="F78" s="41"/>
      <c r="G78" s="41"/>
      <c r="H78" s="41"/>
      <c r="I78" s="41"/>
      <c r="J78" s="73"/>
      <c r="K78" s="73"/>
      <c r="L78" s="73"/>
      <c r="M78" s="73"/>
      <c r="N78" s="73"/>
      <c r="O78" s="73"/>
      <c r="P78" s="73"/>
      <c r="Q78" s="73"/>
      <c r="R78" s="73"/>
      <c r="S78" s="73"/>
      <c r="T78" s="73"/>
      <c r="U78" s="73"/>
      <c r="V78" s="73"/>
      <c r="W78" s="73"/>
      <c r="X78" s="73"/>
      <c r="Y78" s="73"/>
      <c r="Z78" s="73"/>
      <c r="AA78" s="73"/>
      <c r="AB78" s="73"/>
      <c r="AC78" s="73"/>
      <c r="AD78" s="69"/>
      <c r="AE78" s="69"/>
      <c r="AF78" s="69"/>
      <c r="AG78" s="69"/>
      <c r="AH78" s="423"/>
      <c r="AI78" s="69"/>
      <c r="AJ78" s="423"/>
      <c r="AL78" s="73"/>
      <c r="AM78" s="73"/>
      <c r="AN78" s="73"/>
      <c r="AO78" s="73"/>
      <c r="AP78" s="73"/>
      <c r="AQ78" s="73"/>
      <c r="AR78" s="73">
        <f>+AR79/AQ79-1</f>
        <v>8.8056144067796271E-3</v>
      </c>
      <c r="AS78" s="73"/>
      <c r="AT78" s="69"/>
      <c r="AU78" s="69"/>
      <c r="AV78" s="69"/>
      <c r="AW78" s="69"/>
      <c r="AX78" s="69"/>
      <c r="AY78" s="69"/>
      <c r="AZ78" s="69"/>
      <c r="BA78" s="69"/>
      <c r="BB78" s="69"/>
    </row>
    <row r="79" spans="1:54" s="77" customFormat="1" ht="15.75" thickTop="1" x14ac:dyDescent="0.25">
      <c r="A79" s="11" t="s">
        <v>81</v>
      </c>
      <c r="B79" s="75">
        <v>4106</v>
      </c>
      <c r="C79" s="75">
        <v>4298</v>
      </c>
      <c r="D79" s="75">
        <v>4337</v>
      </c>
      <c r="E79" s="75">
        <v>4286</v>
      </c>
      <c r="F79" s="75">
        <v>4207</v>
      </c>
      <c r="G79" s="75">
        <v>3924</v>
      </c>
      <c r="H79" s="75">
        <v>3608</v>
      </c>
      <c r="I79" s="75">
        <v>3512</v>
      </c>
      <c r="J79" s="75">
        <v>3235</v>
      </c>
      <c r="K79" s="75">
        <v>3135</v>
      </c>
      <c r="L79" s="75">
        <v>3414</v>
      </c>
      <c r="M79" s="75">
        <v>3778</v>
      </c>
      <c r="N79" s="75">
        <v>4059</v>
      </c>
      <c r="O79" s="75">
        <v>4660</v>
      </c>
      <c r="P79" s="75">
        <v>5428</v>
      </c>
      <c r="Q79" s="75">
        <v>6869</v>
      </c>
      <c r="R79" s="75">
        <v>6530</v>
      </c>
      <c r="S79" s="75">
        <v>7094</v>
      </c>
      <c r="T79" s="75">
        <v>7630</v>
      </c>
      <c r="U79" s="75">
        <v>7481</v>
      </c>
      <c r="V79" s="75">
        <v>7212</v>
      </c>
      <c r="W79" s="75">
        <v>7362</v>
      </c>
      <c r="X79" s="75">
        <v>7702</v>
      </c>
      <c r="Y79" s="75">
        <v>7932</v>
      </c>
      <c r="Z79" s="75">
        <v>7634</v>
      </c>
      <c r="AA79" s="75">
        <v>7742</v>
      </c>
      <c r="AB79" s="75">
        <v>7533</v>
      </c>
      <c r="AC79" s="75">
        <v>7565</v>
      </c>
      <c r="AD79" s="76">
        <f>+AD80*AVERAGE(AC5:AD5)/4</f>
        <v>7636.3679365257176</v>
      </c>
      <c r="AE79" s="76">
        <f>+AE80*AVERAGE(AD5:AE5)/4</f>
        <v>7650.2514638200864</v>
      </c>
      <c r="AF79" s="76">
        <f>+AF80*AVERAGE(AE5:AF5)/4</f>
        <v>7820.7848493030215</v>
      </c>
      <c r="AG79" s="76">
        <f>+AG80*AVERAGE(AF5:AG5)/4</f>
        <v>7930.9865061065275</v>
      </c>
      <c r="AH79" s="425"/>
      <c r="AI79" s="76">
        <v>7393.1668229785719</v>
      </c>
      <c r="AJ79" s="486">
        <f>+AB79/AI79-1</f>
        <v>1.8913840356856948E-2</v>
      </c>
      <c r="AL79" s="75"/>
      <c r="AM79" s="75">
        <f>+SUMIFS($B79:AG79,$B$4:AG$4,"&lt;="&amp;AM$3,$B$4:AG$4,"&gt;"&amp;AL$3)</f>
        <v>15251</v>
      </c>
      <c r="AN79" s="75">
        <f>+SUMIFS($B79:AG79,$B$4:AG$4,"&lt;="&amp;AN$3,$B$4:AG$4,"&gt;"&amp;AM$3)</f>
        <v>13562</v>
      </c>
      <c r="AO79" s="75">
        <f>+SUMIFS($B79:AG79,$B$4:AG$4,"&lt;="&amp;AO$3,$B$4:AG$4,"&gt;"&amp;AN$3)</f>
        <v>21016</v>
      </c>
      <c r="AP79" s="75">
        <f>+SUMIFS($B79:AG79,$B$4:AG$4,"&lt;="&amp;AP$3,$B$4:AG$4,"&gt;"&amp;AO$3)</f>
        <v>28735</v>
      </c>
      <c r="AQ79" s="75">
        <f>+SUMIFS($B79:AG79,$B$4:AG$4,"&lt;="&amp;AQ$3,$B$4:AG$4,"&gt;"&amp;AP$3)</f>
        <v>30208</v>
      </c>
      <c r="AR79" s="75">
        <f>+SUMIFS($B79:AG79,$B$4:AG$4,"&lt;="&amp;AR$3,$B$4:AG$4,"&gt;"&amp;AQ$3)</f>
        <v>30474</v>
      </c>
      <c r="AS79" s="75">
        <f>+SUMIFS($B79:$AG79,$B$4:$AG$4,"&lt;="&amp;AS$3,$B$4:$AG$4,"&gt;"&amp;AR$3)</f>
        <v>31038.390755755354</v>
      </c>
      <c r="AT79" s="76">
        <f t="shared" ref="AT79:BB79" si="306">+AT80*AVERAGE(AS5:AT5)</f>
        <v>33186.519050750918</v>
      </c>
      <c r="AU79" s="76">
        <f t="shared" si="306"/>
        <v>35788.768837828677</v>
      </c>
      <c r="AV79" s="76">
        <f t="shared" si="306"/>
        <v>38065.696525444509</v>
      </c>
      <c r="AW79" s="76">
        <f t="shared" si="306"/>
        <v>40497.838280387732</v>
      </c>
      <c r="AX79" s="76">
        <f t="shared" si="306"/>
        <v>43107.575940510869</v>
      </c>
      <c r="AY79" s="76">
        <f t="shared" si="306"/>
        <v>45602.964831663361</v>
      </c>
      <c r="AZ79" s="76">
        <f t="shared" si="306"/>
        <v>47957.34369781235</v>
      </c>
      <c r="BA79" s="76">
        <f t="shared" si="306"/>
        <v>50450.733227159551</v>
      </c>
      <c r="BB79" s="76">
        <f t="shared" si="306"/>
        <v>53093.37740323547</v>
      </c>
    </row>
    <row r="80" spans="1:54" x14ac:dyDescent="0.25">
      <c r="A80" t="s">
        <v>82</v>
      </c>
      <c r="B80" s="78"/>
      <c r="C80" s="79">
        <f t="shared" ref="C80:AC80" si="307">+C79/AVERAGE(B5:C5)*4</f>
        <v>0.16785292365972487</v>
      </c>
      <c r="D80" s="79">
        <f t="shared" si="307"/>
        <v>0.16484618125668132</v>
      </c>
      <c r="E80" s="79">
        <f t="shared" si="307"/>
        <v>0.16191303690831477</v>
      </c>
      <c r="F80" s="79">
        <f t="shared" si="307"/>
        <v>0.1551790119187588</v>
      </c>
      <c r="G80" s="79">
        <f t="shared" si="307"/>
        <v>0.14237509524327854</v>
      </c>
      <c r="H80" s="79">
        <f t="shared" si="307"/>
        <v>0.1321490705979306</v>
      </c>
      <c r="I80" s="79">
        <f t="shared" si="307"/>
        <v>0.12945973966132934</v>
      </c>
      <c r="J80" s="79">
        <f t="shared" si="307"/>
        <v>0.11861167509200654</v>
      </c>
      <c r="K80" s="79">
        <f t="shared" si="307"/>
        <v>0.11286417597451105</v>
      </c>
      <c r="L80" s="79">
        <f t="shared" si="307"/>
        <v>0.12154440429357211</v>
      </c>
      <c r="M80" s="79">
        <f t="shared" si="307"/>
        <v>0.13260909625391587</v>
      </c>
      <c r="N80" s="79">
        <f t="shared" si="307"/>
        <v>0.1389331005801715</v>
      </c>
      <c r="O80" s="79">
        <f t="shared" si="307"/>
        <v>0.15562058299277418</v>
      </c>
      <c r="P80" s="79">
        <f t="shared" si="307"/>
        <v>0.17760254559286057</v>
      </c>
      <c r="Q80" s="79">
        <f t="shared" si="307"/>
        <v>0.21336936601124468</v>
      </c>
      <c r="R80" s="79">
        <f t="shared" si="307"/>
        <v>0.19042203413307671</v>
      </c>
      <c r="S80" s="79">
        <f t="shared" si="307"/>
        <v>0.19988377212291977</v>
      </c>
      <c r="T80" s="79">
        <f t="shared" si="307"/>
        <v>0.20885870216078425</v>
      </c>
      <c r="U80" s="79">
        <f t="shared" si="307"/>
        <v>0.19899915210560443</v>
      </c>
      <c r="V80" s="79">
        <f t="shared" si="307"/>
        <v>0.18635658914728681</v>
      </c>
      <c r="W80" s="79">
        <f t="shared" si="307"/>
        <v>0.18379326378465083</v>
      </c>
      <c r="X80" s="79">
        <f t="shared" si="307"/>
        <v>0.18613362494751245</v>
      </c>
      <c r="Y80" s="79">
        <f t="shared" si="307"/>
        <v>0.18547444231398774</v>
      </c>
      <c r="Z80" s="79">
        <f t="shared" si="307"/>
        <v>0.17349999999999999</v>
      </c>
      <c r="AA80" s="79">
        <f t="shared" si="307"/>
        <v>0.17282551977967089</v>
      </c>
      <c r="AB80" s="79">
        <f t="shared" si="307"/>
        <v>0.16496809532803916</v>
      </c>
      <c r="AC80" s="79">
        <f t="shared" si="307"/>
        <v>0.16238392045012437</v>
      </c>
      <c r="AD80" s="80">
        <f t="shared" ref="AD80:AF80" si="308">+AD82+AVERAGE(AC81:AD81)</f>
        <v>0.16138392045012437</v>
      </c>
      <c r="AE80" s="80">
        <f t="shared" si="308"/>
        <v>0.15938392045012437</v>
      </c>
      <c r="AF80" s="80">
        <f t="shared" si="308"/>
        <v>0.15813392045012437</v>
      </c>
      <c r="AG80" s="80">
        <f>+AG82+AVERAGE(AF81:AG81)</f>
        <v>0.15663392045012436</v>
      </c>
      <c r="AH80" s="426"/>
      <c r="AI80" s="80">
        <v>0.158</v>
      </c>
      <c r="AJ80" s="486">
        <f>+AB80-AI80</f>
        <v>6.9680953280391589E-3</v>
      </c>
      <c r="AL80" s="79"/>
      <c r="AM80" s="79">
        <f t="shared" ref="AM80:AS80" si="309">+AM79/AVERAGE(AL5:AM5)</f>
        <v>0.14269140445916487</v>
      </c>
      <c r="AN80" s="79">
        <f t="shared" si="309"/>
        <v>0.12152166413533869</v>
      </c>
      <c r="AO80" s="79">
        <f t="shared" si="309"/>
        <v>0.16859196508792196</v>
      </c>
      <c r="AP80" s="79">
        <f t="shared" si="309"/>
        <v>0.20075803888005869</v>
      </c>
      <c r="AQ80" s="79">
        <f t="shared" si="309"/>
        <v>0.18516271001514009</v>
      </c>
      <c r="AR80" s="79">
        <f t="shared" si="309"/>
        <v>0.16836789661678542</v>
      </c>
      <c r="AS80" s="79">
        <f t="shared" si="309"/>
        <v>0.15891842666484285</v>
      </c>
      <c r="AT80" s="80">
        <f>+AT81+AT82</f>
        <v>0.15629342666484286</v>
      </c>
      <c r="AU80" s="80">
        <f t="shared" ref="AU80:BB80" si="310">+AU81+AU82</f>
        <v>0.15629342666484286</v>
      </c>
      <c r="AV80" s="80">
        <f t="shared" si="310"/>
        <v>0.15629342666484286</v>
      </c>
      <c r="AW80" s="80">
        <f t="shared" si="310"/>
        <v>0.15629342666484286</v>
      </c>
      <c r="AX80" s="80">
        <f t="shared" si="310"/>
        <v>0.15629342666484286</v>
      </c>
      <c r="AY80" s="80">
        <f t="shared" si="310"/>
        <v>0.15629342666484286</v>
      </c>
      <c r="AZ80" s="80">
        <f t="shared" si="310"/>
        <v>0.15629342666484286</v>
      </c>
      <c r="BA80" s="80">
        <f t="shared" si="310"/>
        <v>0.15629342666484286</v>
      </c>
      <c r="BB80" s="80">
        <f t="shared" si="310"/>
        <v>0.15629342666484286</v>
      </c>
    </row>
    <row r="81" spans="1:54" s="363" customFormat="1" x14ac:dyDescent="0.25">
      <c r="A81" s="361" t="s">
        <v>83</v>
      </c>
      <c r="B81" s="362"/>
      <c r="C81" s="123">
        <f t="shared" ref="C81:AG81" si="311">+C2</f>
        <v>8.488699999999999E-2</v>
      </c>
      <c r="D81" s="123">
        <f t="shared" si="311"/>
        <v>8.0274999999999999E-2</v>
      </c>
      <c r="E81" s="123" t="e">
        <f t="shared" si="311"/>
        <v>#VALUE!</v>
      </c>
      <c r="F81" s="123" t="e">
        <f t="shared" si="311"/>
        <v>#VALUE!</v>
      </c>
      <c r="G81" s="123">
        <f t="shared" si="311"/>
        <v>5.2843000000000001E-2</v>
      </c>
      <c r="H81" s="123">
        <f t="shared" si="311"/>
        <v>4.7500000000000001E-2</v>
      </c>
      <c r="I81" s="123">
        <f t="shared" si="311"/>
        <v>4.2500000000000003E-2</v>
      </c>
      <c r="J81" s="123">
        <f t="shared" si="311"/>
        <v>4.2875000000000003E-2</v>
      </c>
      <c r="K81" s="123">
        <f t="shared" si="311"/>
        <v>4.53E-2</v>
      </c>
      <c r="L81" s="123">
        <f t="shared" si="311"/>
        <v>4.7500000000000001E-2</v>
      </c>
      <c r="M81" s="123">
        <f t="shared" si="311"/>
        <v>5.7099999999999998E-2</v>
      </c>
      <c r="N81" s="123">
        <f t="shared" si="311"/>
        <v>6.7199999999999996E-2</v>
      </c>
      <c r="O81" s="123">
        <f t="shared" si="311"/>
        <v>8.0299999999999996E-2</v>
      </c>
      <c r="P81" s="123">
        <f t="shared" si="311"/>
        <v>9.5000000000000001E-2</v>
      </c>
      <c r="Q81" s="123">
        <f t="shared" si="311"/>
        <v>0.105</v>
      </c>
      <c r="R81" s="123">
        <f t="shared" si="311"/>
        <v>0.115</v>
      </c>
      <c r="S81" s="123">
        <f t="shared" si="311"/>
        <v>0.115</v>
      </c>
      <c r="T81" s="123">
        <f t="shared" si="311"/>
        <v>0.11502800000000001</v>
      </c>
      <c r="U81" s="123">
        <f t="shared" si="311"/>
        <v>0.11502499999999999</v>
      </c>
      <c r="V81" s="123">
        <f t="shared" si="311"/>
        <v>0.112485</v>
      </c>
      <c r="W81" s="123">
        <f t="shared" si="311"/>
        <v>0.112445</v>
      </c>
      <c r="X81" s="123">
        <f t="shared" si="311"/>
        <v>0.1074</v>
      </c>
      <c r="Y81" s="123">
        <f t="shared" si="311"/>
        <v>0.10244999999999999</v>
      </c>
      <c r="Z81" s="123">
        <f t="shared" si="311"/>
        <v>9.2704000000000009E-2</v>
      </c>
      <c r="AA81" s="123">
        <f t="shared" si="311"/>
        <v>9.2704000000000009E-2</v>
      </c>
      <c r="AB81" s="123">
        <f t="shared" si="311"/>
        <v>7.7499999999999999E-2</v>
      </c>
      <c r="AC81" s="123">
        <f t="shared" ref="AC81" si="312">+AC2</f>
        <v>7.4999999999999997E-2</v>
      </c>
      <c r="AD81" s="123">
        <f t="shared" si="311"/>
        <v>7.2999999999999995E-2</v>
      </c>
      <c r="AE81" s="123">
        <f t="shared" si="311"/>
        <v>7.0999999999999994E-2</v>
      </c>
      <c r="AF81" s="123">
        <f t="shared" si="311"/>
        <v>7.0499999999999993E-2</v>
      </c>
      <c r="AG81" s="123">
        <f t="shared" si="311"/>
        <v>6.8000000000000005E-2</v>
      </c>
      <c r="AH81" s="427"/>
      <c r="AI81" s="123">
        <v>7.4999999999999997E-2</v>
      </c>
      <c r="AJ81" s="427"/>
      <c r="AL81" s="123"/>
      <c r="AM81" s="364" t="e">
        <f>+AVERAGEIFS($B81:AG81,$B$4:AG$4,"&lt;="&amp;AM$3,$B$4:AG$4,"&gt;"&amp;AL$3)</f>
        <v>#VALUE!</v>
      </c>
      <c r="AN81" s="364">
        <f>+AVERAGEIFS($B81:AG81,$B$4:AG$4,"&lt;="&amp;AN$3,$B$4:AG$4,"&gt;"&amp;AM$3)</f>
        <v>4.8193749999999994E-2</v>
      </c>
      <c r="AO81" s="364">
        <f>+AVERAGEIFS($B81:AG81,$B$4:AG$4,"&lt;="&amp;AO$3,$B$4:AG$4,"&gt;"&amp;AN$3)</f>
        <v>8.6874999999999994E-2</v>
      </c>
      <c r="AP81" s="364">
        <f>+AVERAGEIFS($B81:AG81,$B$4:AG$4,"&lt;="&amp;AP$3,$B$4:AG$4,"&gt;"&amp;AO$3)</f>
        <v>0.11501325</v>
      </c>
      <c r="AQ81" s="364">
        <f>+AVERAGEIFS($B81:AG81,$B$4:AG$4,"&lt;="&amp;AQ$3,$B$4:AG$4,"&gt;"&amp;AP$3)</f>
        <v>0.108695</v>
      </c>
      <c r="AR81" s="364">
        <f>+AVERAGEIFS($B81:AG81,$B$4:AG$4,"&lt;="&amp;AR$3,$B$4:AG$4,"&gt;"&amp;AQ$3)</f>
        <v>8.447700000000001E-2</v>
      </c>
      <c r="AS81" s="364">
        <f>+AVERAGEIFS($B81:$AG81,$B$4:$AG$4,"&lt;="&amp;AS$3,$B$4:$AG$4,"&gt;"&amp;AR$3)</f>
        <v>7.0624999999999993E-2</v>
      </c>
      <c r="AT81" s="122">
        <f t="shared" ref="AT81:BB81" si="313">+AT$2</f>
        <v>6.8000000000000005E-2</v>
      </c>
      <c r="AU81" s="122">
        <f t="shared" si="313"/>
        <v>6.8000000000000005E-2</v>
      </c>
      <c r="AV81" s="122">
        <f t="shared" si="313"/>
        <v>6.8000000000000005E-2</v>
      </c>
      <c r="AW81" s="122">
        <f t="shared" si="313"/>
        <v>6.8000000000000005E-2</v>
      </c>
      <c r="AX81" s="122">
        <f t="shared" si="313"/>
        <v>6.8000000000000005E-2</v>
      </c>
      <c r="AY81" s="122">
        <f t="shared" si="313"/>
        <v>6.8000000000000005E-2</v>
      </c>
      <c r="AZ81" s="122">
        <f t="shared" si="313"/>
        <v>6.8000000000000005E-2</v>
      </c>
      <c r="BA81" s="122">
        <f t="shared" si="313"/>
        <v>6.8000000000000005E-2</v>
      </c>
      <c r="BB81" s="122">
        <f t="shared" si="313"/>
        <v>6.8000000000000005E-2</v>
      </c>
    </row>
    <row r="82" spans="1:54" x14ac:dyDescent="0.25">
      <c r="A82" t="s">
        <v>84</v>
      </c>
      <c r="B82" s="78"/>
      <c r="C82" s="79">
        <f t="shared" ref="C82:W82" si="314">+C80-C81</f>
        <v>8.2965923659724883E-2</v>
      </c>
      <c r="D82" s="79">
        <f t="shared" si="314"/>
        <v>8.4571181256681324E-2</v>
      </c>
      <c r="E82" s="79" t="e">
        <f t="shared" si="314"/>
        <v>#VALUE!</v>
      </c>
      <c r="F82" s="79" t="e">
        <f t="shared" si="314"/>
        <v>#VALUE!</v>
      </c>
      <c r="G82" s="79">
        <f t="shared" si="314"/>
        <v>8.9532095243278542E-2</v>
      </c>
      <c r="H82" s="79">
        <f t="shared" si="314"/>
        <v>8.4649070597930601E-2</v>
      </c>
      <c r="I82" s="79">
        <f t="shared" si="314"/>
        <v>8.6959739661329333E-2</v>
      </c>
      <c r="J82" s="79">
        <f t="shared" si="314"/>
        <v>7.5736675092006545E-2</v>
      </c>
      <c r="K82" s="79">
        <f t="shared" si="314"/>
        <v>6.7564175974511059E-2</v>
      </c>
      <c r="L82" s="79">
        <f t="shared" si="314"/>
        <v>7.4044404293572105E-2</v>
      </c>
      <c r="M82" s="79">
        <f t="shared" si="314"/>
        <v>7.5509096253915872E-2</v>
      </c>
      <c r="N82" s="79">
        <f t="shared" si="314"/>
        <v>7.1733100580171502E-2</v>
      </c>
      <c r="O82" s="79">
        <f t="shared" si="314"/>
        <v>7.5320582992774179E-2</v>
      </c>
      <c r="P82" s="79">
        <f t="shared" si="314"/>
        <v>8.2602545592860566E-2</v>
      </c>
      <c r="Q82" s="79">
        <f t="shared" si="314"/>
        <v>0.10836936601124468</v>
      </c>
      <c r="R82" s="79">
        <f t="shared" si="314"/>
        <v>7.5422034133076701E-2</v>
      </c>
      <c r="S82" s="79">
        <f t="shared" si="314"/>
        <v>8.4883772122919768E-2</v>
      </c>
      <c r="T82" s="79">
        <f t="shared" si="314"/>
        <v>9.3830702160784249E-2</v>
      </c>
      <c r="U82" s="79">
        <f t="shared" si="314"/>
        <v>8.3974152105604438E-2</v>
      </c>
      <c r="V82" s="79">
        <f t="shared" si="314"/>
        <v>7.3871589147286809E-2</v>
      </c>
      <c r="W82" s="79">
        <f t="shared" si="314"/>
        <v>7.1348263784650826E-2</v>
      </c>
      <c r="X82" s="79">
        <f>+X80-X81</f>
        <v>7.8733624947512459E-2</v>
      </c>
      <c r="Y82" s="79">
        <f>+Y80-Y81</f>
        <v>8.3024442313987756E-2</v>
      </c>
      <c r="Z82" s="79">
        <f>+Z80-Z81</f>
        <v>8.0795999999999979E-2</v>
      </c>
      <c r="AA82" s="79">
        <f>+AA80-AA81</f>
        <v>8.0121519779670886E-2</v>
      </c>
      <c r="AB82" s="79">
        <f>+AB80-AB81</f>
        <v>8.7468095328039161E-2</v>
      </c>
      <c r="AC82" s="79">
        <f>+AC80-AC81</f>
        <v>8.7383920450124372E-2</v>
      </c>
      <c r="AD82" s="81">
        <f>+AC82</f>
        <v>8.7383920450124372E-2</v>
      </c>
      <c r="AE82" s="81">
        <f t="shared" ref="AE82:AG82" si="315">+AD82</f>
        <v>8.7383920450124372E-2</v>
      </c>
      <c r="AF82" s="81">
        <f t="shared" si="315"/>
        <v>8.7383920450124372E-2</v>
      </c>
      <c r="AG82" s="81">
        <f t="shared" si="315"/>
        <v>8.7383920450124372E-2</v>
      </c>
      <c r="AH82" s="428"/>
      <c r="AI82" s="81">
        <v>8.3000000000000004E-2</v>
      </c>
      <c r="AJ82" s="486">
        <f>+AB82-AI82</f>
        <v>4.4680953280391567E-3</v>
      </c>
      <c r="AL82" s="79"/>
      <c r="AM82" s="79" t="e">
        <f t="shared" ref="AM82:AR82" si="316">+AM80-AM81</f>
        <v>#VALUE!</v>
      </c>
      <c r="AN82" s="79">
        <f t="shared" si="316"/>
        <v>7.3327914135338693E-2</v>
      </c>
      <c r="AO82" s="79">
        <f t="shared" si="316"/>
        <v>8.1716965087921964E-2</v>
      </c>
      <c r="AP82" s="79">
        <f t="shared" si="316"/>
        <v>8.5744788880058695E-2</v>
      </c>
      <c r="AQ82" s="79">
        <f t="shared" si="316"/>
        <v>7.6467710015140092E-2</v>
      </c>
      <c r="AR82" s="79">
        <f t="shared" si="316"/>
        <v>8.3890896616785407E-2</v>
      </c>
      <c r="AS82" s="79">
        <f>+AS80-AS81</f>
        <v>8.8293426664842856E-2</v>
      </c>
      <c r="AT82" s="81">
        <f>+AS82</f>
        <v>8.8293426664842856E-2</v>
      </c>
      <c r="AU82" s="81">
        <f t="shared" ref="AU82" si="317">+AT82+(AT81-AU81)*10</f>
        <v>8.8293426664842856E-2</v>
      </c>
      <c r="AV82" s="81">
        <f t="shared" ref="AV82" si="318">+AU82+(AU81-AV81)*10</f>
        <v>8.8293426664842856E-2</v>
      </c>
      <c r="AW82" s="81">
        <f t="shared" ref="AW82" si="319">+AV82+(AV81-AW81)*10</f>
        <v>8.8293426664842856E-2</v>
      </c>
      <c r="AX82" s="81">
        <f t="shared" ref="AX82" si="320">+AW82+(AW81-AX81)*10</f>
        <v>8.8293426664842856E-2</v>
      </c>
      <c r="AY82" s="81">
        <f t="shared" ref="AY82" si="321">+AX82+(AX81-AY81)*10</f>
        <v>8.8293426664842856E-2</v>
      </c>
      <c r="AZ82" s="81">
        <f t="shared" ref="AZ82" si="322">+AY82+(AY81-AZ81)*10</f>
        <v>8.8293426664842856E-2</v>
      </c>
      <c r="BA82" s="81">
        <f t="shared" ref="BA82" si="323">+AZ82+(AZ81-BA81)*10</f>
        <v>8.8293426664842856E-2</v>
      </c>
      <c r="BB82" s="81">
        <f t="shared" ref="BB82" si="324">+BA82+(BA81-BB81)*10</f>
        <v>8.8293426664842856E-2</v>
      </c>
    </row>
    <row r="83" spans="1:54" x14ac:dyDescent="0.25">
      <c r="B83" s="78"/>
      <c r="C83" s="79"/>
      <c r="D83" s="79"/>
      <c r="E83" s="79"/>
      <c r="F83" s="79"/>
      <c r="G83" s="79"/>
      <c r="H83" s="79"/>
      <c r="I83" s="79"/>
      <c r="J83" s="79"/>
      <c r="K83" s="79"/>
      <c r="L83" s="79"/>
      <c r="M83" s="79"/>
      <c r="N83" s="79"/>
      <c r="O83" s="79"/>
      <c r="P83" s="79"/>
      <c r="Q83" s="79"/>
      <c r="R83" s="79"/>
      <c r="S83" s="79"/>
      <c r="T83" s="79"/>
      <c r="U83" s="79"/>
      <c r="V83" s="79"/>
      <c r="W83" s="79"/>
      <c r="X83" s="79"/>
      <c r="Y83" s="79" t="s">
        <v>85</v>
      </c>
      <c r="Z83" s="79"/>
      <c r="AA83" s="79"/>
      <c r="AB83" s="79"/>
      <c r="AC83" s="79"/>
      <c r="AD83" s="81"/>
      <c r="AE83" s="81"/>
      <c r="AF83" s="81"/>
      <c r="AG83" s="81"/>
      <c r="AH83" s="428"/>
      <c r="AI83" s="81"/>
      <c r="AJ83" s="428"/>
      <c r="AL83" s="79"/>
      <c r="AM83" s="79"/>
      <c r="AN83" s="79"/>
      <c r="AO83" s="79"/>
      <c r="AP83" s="79"/>
      <c r="AQ83" s="79"/>
      <c r="AR83" s="79"/>
      <c r="AS83" s="79"/>
      <c r="AT83" s="81"/>
      <c r="AU83" s="81"/>
      <c r="AV83" s="81"/>
      <c r="AW83" s="81"/>
      <c r="AX83" s="81"/>
      <c r="AY83" s="81"/>
      <c r="AZ83" s="81"/>
      <c r="BA83" s="81"/>
      <c r="BB83" s="81"/>
    </row>
    <row r="84" spans="1:54" x14ac:dyDescent="0.25">
      <c r="A84" s="2" t="s">
        <v>86</v>
      </c>
      <c r="B84" s="78"/>
      <c r="C84" s="79"/>
      <c r="D84" s="79"/>
      <c r="E84" s="79"/>
      <c r="F84" s="79"/>
      <c r="G84" s="79"/>
      <c r="H84" s="79"/>
      <c r="I84" s="79"/>
      <c r="J84" s="79"/>
      <c r="K84" s="79"/>
      <c r="L84" s="79"/>
      <c r="M84" s="79"/>
      <c r="N84" s="79"/>
      <c r="O84" s="79"/>
      <c r="P84" s="79"/>
      <c r="Q84" s="79"/>
      <c r="R84" s="79"/>
      <c r="S84" s="79"/>
      <c r="T84" s="79"/>
      <c r="U84" s="79"/>
      <c r="V84" s="79"/>
      <c r="W84" s="79"/>
      <c r="X84" s="79"/>
      <c r="Y84" s="79">
        <f>+X81-Y81</f>
        <v>4.9500000000000099E-3</v>
      </c>
      <c r="Z84" s="79"/>
      <c r="AA84" s="79"/>
      <c r="AB84" s="79"/>
      <c r="AC84" s="79"/>
      <c r="AD84" s="81"/>
      <c r="AE84" s="81"/>
      <c r="AF84" s="81"/>
      <c r="AG84" s="81"/>
      <c r="AH84" s="428"/>
      <c r="AI84" s="81"/>
      <c r="AJ84" s="428"/>
      <c r="AL84" s="79"/>
      <c r="AM84" s="79"/>
      <c r="AN84" s="79"/>
      <c r="AO84" s="79">
        <f t="shared" ref="AO84:AT85" si="325">+AO80-AN80</f>
        <v>4.7070300952583272E-2</v>
      </c>
      <c r="AP84" s="79">
        <f t="shared" si="325"/>
        <v>3.2166073792136735E-2</v>
      </c>
      <c r="AQ84" s="79">
        <f t="shared" si="325"/>
        <v>-1.5595328864918601E-2</v>
      </c>
      <c r="AR84" s="79">
        <f t="shared" si="325"/>
        <v>-1.6794813398354674E-2</v>
      </c>
      <c r="AS84" s="79">
        <f t="shared" si="325"/>
        <v>-9.4494699519425684E-3</v>
      </c>
      <c r="AT84" s="79">
        <f t="shared" si="325"/>
        <v>-2.6249999999999885E-3</v>
      </c>
      <c r="AU84" s="81"/>
      <c r="AV84" s="81"/>
      <c r="AW84" s="81"/>
      <c r="AX84" s="81"/>
      <c r="AY84" s="81"/>
      <c r="AZ84" s="81"/>
      <c r="BA84" s="81"/>
      <c r="BB84" s="81"/>
    </row>
    <row r="85" spans="1:54" x14ac:dyDescent="0.25">
      <c r="A85" t="s">
        <v>53</v>
      </c>
      <c r="B85" s="78"/>
      <c r="C85" s="79"/>
      <c r="D85" s="79"/>
      <c r="E85" s="79"/>
      <c r="F85" s="79"/>
      <c r="G85" s="79"/>
      <c r="H85" s="79"/>
      <c r="I85" s="79"/>
      <c r="J85" s="79"/>
      <c r="K85" s="79"/>
      <c r="L85" s="79"/>
      <c r="M85" s="79"/>
      <c r="N85" s="79"/>
      <c r="O85" s="79"/>
      <c r="P85" s="79"/>
      <c r="Q85" s="79"/>
      <c r="R85" s="79"/>
      <c r="S85" s="79"/>
      <c r="T85" s="79"/>
      <c r="U85" s="79"/>
      <c r="V85" s="79"/>
      <c r="W85" s="79"/>
      <c r="X85" s="79"/>
      <c r="Y85" s="79">
        <f>+Y84*10</f>
        <v>4.9500000000000099E-2</v>
      </c>
      <c r="Z85" s="79"/>
      <c r="AA85" s="79"/>
      <c r="AB85" s="79"/>
      <c r="AC85" s="79"/>
      <c r="AD85" s="81"/>
      <c r="AE85" s="81"/>
      <c r="AF85" s="81"/>
      <c r="AG85" s="81"/>
      <c r="AH85" s="428"/>
      <c r="AI85" s="81"/>
      <c r="AJ85" s="428"/>
      <c r="AL85" s="79"/>
      <c r="AM85" s="79"/>
      <c r="AN85" s="79"/>
      <c r="AO85" s="79">
        <f t="shared" si="325"/>
        <v>3.868125E-2</v>
      </c>
      <c r="AP85" s="79">
        <f t="shared" si="325"/>
        <v>2.8138250000000004E-2</v>
      </c>
      <c r="AQ85" s="79">
        <f t="shared" si="325"/>
        <v>-6.3182499999999975E-3</v>
      </c>
      <c r="AR85" s="79">
        <f t="shared" si="325"/>
        <v>-2.421799999999999E-2</v>
      </c>
      <c r="AS85" s="79">
        <f t="shared" si="325"/>
        <v>-1.3852000000000017E-2</v>
      </c>
      <c r="AT85" s="79">
        <f t="shared" si="325"/>
        <v>-2.6249999999999885E-3</v>
      </c>
      <c r="AU85" s="81"/>
      <c r="AV85" s="81"/>
      <c r="AW85" s="81"/>
      <c r="AX85" s="81"/>
      <c r="AY85" s="81"/>
      <c r="AZ85" s="81"/>
      <c r="BA85" s="81"/>
      <c r="BB85" s="81"/>
    </row>
    <row r="86" spans="1:54" x14ac:dyDescent="0.25">
      <c r="A86" t="s">
        <v>54</v>
      </c>
      <c r="B86" s="78"/>
      <c r="C86" s="79"/>
      <c r="D86" s="79"/>
      <c r="E86" s="79"/>
      <c r="F86" s="79"/>
      <c r="G86" s="79"/>
      <c r="H86" s="79"/>
      <c r="I86" s="79"/>
      <c r="J86" s="79"/>
      <c r="K86" s="79"/>
      <c r="L86" s="79"/>
      <c r="M86" s="79"/>
      <c r="N86" s="79"/>
      <c r="O86" s="79"/>
      <c r="P86" s="79"/>
      <c r="Q86" s="79"/>
      <c r="R86" s="79"/>
      <c r="S86" s="79"/>
      <c r="T86" s="79"/>
      <c r="U86" s="79"/>
      <c r="V86" s="79"/>
      <c r="W86" s="79"/>
      <c r="X86" s="79"/>
      <c r="Y86" s="79"/>
      <c r="Z86" s="79"/>
      <c r="AA86" s="79"/>
      <c r="AB86" s="79"/>
      <c r="AC86" s="79"/>
      <c r="AD86" s="81"/>
      <c r="AE86" s="81"/>
      <c r="AF86" s="81"/>
      <c r="AG86" s="81"/>
      <c r="AH86" s="428"/>
      <c r="AI86" s="81"/>
      <c r="AJ86" s="428"/>
      <c r="AL86" s="79"/>
      <c r="AM86" s="79"/>
      <c r="AN86" s="79"/>
      <c r="AO86" s="79"/>
      <c r="AP86" s="79"/>
      <c r="AQ86" s="79"/>
      <c r="AR86" s="79"/>
      <c r="AS86" s="79"/>
      <c r="AT86" s="81"/>
      <c r="AU86" s="81"/>
      <c r="AV86" s="81"/>
      <c r="AW86" s="81"/>
      <c r="AX86" s="81"/>
      <c r="AY86" s="81"/>
      <c r="AZ86" s="81"/>
      <c r="BA86" s="81"/>
      <c r="BB86" s="81"/>
    </row>
    <row r="87" spans="1:54" x14ac:dyDescent="0.25">
      <c r="A87" s="2" t="s">
        <v>55</v>
      </c>
      <c r="B87" s="78"/>
      <c r="C87" s="79"/>
      <c r="D87" s="79"/>
      <c r="E87" s="79"/>
      <c r="F87" s="79"/>
      <c r="G87" s="79"/>
      <c r="H87" s="79"/>
      <c r="I87" s="79"/>
      <c r="J87" s="79"/>
      <c r="K87" s="79"/>
      <c r="L87" s="79"/>
      <c r="M87" s="79"/>
      <c r="N87" s="79"/>
      <c r="O87" s="79"/>
      <c r="P87" s="79"/>
      <c r="Q87" s="79"/>
      <c r="R87" s="79"/>
      <c r="S87" s="79"/>
      <c r="T87" s="79"/>
      <c r="U87" s="79"/>
      <c r="V87" s="79"/>
      <c r="W87" s="79"/>
      <c r="X87" s="79"/>
      <c r="Y87" s="79"/>
      <c r="Z87" s="79"/>
      <c r="AA87" s="79"/>
      <c r="AB87" s="79"/>
      <c r="AC87" s="79"/>
      <c r="AD87" s="81"/>
      <c r="AE87" s="81"/>
      <c r="AF87" s="81"/>
      <c r="AG87" s="81"/>
      <c r="AH87" s="428"/>
      <c r="AI87" s="81"/>
      <c r="AJ87" s="428"/>
      <c r="AL87" s="79"/>
      <c r="AM87" s="79"/>
      <c r="AN87" s="79"/>
      <c r="AO87" s="79"/>
      <c r="AP87" s="79"/>
      <c r="AQ87" s="79">
        <f>+AQ84/AQ85</f>
        <v>2.4682987955396838</v>
      </c>
      <c r="AR87" s="79">
        <f>+AR84/AR85</f>
        <v>0.69348473855622605</v>
      </c>
      <c r="AS87" s="79">
        <f>+AS84/AS85</f>
        <v>0.6821736898601326</v>
      </c>
      <c r="AT87" s="81"/>
      <c r="AU87" s="81"/>
      <c r="AV87" s="81"/>
      <c r="AW87" s="81"/>
      <c r="AX87" s="81"/>
      <c r="AY87" s="81"/>
      <c r="AZ87" s="81"/>
      <c r="BA87" s="81"/>
      <c r="BB87" s="81"/>
    </row>
    <row r="88" spans="1:54" x14ac:dyDescent="0.25">
      <c r="B88" s="78"/>
      <c r="C88" s="79"/>
      <c r="D88" s="79"/>
      <c r="E88" s="79"/>
      <c r="F88" s="79"/>
      <c r="G88" s="79"/>
      <c r="H88" s="79"/>
      <c r="I88" s="79"/>
      <c r="J88" s="79"/>
      <c r="K88" s="79"/>
      <c r="L88" s="79"/>
      <c r="M88" s="79"/>
      <c r="N88" s="79"/>
      <c r="O88" s="79"/>
      <c r="P88" s="79"/>
      <c r="Q88" s="79"/>
      <c r="R88" s="79"/>
      <c r="S88" s="79"/>
      <c r="T88" s="79"/>
      <c r="U88" s="79"/>
      <c r="V88" s="79"/>
      <c r="W88" s="79"/>
      <c r="X88" s="79"/>
      <c r="Y88" s="79"/>
      <c r="Z88" s="79"/>
      <c r="AA88" s="79"/>
      <c r="AB88" s="79"/>
      <c r="AC88" s="79"/>
      <c r="AD88" s="81"/>
      <c r="AE88" s="81"/>
      <c r="AF88" s="81"/>
      <c r="AG88" s="81"/>
      <c r="AH88" s="428"/>
      <c r="AI88" s="81"/>
      <c r="AJ88" s="428"/>
      <c r="AL88" s="79"/>
      <c r="AM88" s="79"/>
      <c r="AN88" s="79"/>
      <c r="AO88" s="79"/>
      <c r="AP88" s="79"/>
      <c r="AQ88" s="79"/>
      <c r="AR88" s="79"/>
      <c r="AS88" s="79"/>
      <c r="AT88" s="81"/>
      <c r="AU88" s="81"/>
      <c r="AV88" s="81"/>
      <c r="AW88" s="81"/>
      <c r="AX88" s="81"/>
      <c r="AY88" s="81"/>
      <c r="AZ88" s="81"/>
      <c r="BA88" s="81"/>
      <c r="BB88" s="81"/>
    </row>
    <row r="89" spans="1:54" x14ac:dyDescent="0.25">
      <c r="A89" t="s">
        <v>56</v>
      </c>
      <c r="B89" s="78"/>
      <c r="C89" s="79"/>
      <c r="D89" s="79"/>
      <c r="E89" s="79"/>
      <c r="F89" s="79"/>
      <c r="G89" s="79"/>
      <c r="H89" s="79"/>
      <c r="I89" s="79"/>
      <c r="J89" s="79"/>
      <c r="K89" s="79"/>
      <c r="L89" s="79"/>
      <c r="M89" s="79"/>
      <c r="N89" s="79"/>
      <c r="O89" s="79"/>
      <c r="P89" s="79"/>
      <c r="Q89" s="79"/>
      <c r="R89" s="79"/>
      <c r="S89" s="79"/>
      <c r="T89" s="79"/>
      <c r="U89" s="79"/>
      <c r="V89" s="79"/>
      <c r="W89" s="79"/>
      <c r="X89" s="79"/>
      <c r="Y89" s="79"/>
      <c r="Z89" s="79"/>
      <c r="AA89" s="79"/>
      <c r="AB89" s="79"/>
      <c r="AC89" s="79"/>
      <c r="AD89" s="81"/>
      <c r="AE89" s="81"/>
      <c r="AF89" s="81"/>
      <c r="AG89" s="81"/>
      <c r="AH89" s="428"/>
      <c r="AI89" s="81"/>
      <c r="AJ89" s="428"/>
      <c r="AL89" s="79"/>
      <c r="AM89" s="79"/>
      <c r="AN89" s="79"/>
      <c r="AO89" s="79"/>
      <c r="AP89" s="79"/>
      <c r="AQ89" s="79"/>
      <c r="AR89" s="79"/>
      <c r="AS89" s="79"/>
      <c r="AT89" s="81"/>
      <c r="AU89" s="81"/>
      <c r="AV89" s="81"/>
      <c r="AW89" s="81"/>
      <c r="AX89" s="81"/>
      <c r="AY89" s="81"/>
      <c r="AZ89" s="81"/>
      <c r="BA89" s="81"/>
      <c r="BB89" s="81"/>
    </row>
    <row r="90" spans="1:54" x14ac:dyDescent="0.25">
      <c r="A90" t="s">
        <v>57</v>
      </c>
      <c r="B90" s="78"/>
      <c r="C90" s="79"/>
      <c r="D90" s="79"/>
      <c r="E90" s="79"/>
      <c r="F90" s="79"/>
      <c r="G90" s="79"/>
      <c r="H90" s="79"/>
      <c r="I90" s="79"/>
      <c r="J90" s="79"/>
      <c r="K90" s="79"/>
      <c r="L90" s="79"/>
      <c r="M90" s="79"/>
      <c r="N90" s="79"/>
      <c r="O90" s="79"/>
      <c r="P90" s="79"/>
      <c r="Q90" s="79"/>
      <c r="R90" s="79"/>
      <c r="S90" s="79"/>
      <c r="T90" s="79"/>
      <c r="U90" s="79"/>
      <c r="V90" s="79"/>
      <c r="W90" s="79"/>
      <c r="X90" s="79"/>
      <c r="Y90" s="79"/>
      <c r="Z90" s="79"/>
      <c r="AA90" s="79"/>
      <c r="AB90" s="79"/>
      <c r="AC90" s="79"/>
      <c r="AD90" s="81"/>
      <c r="AE90" s="81"/>
      <c r="AF90" s="81"/>
      <c r="AG90" s="81"/>
      <c r="AH90" s="428"/>
      <c r="AI90" s="81"/>
      <c r="AJ90" s="428"/>
      <c r="AL90" s="79"/>
      <c r="AM90" s="79"/>
      <c r="AN90" s="79"/>
      <c r="AO90" s="79"/>
      <c r="AP90" s="79"/>
      <c r="AQ90" s="79"/>
      <c r="AR90" s="79"/>
      <c r="AS90" s="79"/>
      <c r="AT90" s="81"/>
      <c r="AU90" s="81"/>
      <c r="AV90" s="81"/>
      <c r="AW90" s="81"/>
      <c r="AX90" s="81"/>
      <c r="AY90" s="81"/>
      <c r="AZ90" s="81"/>
      <c r="BA90" s="81"/>
      <c r="BB90" s="81"/>
    </row>
    <row r="91" spans="1:54" x14ac:dyDescent="0.25">
      <c r="A91" t="s">
        <v>58</v>
      </c>
      <c r="B91" s="78"/>
      <c r="C91" s="79"/>
      <c r="D91" s="79"/>
      <c r="E91" s="79"/>
      <c r="F91" s="79"/>
      <c r="G91" s="79"/>
      <c r="H91" s="79"/>
      <c r="I91" s="79"/>
      <c r="J91" s="79"/>
      <c r="K91" s="79"/>
      <c r="L91" s="79"/>
      <c r="M91" s="79"/>
      <c r="N91" s="79"/>
      <c r="O91" s="79"/>
      <c r="P91" s="79"/>
      <c r="Q91" s="79"/>
      <c r="R91" s="79"/>
      <c r="S91" s="79"/>
      <c r="T91" s="79"/>
      <c r="U91" s="79"/>
      <c r="V91" s="79"/>
      <c r="W91" s="79"/>
      <c r="X91" s="79"/>
      <c r="Y91" s="79"/>
      <c r="Z91" s="79"/>
      <c r="AA91" s="79"/>
      <c r="AB91" s="79"/>
      <c r="AC91" s="79"/>
      <c r="AD91" s="81"/>
      <c r="AE91" s="81"/>
      <c r="AF91" s="81"/>
      <c r="AG91" s="81"/>
      <c r="AH91" s="428"/>
      <c r="AI91" s="81"/>
      <c r="AJ91" s="428"/>
      <c r="AL91" s="79"/>
      <c r="AM91" s="79"/>
      <c r="AN91" s="79"/>
      <c r="AO91" s="79"/>
      <c r="AP91" s="79"/>
      <c r="AQ91" s="79"/>
      <c r="AR91" s="79"/>
      <c r="AS91" s="79"/>
      <c r="AT91" s="81"/>
      <c r="AU91" s="81"/>
      <c r="AV91" s="81"/>
      <c r="AW91" s="81"/>
      <c r="AX91" s="81"/>
      <c r="AY91" s="81"/>
      <c r="AZ91" s="81"/>
      <c r="BA91" s="81"/>
      <c r="BB91" s="81"/>
    </row>
    <row r="92" spans="1:54" x14ac:dyDescent="0.25">
      <c r="A92" t="s">
        <v>59</v>
      </c>
      <c r="B92" s="78"/>
      <c r="C92" s="79"/>
      <c r="D92" s="79"/>
      <c r="E92" s="79"/>
      <c r="F92" s="79"/>
      <c r="G92" s="79"/>
      <c r="H92" s="79"/>
      <c r="I92" s="79"/>
      <c r="J92" s="79"/>
      <c r="K92" s="79"/>
      <c r="L92" s="79"/>
      <c r="M92" s="79"/>
      <c r="N92" s="79"/>
      <c r="O92" s="79"/>
      <c r="P92" s="79"/>
      <c r="Q92" s="79"/>
      <c r="R92" s="79"/>
      <c r="S92" s="79"/>
      <c r="T92" s="79"/>
      <c r="U92" s="79"/>
      <c r="V92" s="79"/>
      <c r="W92" s="79"/>
      <c r="X92" s="79"/>
      <c r="Y92" s="79"/>
      <c r="Z92" s="79"/>
      <c r="AA92" s="79"/>
      <c r="AB92" s="79"/>
      <c r="AC92" s="79"/>
      <c r="AD92" s="81"/>
      <c r="AE92" s="81"/>
      <c r="AF92" s="81"/>
      <c r="AG92" s="81"/>
      <c r="AH92" s="428"/>
      <c r="AI92" s="81"/>
      <c r="AJ92" s="428"/>
      <c r="AL92" s="79"/>
      <c r="AM92" s="79"/>
      <c r="AN92" s="79"/>
      <c r="AO92" s="79"/>
      <c r="AP92" s="79"/>
      <c r="AQ92" s="79"/>
      <c r="AR92" s="79"/>
      <c r="AS92" s="79"/>
      <c r="AT92" s="81"/>
      <c r="AU92" s="81"/>
      <c r="AV92" s="81"/>
      <c r="AW92" s="81"/>
      <c r="AX92" s="81"/>
      <c r="AY92" s="81"/>
      <c r="AZ92" s="81"/>
      <c r="BA92" s="81"/>
      <c r="BB92" s="81"/>
    </row>
    <row r="93" spans="1:54" x14ac:dyDescent="0.25">
      <c r="B93" s="78"/>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81"/>
      <c r="AE93" s="81"/>
      <c r="AF93" s="81"/>
      <c r="AG93" s="81"/>
      <c r="AH93" s="428"/>
      <c r="AI93" s="81"/>
      <c r="AJ93" s="428"/>
      <c r="AL93" s="79"/>
      <c r="AM93" s="79"/>
      <c r="AN93" s="79"/>
      <c r="AO93" s="79"/>
      <c r="AP93" s="79"/>
      <c r="AQ93" s="79"/>
      <c r="AR93" s="79"/>
      <c r="AS93" s="79"/>
      <c r="AT93" s="81"/>
      <c r="AU93" s="81"/>
      <c r="AV93" s="81"/>
      <c r="AW93" s="81"/>
      <c r="AX93" s="81"/>
      <c r="AY93" s="81"/>
      <c r="AZ93" s="81"/>
      <c r="BA93" s="81"/>
      <c r="BB93" s="81"/>
    </row>
    <row r="94" spans="1:54" x14ac:dyDescent="0.25">
      <c r="B94" s="78"/>
      <c r="C94" s="79"/>
      <c r="D94" s="79"/>
      <c r="E94" s="79"/>
      <c r="F94" s="79"/>
      <c r="G94" s="79"/>
      <c r="H94" s="79"/>
      <c r="I94" s="79"/>
      <c r="J94" s="79"/>
      <c r="K94" s="79"/>
      <c r="L94" s="79"/>
      <c r="M94" s="79"/>
      <c r="N94" s="79"/>
      <c r="O94" s="79"/>
      <c r="P94" s="79"/>
      <c r="Q94" s="79"/>
      <c r="R94" s="79"/>
      <c r="S94" s="79"/>
      <c r="T94" s="79"/>
      <c r="U94" s="79"/>
      <c r="V94" s="79"/>
      <c r="W94" s="79"/>
      <c r="X94" s="79"/>
      <c r="Y94" s="79"/>
      <c r="Z94" s="79"/>
      <c r="AA94" s="79"/>
      <c r="AB94" s="79"/>
      <c r="AC94" s="79"/>
      <c r="AD94" s="81"/>
      <c r="AE94" s="81"/>
      <c r="AF94" s="81"/>
      <c r="AG94" s="81"/>
      <c r="AH94" s="428"/>
      <c r="AI94" s="81"/>
      <c r="AJ94" s="428"/>
      <c r="AL94" s="79"/>
      <c r="AM94" s="79"/>
      <c r="AN94" s="79"/>
      <c r="AO94" s="79"/>
      <c r="AP94" s="79"/>
      <c r="AQ94" s="79"/>
      <c r="AR94" s="79"/>
      <c r="AS94" s="79"/>
      <c r="AT94" s="81"/>
      <c r="AU94" s="81"/>
      <c r="AV94" s="81"/>
      <c r="AW94" s="81"/>
      <c r="AX94" s="81"/>
      <c r="AY94" s="81"/>
      <c r="AZ94" s="81"/>
      <c r="BA94" s="81"/>
      <c r="BB94" s="81"/>
    </row>
    <row r="95" spans="1:54" x14ac:dyDescent="0.25">
      <c r="B95" s="78"/>
      <c r="C95" s="79"/>
      <c r="D95" s="79"/>
      <c r="E95" s="79"/>
      <c r="F95" s="79"/>
      <c r="G95" s="79"/>
      <c r="H95" s="79"/>
      <c r="I95" s="79"/>
      <c r="J95" s="79"/>
      <c r="K95" s="79"/>
      <c r="L95" s="79"/>
      <c r="M95" s="79"/>
      <c r="N95" s="79"/>
      <c r="O95" s="79"/>
      <c r="P95" s="79"/>
      <c r="Q95" s="79"/>
      <c r="R95" s="79"/>
      <c r="S95" s="79"/>
      <c r="T95" s="79"/>
      <c r="U95" s="79"/>
      <c r="V95" s="79"/>
      <c r="W95" s="79"/>
      <c r="X95" s="79"/>
      <c r="Y95" s="79"/>
      <c r="Z95" s="79"/>
      <c r="AA95" s="79"/>
      <c r="AB95" s="79"/>
      <c r="AC95" s="79"/>
      <c r="AD95" s="81"/>
      <c r="AE95" s="81"/>
      <c r="AF95" s="81"/>
      <c r="AG95" s="81"/>
      <c r="AH95" s="428"/>
      <c r="AI95" s="81"/>
      <c r="AJ95" s="428"/>
      <c r="AL95" s="79"/>
      <c r="AM95" s="79"/>
      <c r="AN95" s="79"/>
      <c r="AO95" s="79"/>
      <c r="AP95" s="79"/>
      <c r="AQ95" s="79"/>
      <c r="AR95" s="79"/>
      <c r="AS95" s="79"/>
      <c r="AT95" s="81"/>
      <c r="AU95" s="81"/>
      <c r="AV95" s="81"/>
      <c r="AW95" s="81"/>
      <c r="AX95" s="81"/>
      <c r="AY95" s="81"/>
      <c r="AZ95" s="81"/>
      <c r="BA95" s="81"/>
      <c r="BB95" s="81"/>
    </row>
    <row r="96" spans="1:54" x14ac:dyDescent="0.25">
      <c r="B96" s="78"/>
      <c r="C96" s="79"/>
      <c r="D96" s="79"/>
      <c r="E96" s="79"/>
      <c r="F96" s="79"/>
      <c r="G96" s="79"/>
      <c r="H96" s="79"/>
      <c r="I96" s="79"/>
      <c r="J96" s="79"/>
      <c r="K96" s="79"/>
      <c r="L96" s="79"/>
      <c r="M96" s="79"/>
      <c r="N96" s="79"/>
      <c r="O96" s="79"/>
      <c r="P96" s="79"/>
      <c r="Q96" s="79"/>
      <c r="R96" s="79"/>
      <c r="S96" s="79"/>
      <c r="T96" s="79"/>
      <c r="U96" s="79"/>
      <c r="V96" s="79"/>
      <c r="W96" s="79"/>
      <c r="X96" s="79"/>
      <c r="Y96" s="79"/>
      <c r="Z96" s="79"/>
      <c r="AA96" s="79"/>
      <c r="AB96" s="79"/>
      <c r="AC96" s="79"/>
      <c r="AD96" s="81"/>
      <c r="AE96" s="81"/>
      <c r="AF96" s="81"/>
      <c r="AG96" s="81"/>
      <c r="AH96" s="428"/>
      <c r="AI96" s="81"/>
      <c r="AJ96" s="428"/>
      <c r="AL96" s="79"/>
      <c r="AM96" s="79"/>
      <c r="AN96" s="79"/>
      <c r="AO96" s="79"/>
      <c r="AP96" s="79"/>
      <c r="AQ96" s="79"/>
      <c r="AR96" s="79"/>
      <c r="AS96" s="79"/>
      <c r="AT96" s="81"/>
      <c r="AU96" s="81"/>
      <c r="AV96" s="81"/>
      <c r="AW96" s="81"/>
      <c r="AX96" s="81"/>
      <c r="AY96" s="81"/>
      <c r="AZ96" s="81"/>
      <c r="BA96" s="81"/>
      <c r="BB96" s="81"/>
    </row>
    <row r="97" spans="1:199" s="66" customFormat="1" ht="15.75" thickBot="1" x14ac:dyDescent="0.3">
      <c r="A97" s="21"/>
      <c r="B97" s="82"/>
      <c r="C97" s="82"/>
      <c r="D97" s="82"/>
      <c r="E97" s="82"/>
      <c r="F97" s="82"/>
      <c r="G97" s="82"/>
      <c r="H97" s="82"/>
      <c r="I97" s="82"/>
      <c r="J97" s="83"/>
      <c r="K97" s="83"/>
      <c r="L97" s="83"/>
      <c r="M97" s="83"/>
      <c r="N97" s="83"/>
      <c r="O97" s="83"/>
      <c r="P97" s="83"/>
      <c r="Q97" s="83"/>
      <c r="R97" s="83"/>
      <c r="S97" s="83"/>
      <c r="T97" s="83"/>
      <c r="U97" s="83"/>
      <c r="V97" s="83"/>
      <c r="W97" s="83"/>
      <c r="X97" s="83"/>
      <c r="Y97" s="83"/>
      <c r="Z97" s="83"/>
      <c r="AA97" s="83"/>
      <c r="AB97" s="83"/>
      <c r="AC97" s="83"/>
      <c r="AD97" s="84"/>
      <c r="AE97" s="84"/>
      <c r="AF97" s="84"/>
      <c r="AG97" s="84"/>
      <c r="AH97" s="429"/>
      <c r="AI97" s="84"/>
      <c r="AJ97" s="429"/>
      <c r="AL97" s="83"/>
      <c r="AM97" s="83"/>
      <c r="AN97" s="83"/>
      <c r="AO97" s="83"/>
      <c r="AP97" s="83"/>
      <c r="AQ97" s="83"/>
      <c r="AR97" s="83"/>
      <c r="AS97" s="83"/>
      <c r="AT97" s="84"/>
      <c r="AU97" s="84"/>
      <c r="AV97" s="84"/>
      <c r="AW97" s="84"/>
      <c r="AX97" s="84"/>
      <c r="AY97" s="84"/>
      <c r="AZ97" s="84"/>
      <c r="BA97" s="84"/>
      <c r="BB97" s="84"/>
    </row>
    <row r="98" spans="1:199" ht="15.75" thickTop="1" x14ac:dyDescent="0.25">
      <c r="A98" s="2"/>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L98" s="39"/>
      <c r="AM98" s="39"/>
      <c r="AN98" s="39"/>
      <c r="AO98" s="39"/>
      <c r="AP98" s="39"/>
      <c r="AQ98" s="39"/>
      <c r="AR98" s="39"/>
      <c r="AS98" s="39"/>
    </row>
    <row r="100" spans="1:199" x14ac:dyDescent="0.25">
      <c r="A100" s="108" t="s">
        <v>87</v>
      </c>
      <c r="B100" s="106">
        <f t="shared" ref="B100:AG100" si="326">+B4</f>
        <v>43555</v>
      </c>
      <c r="C100" s="106">
        <f t="shared" si="326"/>
        <v>43646</v>
      </c>
      <c r="D100" s="106">
        <f t="shared" si="326"/>
        <v>43738</v>
      </c>
      <c r="E100" s="106">
        <f t="shared" si="326"/>
        <v>43830</v>
      </c>
      <c r="F100" s="106">
        <f t="shared" si="326"/>
        <v>43921</v>
      </c>
      <c r="G100" s="106">
        <f t="shared" si="326"/>
        <v>44012</v>
      </c>
      <c r="H100" s="106">
        <f t="shared" si="326"/>
        <v>44104</v>
      </c>
      <c r="I100" s="106">
        <f t="shared" si="326"/>
        <v>44196</v>
      </c>
      <c r="J100" s="106">
        <f t="shared" si="326"/>
        <v>44286</v>
      </c>
      <c r="K100" s="106">
        <f t="shared" si="326"/>
        <v>44377</v>
      </c>
      <c r="L100" s="106">
        <f t="shared" si="326"/>
        <v>44469</v>
      </c>
      <c r="M100" s="106">
        <f t="shared" si="326"/>
        <v>44561</v>
      </c>
      <c r="N100" s="106">
        <f t="shared" si="326"/>
        <v>44651</v>
      </c>
      <c r="O100" s="106">
        <f t="shared" si="326"/>
        <v>44742</v>
      </c>
      <c r="P100" s="106">
        <f t="shared" si="326"/>
        <v>44834</v>
      </c>
      <c r="Q100" s="106">
        <f t="shared" si="326"/>
        <v>44926</v>
      </c>
      <c r="R100" s="106">
        <f t="shared" si="326"/>
        <v>45016</v>
      </c>
      <c r="S100" s="106">
        <f t="shared" si="326"/>
        <v>45107</v>
      </c>
      <c r="T100" s="106">
        <f t="shared" si="326"/>
        <v>45199</v>
      </c>
      <c r="U100" s="106">
        <f t="shared" si="326"/>
        <v>45291</v>
      </c>
      <c r="V100" s="106">
        <f t="shared" si="326"/>
        <v>45382</v>
      </c>
      <c r="W100" s="106">
        <f t="shared" si="326"/>
        <v>45473</v>
      </c>
      <c r="X100" s="106">
        <f t="shared" si="326"/>
        <v>45565</v>
      </c>
      <c r="Y100" s="106">
        <f t="shared" si="326"/>
        <v>45657</v>
      </c>
      <c r="Z100" s="106">
        <f t="shared" si="326"/>
        <v>45747</v>
      </c>
      <c r="AA100" s="106">
        <f t="shared" si="326"/>
        <v>45838</v>
      </c>
      <c r="AB100" s="106">
        <f t="shared" si="326"/>
        <v>45930</v>
      </c>
      <c r="AC100" s="106">
        <f t="shared" si="326"/>
        <v>46022</v>
      </c>
      <c r="AD100" s="107">
        <f t="shared" si="326"/>
        <v>46112</v>
      </c>
      <c r="AE100" s="107">
        <f t="shared" si="326"/>
        <v>46203</v>
      </c>
      <c r="AF100" s="107">
        <f t="shared" si="326"/>
        <v>46295</v>
      </c>
      <c r="AG100" s="107">
        <f t="shared" si="326"/>
        <v>46387</v>
      </c>
      <c r="AH100" s="413"/>
      <c r="AI100" s="107">
        <v>46022</v>
      </c>
      <c r="AJ100" s="413"/>
      <c r="AK100" s="38"/>
      <c r="AL100" s="125">
        <f t="shared" ref="AL100:BB100" si="327">+AL4</f>
        <v>2019</v>
      </c>
      <c r="AM100" s="125">
        <f t="shared" si="327"/>
        <v>2020</v>
      </c>
      <c r="AN100" s="125">
        <f t="shared" si="327"/>
        <v>2021</v>
      </c>
      <c r="AO100" s="125">
        <f t="shared" si="327"/>
        <v>2022</v>
      </c>
      <c r="AP100" s="125">
        <f t="shared" si="327"/>
        <v>2023</v>
      </c>
      <c r="AQ100" s="125">
        <f t="shared" si="327"/>
        <v>2024</v>
      </c>
      <c r="AR100" s="125">
        <f t="shared" si="327"/>
        <v>2025</v>
      </c>
      <c r="AS100" s="125">
        <f t="shared" si="327"/>
        <v>2026</v>
      </c>
      <c r="AT100" s="165">
        <f t="shared" si="327"/>
        <v>2027</v>
      </c>
      <c r="AU100" s="165">
        <f t="shared" si="327"/>
        <v>2028</v>
      </c>
      <c r="AV100" s="165">
        <f t="shared" si="327"/>
        <v>2029</v>
      </c>
      <c r="AW100" s="165">
        <f t="shared" si="327"/>
        <v>2030</v>
      </c>
      <c r="AX100" s="165">
        <f t="shared" si="327"/>
        <v>2031</v>
      </c>
      <c r="AY100" s="165">
        <f t="shared" si="327"/>
        <v>2032</v>
      </c>
      <c r="AZ100" s="165">
        <f t="shared" si="327"/>
        <v>2033</v>
      </c>
      <c r="BA100" s="165">
        <f t="shared" si="327"/>
        <v>2034</v>
      </c>
      <c r="BB100" s="165">
        <f t="shared" si="327"/>
        <v>2035</v>
      </c>
      <c r="BC100" s="38"/>
      <c r="BD100" s="38"/>
      <c r="BE100" s="38"/>
      <c r="BF100" s="38"/>
      <c r="BG100" s="38"/>
      <c r="BH100" s="38"/>
      <c r="BI100" s="38"/>
      <c r="BJ100" s="38"/>
      <c r="BK100" s="38"/>
      <c r="BL100" s="38"/>
      <c r="BM100" s="38"/>
      <c r="BN100" s="38"/>
      <c r="BO100" s="38"/>
      <c r="BP100" s="38"/>
      <c r="BQ100" s="38"/>
      <c r="BR100" s="38"/>
      <c r="BS100" s="38"/>
      <c r="BT100" s="38"/>
      <c r="BU100" s="38"/>
      <c r="BV100" s="38"/>
      <c r="BW100" s="38"/>
      <c r="BX100" s="38"/>
      <c r="BY100" s="38"/>
      <c r="BZ100" s="38"/>
      <c r="CA100" s="38"/>
      <c r="CB100" s="38"/>
      <c r="CC100" s="38"/>
      <c r="CD100" s="38"/>
      <c r="CE100" s="38"/>
      <c r="CF100" s="38"/>
      <c r="CG100" s="38"/>
      <c r="CH100" s="38"/>
      <c r="CI100" s="38"/>
      <c r="CJ100" s="38"/>
      <c r="CK100" s="38"/>
      <c r="CL100" s="38"/>
      <c r="CM100" s="38"/>
      <c r="CN100" s="38"/>
      <c r="CO100" s="38"/>
      <c r="CP100" s="38"/>
      <c r="CQ100" s="38"/>
      <c r="CR100" s="38"/>
      <c r="CS100" s="38"/>
      <c r="CT100" s="38"/>
      <c r="CU100" s="38"/>
      <c r="CV100" s="38"/>
      <c r="CW100" s="38"/>
      <c r="CX100" s="38"/>
      <c r="CY100" s="38"/>
      <c r="CZ100" s="38"/>
      <c r="DA100" s="38"/>
      <c r="DB100" s="38"/>
      <c r="DC100" s="38"/>
      <c r="DD100" s="38"/>
      <c r="DE100" s="38"/>
      <c r="DF100" s="38"/>
      <c r="DG100" s="38"/>
      <c r="DH100" s="38"/>
      <c r="DI100" s="38"/>
      <c r="DJ100" s="38"/>
      <c r="DK100" s="38"/>
      <c r="DL100" s="38"/>
      <c r="DM100" s="38"/>
      <c r="DN100" s="38"/>
      <c r="DO100" s="38"/>
      <c r="DP100" s="38"/>
      <c r="DQ100" s="38"/>
      <c r="DR100" s="38"/>
      <c r="DS100" s="38"/>
      <c r="DT100" s="38"/>
      <c r="DU100" s="38"/>
      <c r="DV100" s="38"/>
      <c r="DW100" s="38"/>
      <c r="DX100" s="38"/>
      <c r="DY100" s="38"/>
      <c r="DZ100" s="38"/>
      <c r="EA100" s="38"/>
      <c r="EB100" s="38"/>
      <c r="EC100" s="38"/>
      <c r="ED100" s="38"/>
      <c r="EE100" s="38"/>
      <c r="EF100" s="38"/>
      <c r="EG100" s="38"/>
      <c r="EH100" s="38"/>
      <c r="EI100" s="38"/>
      <c r="EJ100" s="38"/>
      <c r="EK100" s="38"/>
      <c r="EL100" s="38"/>
      <c r="EM100" s="38"/>
      <c r="EN100" s="38"/>
      <c r="EO100" s="38"/>
      <c r="EP100" s="38"/>
      <c r="EQ100" s="38"/>
      <c r="ER100" s="38"/>
      <c r="ES100" s="38"/>
      <c r="ET100" s="38"/>
      <c r="EU100" s="38"/>
      <c r="EV100" s="38"/>
      <c r="EW100" s="38"/>
      <c r="EX100" s="38"/>
      <c r="EY100" s="38"/>
      <c r="EZ100" s="38"/>
      <c r="FA100" s="38"/>
      <c r="FB100" s="38"/>
      <c r="FC100" s="38"/>
      <c r="FD100" s="38"/>
      <c r="FE100" s="38"/>
      <c r="FF100" s="38"/>
      <c r="FG100" s="38"/>
      <c r="FH100" s="38"/>
      <c r="FI100" s="38"/>
      <c r="FJ100" s="38"/>
      <c r="FK100" s="38"/>
      <c r="FL100" s="38"/>
      <c r="FM100" s="38"/>
      <c r="FN100" s="38"/>
      <c r="FO100" s="38"/>
      <c r="FP100" s="38"/>
      <c r="FQ100" s="38"/>
      <c r="FR100" s="38"/>
      <c r="FS100" s="38"/>
      <c r="FT100" s="38"/>
      <c r="FU100" s="38"/>
      <c r="FV100" s="38"/>
      <c r="FW100" s="38"/>
      <c r="FX100" s="38"/>
      <c r="FY100" s="38"/>
      <c r="FZ100" s="38"/>
      <c r="GA100" s="38"/>
      <c r="GB100" s="38"/>
      <c r="GC100" s="38"/>
      <c r="GD100" s="38"/>
      <c r="GE100" s="38"/>
      <c r="GF100" s="38"/>
      <c r="GG100" s="38"/>
      <c r="GH100" s="38"/>
      <c r="GI100" s="38"/>
      <c r="GJ100" s="38"/>
      <c r="GK100" s="38"/>
      <c r="GL100" s="38"/>
      <c r="GM100" s="38"/>
      <c r="GN100" s="38"/>
      <c r="GO100" s="38"/>
      <c r="GP100" s="38"/>
      <c r="GQ100" s="38"/>
    </row>
    <row r="102" spans="1:199" s="42" customFormat="1" x14ac:dyDescent="0.25">
      <c r="A102" s="2" t="s">
        <v>88</v>
      </c>
      <c r="B102" s="39">
        <f t="shared" ref="B102:AA102" si="328">+B107+B113+B122+B125</f>
        <v>100432</v>
      </c>
      <c r="C102" s="39">
        <f t="shared" si="328"/>
        <v>103163</v>
      </c>
      <c r="D102" s="39">
        <f t="shared" si="328"/>
        <v>105687</v>
      </c>
      <c r="E102" s="39">
        <f t="shared" si="328"/>
        <v>108850</v>
      </c>
      <c r="F102" s="39">
        <f t="shared" si="328"/>
        <v>113480</v>
      </c>
      <c r="G102" s="39">
        <f t="shared" si="328"/>
        <v>108897</v>
      </c>
      <c r="H102" s="39">
        <f t="shared" si="328"/>
        <v>108029</v>
      </c>
      <c r="I102" s="39">
        <f t="shared" si="328"/>
        <v>111470</v>
      </c>
      <c r="J102" s="39">
        <f t="shared" si="328"/>
        <v>113674</v>
      </c>
      <c r="K102" s="39">
        <f t="shared" si="328"/>
        <v>118272</v>
      </c>
      <c r="L102" s="39">
        <f t="shared" si="328"/>
        <v>118238</v>
      </c>
      <c r="M102" s="39">
        <f t="shared" si="328"/>
        <v>118901</v>
      </c>
      <c r="N102" s="39">
        <f t="shared" si="328"/>
        <v>157262</v>
      </c>
      <c r="O102" s="39">
        <f t="shared" si="328"/>
        <v>161290</v>
      </c>
      <c r="P102" s="39">
        <f t="shared" si="328"/>
        <v>173565</v>
      </c>
      <c r="Q102" s="39">
        <f t="shared" si="328"/>
        <v>181994</v>
      </c>
      <c r="R102" s="39">
        <f t="shared" si="328"/>
        <v>194244</v>
      </c>
      <c r="S102" s="39">
        <f t="shared" si="328"/>
        <v>207384</v>
      </c>
      <c r="T102" s="39">
        <f t="shared" si="328"/>
        <v>206408</v>
      </c>
      <c r="U102" s="39">
        <f t="shared" si="328"/>
        <v>200636</v>
      </c>
      <c r="V102" s="39">
        <f t="shared" si="328"/>
        <v>191345</v>
      </c>
      <c r="W102" s="39">
        <f t="shared" si="328"/>
        <v>200306</v>
      </c>
      <c r="X102" s="39">
        <f t="shared" si="328"/>
        <v>209734</v>
      </c>
      <c r="Y102" s="39">
        <f t="shared" si="328"/>
        <v>212483</v>
      </c>
      <c r="Z102" s="39">
        <f t="shared" si="328"/>
        <v>217521</v>
      </c>
      <c r="AA102" s="39">
        <f t="shared" si="328"/>
        <v>231190</v>
      </c>
      <c r="AB102" s="39">
        <f>+AB107+AB113+AB122+AB125</f>
        <v>236560</v>
      </c>
      <c r="AC102" s="39">
        <f t="shared" ref="AC102:AG102" si="329">+AC107+AC113+AC122+AC125</f>
        <v>246304</v>
      </c>
      <c r="AD102" s="368">
        <f t="shared" si="329"/>
        <v>230173.34536943934</v>
      </c>
      <c r="AE102" s="368">
        <f t="shared" si="329"/>
        <v>233427.38978065009</v>
      </c>
      <c r="AF102" s="368">
        <f t="shared" si="329"/>
        <v>242493.36093750549</v>
      </c>
      <c r="AG102" s="368">
        <f t="shared" si="329"/>
        <v>243821.68885037617</v>
      </c>
      <c r="AH102" s="368"/>
      <c r="AI102" s="368">
        <v>219855.94431324632</v>
      </c>
      <c r="AJ102" s="486">
        <f>+AB102/AI102-1</f>
        <v>7.5977275660803034E-2</v>
      </c>
      <c r="AL102" s="39">
        <f>+SUMIFS($B102:AF102,$B$4:AF$4,"="&amp;AL$3)</f>
        <v>108850</v>
      </c>
      <c r="AM102" s="39">
        <f>+SUMIFS($B102:AG102,$B$4:AG$4,"="&amp;AM$3)</f>
        <v>111470</v>
      </c>
      <c r="AN102" s="39">
        <f>+SUMIFS($B102:AG102,$B$4:AG$4,"="&amp;AN$3)</f>
        <v>118901</v>
      </c>
      <c r="AO102" s="39">
        <f>+SUMIFS($B102:AG102,$B$4:AG$4,"="&amp;AO$3)</f>
        <v>181994</v>
      </c>
      <c r="AP102" s="39">
        <f>+SUMIFS($B102:AG102,$B$4:AG$4,"="&amp;AP$3)</f>
        <v>200636</v>
      </c>
      <c r="AQ102" s="39">
        <f>+SUMIFS($B102:AG102,$B$4:AG$4,"="&amp;AQ$3)</f>
        <v>212483</v>
      </c>
      <c r="AR102" s="39">
        <f>+SUMIFS($B102:AG102,$B$4:AG$4,"="&amp;AR$3)</f>
        <v>246304</v>
      </c>
      <c r="AS102" s="39">
        <f>+SUMIFS($B102:$AG102,$B$4:$AG$4,"="&amp;AS$3)</f>
        <v>243821.68885037617</v>
      </c>
      <c r="AT102" s="368">
        <f t="shared" ref="AT102:BB102" si="330">+AT107+AT113+AT122</f>
        <v>264661.24093521154</v>
      </c>
      <c r="AU102" s="368">
        <f t="shared" si="330"/>
        <v>280987.9959405589</v>
      </c>
      <c r="AV102" s="368">
        <f t="shared" si="330"/>
        <v>298182.73302799434</v>
      </c>
      <c r="AW102" s="368">
        <f t="shared" si="330"/>
        <v>316679.52627317753</v>
      </c>
      <c r="AX102" s="368">
        <f t="shared" si="330"/>
        <v>336420.15628459724</v>
      </c>
      <c r="AY102" s="368">
        <f t="shared" si="330"/>
        <v>353612.09420091106</v>
      </c>
      <c r="AZ102" s="368">
        <f t="shared" si="330"/>
        <v>371695.94828323281</v>
      </c>
      <c r="BA102" s="368">
        <f t="shared" si="330"/>
        <v>390805.74395036162</v>
      </c>
      <c r="BB102" s="368">
        <f t="shared" si="330"/>
        <v>410968.28034039692</v>
      </c>
    </row>
    <row r="103" spans="1:199" x14ac:dyDescent="0.25">
      <c r="A103" t="s">
        <v>89</v>
      </c>
      <c r="B103" s="73">
        <f t="shared" ref="B103:AG103" si="331">+B102/B5</f>
        <v>1.0006974751399933</v>
      </c>
      <c r="C103" s="73">
        <f t="shared" si="331"/>
        <v>0.98735691589142838</v>
      </c>
      <c r="D103" s="73">
        <f t="shared" si="331"/>
        <v>0.99713183194799559</v>
      </c>
      <c r="E103" s="73">
        <f t="shared" si="331"/>
        <v>1.0290516842035604</v>
      </c>
      <c r="F103" s="73">
        <f t="shared" si="331"/>
        <v>1.0213485977607373</v>
      </c>
      <c r="G103" s="73">
        <f t="shared" si="331"/>
        <v>0.99558420186505758</v>
      </c>
      <c r="H103" s="73">
        <f t="shared" si="331"/>
        <v>0.99072817314746886</v>
      </c>
      <c r="I103" s="73">
        <f t="shared" si="331"/>
        <v>1.0322730008797518</v>
      </c>
      <c r="J103" s="73">
        <f t="shared" si="331"/>
        <v>1.0314683411066548</v>
      </c>
      <c r="K103" s="73">
        <f t="shared" si="331"/>
        <v>1.0559245768159418</v>
      </c>
      <c r="L103" s="73">
        <f t="shared" si="331"/>
        <v>1.0491393078970719</v>
      </c>
      <c r="M103" s="73">
        <f t="shared" si="331"/>
        <v>1.0319654915030638</v>
      </c>
      <c r="N103" s="73">
        <f t="shared" si="331"/>
        <v>1.3270382934197424</v>
      </c>
      <c r="O103" s="73">
        <f t="shared" si="331"/>
        <v>1.3324136107921454</v>
      </c>
      <c r="P103" s="73">
        <f t="shared" si="331"/>
        <v>1.4059538274605103</v>
      </c>
      <c r="Q103" s="73">
        <f t="shared" si="331"/>
        <v>1.3572121049413097</v>
      </c>
      <c r="R103" s="73">
        <f t="shared" si="331"/>
        <v>1.3850432104047232</v>
      </c>
      <c r="S103" s="73">
        <f t="shared" si="331"/>
        <v>1.4433641191250062</v>
      </c>
      <c r="T103" s="73">
        <f t="shared" si="331"/>
        <v>1.3892605704901262</v>
      </c>
      <c r="U103" s="73">
        <f t="shared" si="331"/>
        <v>1.3184903825301799</v>
      </c>
      <c r="V103" s="73">
        <f t="shared" si="331"/>
        <v>1.2154368000813065</v>
      </c>
      <c r="W103" s="73">
        <f t="shared" si="331"/>
        <v>1.2287354770638825</v>
      </c>
      <c r="X103" s="73">
        <f t="shared" si="331"/>
        <v>1.2483200704707373</v>
      </c>
      <c r="Y103" s="73">
        <f t="shared" si="331"/>
        <v>1.2203601068259484</v>
      </c>
      <c r="Z103" s="73">
        <f t="shared" si="331"/>
        <v>1.2228181128257021</v>
      </c>
      <c r="AA103" s="73">
        <f t="shared" si="331"/>
        <v>1.280916182793316</v>
      </c>
      <c r="AB103" s="73">
        <f t="shared" si="331"/>
        <v>1.2799549829833512</v>
      </c>
      <c r="AC103" s="73">
        <f t="shared" si="331"/>
        <v>1.310978400877165</v>
      </c>
      <c r="AD103" s="73">
        <f t="shared" si="331"/>
        <v>1.2072059549892211</v>
      </c>
      <c r="AE103" s="73">
        <f t="shared" si="331"/>
        <v>1.207435394608547</v>
      </c>
      <c r="AF103" s="73">
        <f t="shared" si="331"/>
        <v>1.1985113446514111</v>
      </c>
      <c r="AG103" s="73">
        <f t="shared" si="331"/>
        <v>1.202618065115254</v>
      </c>
      <c r="AH103" s="113"/>
      <c r="AI103" s="73">
        <v>1.1600760556164555</v>
      </c>
      <c r="AJ103" s="113"/>
      <c r="AL103" s="73">
        <f t="shared" ref="AL103:BB103" si="332">+AL102/AL5</f>
        <v>1.0290516842035604</v>
      </c>
      <c r="AM103" s="73">
        <f t="shared" si="332"/>
        <v>1.0322730008797518</v>
      </c>
      <c r="AN103" s="73">
        <f t="shared" si="332"/>
        <v>1.0319654915030638</v>
      </c>
      <c r="AO103" s="73">
        <f t="shared" si="332"/>
        <v>1.3572121049413097</v>
      </c>
      <c r="AP103" s="73">
        <f t="shared" si="332"/>
        <v>1.3184903825301799</v>
      </c>
      <c r="AQ103" s="73">
        <f t="shared" si="332"/>
        <v>1.2203601068259484</v>
      </c>
      <c r="AR103" s="73">
        <f t="shared" si="332"/>
        <v>1.310978400877165</v>
      </c>
      <c r="AS103" s="73">
        <f t="shared" si="332"/>
        <v>1.202618065115254</v>
      </c>
      <c r="AT103" s="73">
        <f t="shared" si="332"/>
        <v>1.1925598900476124</v>
      </c>
      <c r="AU103" s="73">
        <f t="shared" si="332"/>
        <v>1.1904154715334774</v>
      </c>
      <c r="AV103" s="73">
        <f t="shared" si="332"/>
        <v>1.1876781771068132</v>
      </c>
      <c r="AW103" s="73">
        <f t="shared" si="332"/>
        <v>1.1853343738648094</v>
      </c>
      <c r="AX103" s="73">
        <f t="shared" si="332"/>
        <v>1.182666847250927</v>
      </c>
      <c r="AY103" s="73">
        <f t="shared" si="332"/>
        <v>1.1822662996007121</v>
      </c>
      <c r="AZ103" s="73">
        <f t="shared" si="332"/>
        <v>1.1815377092919472</v>
      </c>
      <c r="BA103" s="73">
        <f t="shared" si="332"/>
        <v>1.1806700878348053</v>
      </c>
      <c r="BB103" s="73">
        <f t="shared" si="332"/>
        <v>1.1795771207156265</v>
      </c>
    </row>
    <row r="104" spans="1:199" x14ac:dyDescent="0.25">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85"/>
      <c r="AE104" s="85"/>
      <c r="AF104" s="85"/>
      <c r="AG104" s="85"/>
      <c r="AH104" s="85"/>
      <c r="AI104" s="85"/>
      <c r="AJ104" s="85"/>
      <c r="AL104" s="73"/>
      <c r="AM104" s="73"/>
      <c r="AN104" s="73"/>
      <c r="AO104" s="73"/>
      <c r="AP104" s="73"/>
      <c r="AQ104" s="73"/>
      <c r="AR104" s="73"/>
      <c r="AS104" s="73"/>
      <c r="AT104" s="85"/>
      <c r="AU104" s="85"/>
      <c r="AV104" s="85"/>
      <c r="AW104" s="85"/>
      <c r="AX104" s="85"/>
      <c r="AY104" s="85"/>
      <c r="AZ104" s="85"/>
      <c r="BA104" s="85"/>
      <c r="BB104" s="85"/>
    </row>
    <row r="105" spans="1:199" s="166" customFormat="1" ht="12.75" x14ac:dyDescent="0.2">
      <c r="A105" s="166" t="s">
        <v>90</v>
      </c>
      <c r="B105" s="167">
        <f t="shared" ref="B105:X105" si="333">+B106-B107</f>
        <v>0</v>
      </c>
      <c r="C105" s="167">
        <f t="shared" si="333"/>
        <v>0</v>
      </c>
      <c r="D105" s="167">
        <f t="shared" si="333"/>
        <v>0</v>
      </c>
      <c r="E105" s="167">
        <f t="shared" si="333"/>
        <v>0</v>
      </c>
      <c r="F105" s="167">
        <f t="shared" si="333"/>
        <v>0</v>
      </c>
      <c r="G105" s="167">
        <f t="shared" si="333"/>
        <v>0</v>
      </c>
      <c r="H105" s="167">
        <f t="shared" si="333"/>
        <v>0</v>
      </c>
      <c r="I105" s="167">
        <f t="shared" si="333"/>
        <v>0</v>
      </c>
      <c r="J105" s="167">
        <f t="shared" si="333"/>
        <v>0</v>
      </c>
      <c r="K105" s="167">
        <f t="shared" si="333"/>
        <v>0</v>
      </c>
      <c r="L105" s="167">
        <f t="shared" si="333"/>
        <v>0</v>
      </c>
      <c r="M105" s="167">
        <f t="shared" si="333"/>
        <v>0</v>
      </c>
      <c r="N105" s="167">
        <f t="shared" si="333"/>
        <v>0</v>
      </c>
      <c r="O105" s="167">
        <f t="shared" si="333"/>
        <v>0</v>
      </c>
      <c r="P105" s="167">
        <f t="shared" si="333"/>
        <v>0</v>
      </c>
      <c r="Q105" s="167">
        <f t="shared" si="333"/>
        <v>0</v>
      </c>
      <c r="R105" s="167">
        <f t="shared" si="333"/>
        <v>0</v>
      </c>
      <c r="S105" s="167">
        <f t="shared" si="333"/>
        <v>0</v>
      </c>
      <c r="T105" s="167">
        <f t="shared" si="333"/>
        <v>0</v>
      </c>
      <c r="U105" s="167">
        <f t="shared" si="333"/>
        <v>0</v>
      </c>
      <c r="V105" s="167">
        <f t="shared" si="333"/>
        <v>0</v>
      </c>
      <c r="W105" s="167">
        <f t="shared" si="333"/>
        <v>0</v>
      </c>
      <c r="X105" s="167">
        <f t="shared" si="333"/>
        <v>0</v>
      </c>
      <c r="Y105" s="167">
        <f>+Y106-Y107</f>
        <v>0</v>
      </c>
      <c r="Z105" s="167">
        <f t="shared" ref="Z105:AD105" si="334">+Z106-Z107</f>
        <v>0</v>
      </c>
      <c r="AA105" s="167">
        <f t="shared" si="334"/>
        <v>0</v>
      </c>
      <c r="AB105" s="167">
        <f t="shared" ref="AB105" si="335">+AB106-AB107</f>
        <v>0</v>
      </c>
      <c r="AC105" s="167">
        <f t="shared" si="334"/>
        <v>0</v>
      </c>
      <c r="AD105" s="167">
        <f t="shared" si="334"/>
        <v>471.90659599975334</v>
      </c>
      <c r="AE105" s="167">
        <f t="shared" ref="AE105" si="336">+AE106-AE107</f>
        <v>-4296.9440138141581</v>
      </c>
      <c r="AF105" s="167">
        <f t="shared" ref="AF105" si="337">+AF106-AF107</f>
        <v>11803.885806705621</v>
      </c>
      <c r="AG105" s="167">
        <f t="shared" ref="AG105" si="338">+AG106-AG107</f>
        <v>-23437.526594757284</v>
      </c>
      <c r="AH105" s="430"/>
      <c r="AI105" s="167">
        <v>-91.553419548043166</v>
      </c>
      <c r="AJ105" s="430"/>
      <c r="AL105" s="167">
        <f t="shared" ref="AL105" si="339">+AL106-AL107</f>
        <v>0</v>
      </c>
      <c r="AM105" s="167">
        <f t="shared" ref="AM105" si="340">+AM106-AM107</f>
        <v>0</v>
      </c>
      <c r="AN105" s="167">
        <f t="shared" ref="AN105" si="341">+AN106-AN107</f>
        <v>0</v>
      </c>
      <c r="AO105" s="167">
        <f t="shared" ref="AO105" si="342">+AO106-AO107</f>
        <v>0</v>
      </c>
      <c r="AP105" s="167">
        <f t="shared" ref="AP105" si="343">+AP106-AP107</f>
        <v>0</v>
      </c>
      <c r="AQ105" s="167">
        <f t="shared" ref="AQ105" si="344">+AQ106-AQ107</f>
        <v>0</v>
      </c>
      <c r="AR105" s="167">
        <f t="shared" ref="AR105" si="345">+AR106-AR107</f>
        <v>-10711.135577345383</v>
      </c>
      <c r="AS105" s="167">
        <f t="shared" ref="AS105" si="346">+AS106-AS107</f>
        <v>-4497.4754436160074</v>
      </c>
      <c r="AT105" s="167">
        <f t="shared" ref="AT105" si="347">+AT106-AT107</f>
        <v>-5856.8360814790576</v>
      </c>
      <c r="AU105" s="167">
        <f t="shared" ref="AU105" si="348">+AU106-AU107</f>
        <v>-6607.5008830751394</v>
      </c>
      <c r="AV105" s="167">
        <f t="shared" ref="AV105" si="349">+AV106-AV107</f>
        <v>-7095.3320812124148</v>
      </c>
      <c r="AW105" s="167">
        <f t="shared" ref="AW105" si="350">+AW106-AW107</f>
        <v>-7735.0040973264404</v>
      </c>
      <c r="AX105" s="167">
        <f t="shared" ref="AX105" si="351">+AX106-AX107</f>
        <v>-8387.6486741457484</v>
      </c>
      <c r="AY105" s="167">
        <f t="shared" ref="AY105" si="352">+AY106-AY107</f>
        <v>-8912.1735315116675</v>
      </c>
      <c r="AZ105" s="167">
        <f t="shared" ref="AZ105" si="353">+AZ106-AZ107</f>
        <v>-9430.2945081716462</v>
      </c>
      <c r="BA105" s="167">
        <f t="shared" ref="BA105" si="354">+BA106-BA107</f>
        <v>-9998.8639849140745</v>
      </c>
      <c r="BB105" s="167">
        <f t="shared" ref="BB105" si="355">+BB106-BB107</f>
        <v>-10578.422860911378</v>
      </c>
    </row>
    <row r="106" spans="1:199" s="346" customFormat="1" x14ac:dyDescent="0.25">
      <c r="A106" s="346" t="s">
        <v>91</v>
      </c>
      <c r="B106" s="346">
        <v>7803</v>
      </c>
      <c r="C106" s="346">
        <v>5272</v>
      </c>
      <c r="D106" s="346">
        <v>7506</v>
      </c>
      <c r="E106" s="346">
        <v>9132</v>
      </c>
      <c r="F106" s="346">
        <v>10129</v>
      </c>
      <c r="G106" s="346">
        <v>9807</v>
      </c>
      <c r="H106" s="346">
        <v>10419</v>
      </c>
      <c r="I106" s="346">
        <v>11648</v>
      </c>
      <c r="J106" s="346">
        <v>11917</v>
      </c>
      <c r="K106" s="346">
        <v>12008</v>
      </c>
      <c r="L106" s="346">
        <v>11747</v>
      </c>
      <c r="M106" s="346">
        <v>12144</v>
      </c>
      <c r="N106" s="346">
        <v>15074</v>
      </c>
      <c r="O106" s="346">
        <v>13997</v>
      </c>
      <c r="P106" s="346">
        <v>12819</v>
      </c>
      <c r="Q106" s="346">
        <v>12059</v>
      </c>
      <c r="R106" s="346">
        <v>14362</v>
      </c>
      <c r="S106" s="346">
        <v>13314</v>
      </c>
      <c r="T106" s="346">
        <v>11322</v>
      </c>
      <c r="U106" s="346">
        <v>13805</v>
      </c>
      <c r="V106" s="346">
        <v>11003</v>
      </c>
      <c r="W106" s="346">
        <v>13311</v>
      </c>
      <c r="X106" s="346">
        <v>14786</v>
      </c>
      <c r="Y106" s="346">
        <v>13001</v>
      </c>
      <c r="Z106" s="346">
        <v>12531</v>
      </c>
      <c r="AA106" s="346">
        <v>16631</v>
      </c>
      <c r="AB106" s="346">
        <v>15956</v>
      </c>
      <c r="AC106" s="346">
        <v>18233</v>
      </c>
      <c r="AD106" s="168">
        <v>12361.325849749002</v>
      </c>
      <c r="AE106" s="168">
        <v>7950.406076046711</v>
      </c>
      <c r="AF106" s="168">
        <v>24110.514909595193</v>
      </c>
      <c r="AG106" s="168">
        <v>-10622.453445611391</v>
      </c>
      <c r="AH106" s="431"/>
      <c r="AI106" s="168">
        <v>7564.876561617697</v>
      </c>
      <c r="AJ106" s="431"/>
      <c r="AK106" s="168"/>
      <c r="AL106" s="168">
        <v>9132</v>
      </c>
      <c r="AM106" s="168">
        <v>11648</v>
      </c>
      <c r="AN106" s="168">
        <v>12144</v>
      </c>
      <c r="AO106" s="168">
        <v>12059</v>
      </c>
      <c r="AP106" s="168">
        <v>13805</v>
      </c>
      <c r="AQ106" s="168">
        <v>13001</v>
      </c>
      <c r="AR106" s="168">
        <v>7521.8644226546166</v>
      </c>
      <c r="AS106" s="168">
        <v>8317.5977055298863</v>
      </c>
      <c r="AT106" s="168">
        <v>7744.8395939131588</v>
      </c>
      <c r="AU106" s="168">
        <v>8249.8113714475912</v>
      </c>
      <c r="AV106" s="168">
        <v>8949.5906624767231</v>
      </c>
      <c r="AW106" s="168">
        <v>9691.1111047374143</v>
      </c>
      <c r="AX106" s="168">
        <v>10441.208269675481</v>
      </c>
      <c r="AY106" s="168">
        <v>11357.922647715954</v>
      </c>
      <c r="AZ106" s="168">
        <v>12285.496852181284</v>
      </c>
      <c r="BA106" s="168">
        <v>13225.284649279827</v>
      </c>
      <c r="BB106" s="168">
        <v>14186.448847715365</v>
      </c>
    </row>
    <row r="107" spans="1:199" s="42" customFormat="1" x14ac:dyDescent="0.25">
      <c r="A107" s="5" t="s">
        <v>316</v>
      </c>
      <c r="B107" s="86">
        <v>7803</v>
      </c>
      <c r="C107" s="86">
        <v>5272</v>
      </c>
      <c r="D107" s="86">
        <v>7506</v>
      </c>
      <c r="E107" s="86">
        <v>9132</v>
      </c>
      <c r="F107" s="86">
        <v>10129</v>
      </c>
      <c r="G107" s="86">
        <v>9807</v>
      </c>
      <c r="H107" s="86">
        <v>10419</v>
      </c>
      <c r="I107" s="86">
        <v>11648</v>
      </c>
      <c r="J107" s="86">
        <v>11917</v>
      </c>
      <c r="K107" s="86">
        <v>12008</v>
      </c>
      <c r="L107" s="86">
        <v>11747</v>
      </c>
      <c r="M107" s="86">
        <v>12144</v>
      </c>
      <c r="N107" s="86">
        <v>15074</v>
      </c>
      <c r="O107" s="86">
        <v>13997</v>
      </c>
      <c r="P107" s="86">
        <v>12819</v>
      </c>
      <c r="Q107" s="86">
        <v>12059</v>
      </c>
      <c r="R107" s="86">
        <v>14362</v>
      </c>
      <c r="S107" s="86">
        <v>13314</v>
      </c>
      <c r="T107" s="86">
        <v>11322</v>
      </c>
      <c r="U107" s="86">
        <v>13805</v>
      </c>
      <c r="V107" s="86">
        <v>11003</v>
      </c>
      <c r="W107" s="86">
        <v>13311</v>
      </c>
      <c r="X107" s="86">
        <v>14786</v>
      </c>
      <c r="Y107" s="86">
        <v>13001</v>
      </c>
      <c r="Z107" s="86">
        <v>12531</v>
      </c>
      <c r="AA107" s="86">
        <v>16631</v>
      </c>
      <c r="AB107" s="86">
        <v>15956</v>
      </c>
      <c r="AC107" s="86">
        <v>18233</v>
      </c>
      <c r="AD107" s="94">
        <f>+AD152</f>
        <v>11889.419253749249</v>
      </c>
      <c r="AE107" s="94">
        <f>+AE152</f>
        <v>12247.350089860869</v>
      </c>
      <c r="AF107" s="94">
        <f>+AF152</f>
        <v>12306.629102889572</v>
      </c>
      <c r="AG107" s="94">
        <f>+AG152</f>
        <v>12815.073149145894</v>
      </c>
      <c r="AH107" s="432"/>
      <c r="AI107" s="94">
        <v>7656.4299811657402</v>
      </c>
      <c r="AJ107" s="432"/>
      <c r="AK107" s="94"/>
      <c r="AL107" s="86">
        <f>+SUMIFS($B107:AF107,$B$4:AF$4,"="&amp;AL$3)</f>
        <v>9132</v>
      </c>
      <c r="AM107" s="86">
        <f>+SUMIFS($B107:AG107,$B$4:AG$4,"="&amp;AM$3)</f>
        <v>11648</v>
      </c>
      <c r="AN107" s="86">
        <f>+SUMIFS($B107:AG107,$B$4:AG$4,"="&amp;AN$3)</f>
        <v>12144</v>
      </c>
      <c r="AO107" s="86">
        <f>+SUMIFS($B107:AG107,$B$4:AG$4,"="&amp;AO$3)</f>
        <v>12059</v>
      </c>
      <c r="AP107" s="86">
        <f>+SUMIFS($B107:AG107,$B$4:AG$4,"="&amp;AP$3)</f>
        <v>13805</v>
      </c>
      <c r="AQ107" s="86">
        <f>+SUMIFS($B107:AG107,$B$4:AG$4,"="&amp;AQ$3)</f>
        <v>13001</v>
      </c>
      <c r="AR107" s="86">
        <f>+SUMIFS($B107:AG107,$B$4:AG$4,"="&amp;AR$3)</f>
        <v>18233</v>
      </c>
      <c r="AS107" s="86">
        <f>+SUMIFS($B107:$AG107,$B$4:$AG$4,"="&amp;AS$3)</f>
        <v>12815.073149145894</v>
      </c>
      <c r="AT107" s="94">
        <f t="shared" ref="AT107:BB107" si="356">+AT152</f>
        <v>13601.675675392216</v>
      </c>
      <c r="AU107" s="94">
        <f t="shared" si="356"/>
        <v>14857.312254522731</v>
      </c>
      <c r="AV107" s="94">
        <f t="shared" si="356"/>
        <v>16044.922743689138</v>
      </c>
      <c r="AW107" s="94">
        <f t="shared" si="356"/>
        <v>17426.115202063855</v>
      </c>
      <c r="AX107" s="94">
        <f t="shared" si="356"/>
        <v>18828.856943821229</v>
      </c>
      <c r="AY107" s="94">
        <f t="shared" si="356"/>
        <v>20270.096179227621</v>
      </c>
      <c r="AZ107" s="94">
        <f t="shared" si="356"/>
        <v>21715.79136035293</v>
      </c>
      <c r="BA107" s="94">
        <f t="shared" si="356"/>
        <v>23224.148634193902</v>
      </c>
      <c r="BB107" s="94">
        <f t="shared" si="356"/>
        <v>24764.871708626742</v>
      </c>
    </row>
    <row r="108" spans="1:199" x14ac:dyDescent="0.25">
      <c r="A108" s="601" t="s">
        <v>322</v>
      </c>
      <c r="B108" s="72"/>
      <c r="C108" s="72"/>
      <c r="D108" s="72"/>
      <c r="E108" s="72"/>
      <c r="F108" s="72"/>
      <c r="G108" s="72"/>
      <c r="H108" s="72"/>
      <c r="I108" s="72"/>
      <c r="J108" s="72"/>
      <c r="K108" s="72"/>
      <c r="L108" s="72"/>
      <c r="M108" s="72"/>
      <c r="N108" s="72"/>
      <c r="O108" s="72"/>
      <c r="P108" s="72"/>
      <c r="Q108" s="72"/>
      <c r="R108" s="72">
        <f>1944+30</f>
        <v>1974</v>
      </c>
      <c r="S108" s="72">
        <v>1972</v>
      </c>
      <c r="T108" s="72">
        <f>1972+27</f>
        <v>1999</v>
      </c>
      <c r="U108" s="72">
        <f>2480+41</f>
        <v>2521</v>
      </c>
      <c r="V108" s="72">
        <f>2126+24</f>
        <v>2150</v>
      </c>
      <c r="W108" s="72">
        <v>1632</v>
      </c>
      <c r="X108" s="72">
        <v>1832</v>
      </c>
      <c r="Y108" s="72">
        <v>2223</v>
      </c>
      <c r="Z108" s="72">
        <v>1794</v>
      </c>
      <c r="AA108" s="72">
        <v>1712</v>
      </c>
      <c r="AB108" s="72">
        <v>1628</v>
      </c>
      <c r="AC108" s="72">
        <v>2173</v>
      </c>
      <c r="AD108" s="41"/>
      <c r="AE108" s="41"/>
      <c r="AF108" s="41"/>
      <c r="AG108" s="41"/>
      <c r="AH108" s="433"/>
      <c r="AI108" s="41"/>
      <c r="AJ108" s="433"/>
      <c r="AK108" s="41"/>
      <c r="AL108" s="72">
        <f>+SUMIFS($B108:AF108,$B$4:AF$4,"="&amp;AL$3)</f>
        <v>0</v>
      </c>
      <c r="AM108" s="72">
        <f>+SUMIFS($B108:AG108,$B$4:AG$4,"="&amp;AM$3)</f>
        <v>0</v>
      </c>
      <c r="AN108" s="72">
        <f>+SUMIFS($B108:AG108,$B$4:AG$4,"="&amp;AN$3)</f>
        <v>0</v>
      </c>
      <c r="AO108" s="72">
        <f>+SUMIFS($B108:AG108,$B$4:AG$4,"="&amp;AO$3)</f>
        <v>0</v>
      </c>
      <c r="AP108" s="72">
        <f>+SUMIFS($B108:AG108,$B$4:AG$4,"="&amp;AP$3)</f>
        <v>2521</v>
      </c>
      <c r="AQ108" s="72">
        <f>+SUMIFS($B108:AG108,$B$4:AG$4,"="&amp;AQ$3)</f>
        <v>2223</v>
      </c>
      <c r="AR108" s="72">
        <f>+SUMIFS($B108:AG108,$B$4:AG$4,"="&amp;AR$3)</f>
        <v>2173</v>
      </c>
      <c r="AS108" s="72">
        <f>+SUMIFS($B108:$AG108,$B$4:$AG$4,"="&amp;AS$3)</f>
        <v>0</v>
      </c>
      <c r="AT108" s="41"/>
      <c r="AU108" s="41"/>
      <c r="AV108" s="41"/>
      <c r="AW108" s="41"/>
      <c r="AX108" s="41"/>
      <c r="AY108" s="41"/>
      <c r="AZ108" s="41"/>
      <c r="BA108" s="41"/>
      <c r="BB108" s="41"/>
    </row>
    <row r="109" spans="1:199" x14ac:dyDescent="0.25">
      <c r="A109" s="601" t="s">
        <v>315</v>
      </c>
      <c r="B109" s="41"/>
      <c r="C109" s="41"/>
      <c r="D109" s="41"/>
      <c r="E109" s="41"/>
      <c r="F109" s="41"/>
      <c r="G109" s="41"/>
      <c r="H109" s="41"/>
      <c r="I109" s="41"/>
      <c r="J109" s="41"/>
      <c r="K109" s="41"/>
      <c r="L109" s="41"/>
      <c r="M109" s="41"/>
      <c r="N109" s="41"/>
      <c r="O109" s="41"/>
      <c r="P109" s="41"/>
      <c r="Q109" s="41"/>
      <c r="R109" s="41">
        <f t="shared" ref="R109:AC109" si="357">+R107-R108</f>
        <v>12388</v>
      </c>
      <c r="S109" s="41">
        <f t="shared" si="357"/>
        <v>11342</v>
      </c>
      <c r="T109" s="41">
        <f t="shared" si="357"/>
        <v>9323</v>
      </c>
      <c r="U109" s="41">
        <f t="shared" si="357"/>
        <v>11284</v>
      </c>
      <c r="V109" s="41">
        <f t="shared" si="357"/>
        <v>8853</v>
      </c>
      <c r="W109" s="41">
        <f t="shared" si="357"/>
        <v>11679</v>
      </c>
      <c r="X109" s="41">
        <f t="shared" si="357"/>
        <v>12954</v>
      </c>
      <c r="Y109" s="41">
        <f t="shared" si="357"/>
        <v>10778</v>
      </c>
      <c r="Z109" s="41">
        <f t="shared" si="357"/>
        <v>10737</v>
      </c>
      <c r="AA109" s="41">
        <f t="shared" si="357"/>
        <v>14919</v>
      </c>
      <c r="AB109" s="41">
        <f t="shared" si="357"/>
        <v>14328</v>
      </c>
      <c r="AC109" s="41">
        <f t="shared" si="357"/>
        <v>16060</v>
      </c>
      <c r="AD109" s="41"/>
      <c r="AE109" s="41"/>
      <c r="AF109" s="41"/>
      <c r="AG109" s="41"/>
      <c r="AH109" s="433"/>
      <c r="AI109" s="41"/>
      <c r="AJ109" s="433"/>
      <c r="AK109" s="41"/>
      <c r="AL109" s="41">
        <f>+SUMIFS($B109:AF109,$B$4:AF$4,"="&amp;AL$3)</f>
        <v>0</v>
      </c>
      <c r="AM109" s="41">
        <f>+SUMIFS($B109:AG109,$B$4:AG$4,"="&amp;AM$3)</f>
        <v>0</v>
      </c>
      <c r="AN109" s="41">
        <f>+SUMIFS($B109:AG109,$B$4:AG$4,"="&amp;AN$3)</f>
        <v>0</v>
      </c>
      <c r="AO109" s="41">
        <f>+SUMIFS($B109:AG109,$B$4:AG$4,"="&amp;AO$3)</f>
        <v>0</v>
      </c>
      <c r="AP109" s="41">
        <f>+SUMIFS($B109:AG109,$B$4:AG$4,"="&amp;AP$3)</f>
        <v>11284</v>
      </c>
      <c r="AQ109" s="41">
        <f>+SUMIFS($B109:AG109,$B$4:AG$4,"="&amp;AQ$3)</f>
        <v>10778</v>
      </c>
      <c r="AR109" s="41">
        <f>+SUMIFS($B109:AG109,$B$4:AG$4,"="&amp;AR$3)</f>
        <v>16060</v>
      </c>
      <c r="AS109" s="41">
        <f>+SUMIFS($B109:$AG109,$B$4:$AG$4,"="&amp;AS$3)</f>
        <v>0</v>
      </c>
      <c r="AT109" s="41"/>
      <c r="AU109" s="41"/>
      <c r="AV109" s="41"/>
      <c r="AW109" s="41"/>
      <c r="AX109" s="41"/>
      <c r="AY109" s="41"/>
      <c r="AZ109" s="41"/>
      <c r="BA109" s="41"/>
      <c r="BB109" s="41"/>
    </row>
    <row r="110" spans="1:199" x14ac:dyDescent="0.25">
      <c r="AB110" s="43"/>
      <c r="AC110" s="43"/>
    </row>
    <row r="111" spans="1:199" x14ac:dyDescent="0.25">
      <c r="AB111" s="43"/>
      <c r="AC111" s="43"/>
    </row>
    <row r="112" spans="1:199" x14ac:dyDescent="0.25">
      <c r="AB112" s="43"/>
      <c r="AC112" s="43"/>
    </row>
    <row r="113" spans="1:54" x14ac:dyDescent="0.25">
      <c r="A113" s="5" t="s">
        <v>321</v>
      </c>
      <c r="B113" s="87">
        <f t="shared" ref="B113:Y113" si="358">+B116+B118</f>
        <v>92629</v>
      </c>
      <c r="C113" s="87">
        <f t="shared" si="358"/>
        <v>97891</v>
      </c>
      <c r="D113" s="87">
        <f t="shared" si="358"/>
        <v>98181</v>
      </c>
      <c r="E113" s="87">
        <f t="shared" si="358"/>
        <v>99718</v>
      </c>
      <c r="F113" s="87">
        <f t="shared" si="358"/>
        <v>103351</v>
      </c>
      <c r="G113" s="87">
        <f t="shared" si="358"/>
        <v>99090</v>
      </c>
      <c r="H113" s="87">
        <f t="shared" si="358"/>
        <v>97610</v>
      </c>
      <c r="I113" s="87">
        <f t="shared" si="358"/>
        <v>99822</v>
      </c>
      <c r="J113" s="87">
        <f t="shared" si="358"/>
        <v>101757</v>
      </c>
      <c r="K113" s="87">
        <f t="shared" si="358"/>
        <v>106264</v>
      </c>
      <c r="L113" s="87">
        <f t="shared" si="358"/>
        <v>106491</v>
      </c>
      <c r="M113" s="87">
        <f t="shared" si="358"/>
        <v>106757</v>
      </c>
      <c r="N113" s="87">
        <f t="shared" si="358"/>
        <v>115297</v>
      </c>
      <c r="O113" s="87">
        <f t="shared" si="358"/>
        <v>124257</v>
      </c>
      <c r="P113" s="87">
        <f t="shared" si="358"/>
        <v>125519</v>
      </c>
      <c r="Q113" s="87">
        <f t="shared" si="358"/>
        <v>126329</v>
      </c>
      <c r="R113" s="87">
        <f t="shared" si="358"/>
        <v>136840</v>
      </c>
      <c r="S113" s="87">
        <f t="shared" si="358"/>
        <v>148966</v>
      </c>
      <c r="T113" s="87">
        <f t="shared" si="358"/>
        <v>151719</v>
      </c>
      <c r="U113" s="87">
        <f t="shared" si="358"/>
        <v>150317</v>
      </c>
      <c r="V113" s="87">
        <f t="shared" si="358"/>
        <v>157509</v>
      </c>
      <c r="W113" s="87">
        <f t="shared" si="358"/>
        <v>163644</v>
      </c>
      <c r="X113" s="87">
        <f t="shared" si="358"/>
        <v>168555</v>
      </c>
      <c r="Y113" s="87">
        <f t="shared" si="358"/>
        <v>168064</v>
      </c>
      <c r="Z113" s="87">
        <f t="shared" ref="Z113:AA113" si="359">+Z116+Z118</f>
        <v>176464</v>
      </c>
      <c r="AA113" s="87">
        <f t="shared" si="359"/>
        <v>174521</v>
      </c>
      <c r="AB113" s="87">
        <f t="shared" ref="AB113:AC113" si="360">+AB116+AB118</f>
        <v>183237</v>
      </c>
      <c r="AC113" s="87">
        <f t="shared" si="360"/>
        <v>190547</v>
      </c>
      <c r="AD113" s="367">
        <f t="shared" ref="AD113:AG113" si="361">+AD115*AD5</f>
        <v>188759.51611569009</v>
      </c>
      <c r="AE113" s="367">
        <f t="shared" si="361"/>
        <v>191391.70254137236</v>
      </c>
      <c r="AF113" s="367">
        <f t="shared" si="361"/>
        <v>200305.51099869207</v>
      </c>
      <c r="AG113" s="367">
        <f t="shared" si="361"/>
        <v>200714.98920876364</v>
      </c>
      <c r="AH113" s="367"/>
      <c r="AI113" s="367">
        <v>182932.24235868285</v>
      </c>
      <c r="AJ113" s="367"/>
      <c r="AL113" s="87">
        <f>+SUMIFS($B113:AF113,$B$4:AF$4,"="&amp;AL$3)</f>
        <v>99718</v>
      </c>
      <c r="AM113" s="87">
        <f>+SUMIFS($B113:AG113,$B$4:AG$4,"="&amp;AM$3)</f>
        <v>99822</v>
      </c>
      <c r="AN113" s="87">
        <f>+SUMIFS($B113:AG113,$B$4:AG$4,"="&amp;AN$3)</f>
        <v>106757</v>
      </c>
      <c r="AO113" s="87">
        <f>+SUMIFS($B113:AG113,$B$4:AG$4,"="&amp;AO$3)</f>
        <v>126329</v>
      </c>
      <c r="AP113" s="87">
        <f>+SUMIFS($B113:AG113,$B$4:AG$4,"="&amp;AP$3)</f>
        <v>150317</v>
      </c>
      <c r="AQ113" s="87">
        <f>+SUMIFS($B113:AG113,$B$4:AG$4,"="&amp;AQ$3)</f>
        <v>168064</v>
      </c>
      <c r="AR113" s="87">
        <f>+SUMIFS($B113:AG113,$B$4:AG$4,"="&amp;AR$3)</f>
        <v>190547</v>
      </c>
      <c r="AS113" s="87">
        <f>+SUMIFS($B113:$AG113,$B$4:$AG$4,"="&amp;AS$3)</f>
        <v>200714.98920876364</v>
      </c>
      <c r="AT113" s="367">
        <f t="shared" ref="AT113:BB113" si="362">+AT115*AT5</f>
        <v>219707.73184011632</v>
      </c>
      <c r="AU113" s="367">
        <f t="shared" si="362"/>
        <v>233681.5360966436</v>
      </c>
      <c r="AV113" s="367">
        <f t="shared" si="362"/>
        <v>248552.9425292839</v>
      </c>
      <c r="AW113" s="367">
        <f t="shared" si="362"/>
        <v>264493.07294466655</v>
      </c>
      <c r="AX113" s="367">
        <f t="shared" si="362"/>
        <v>281614.34937990329</v>
      </c>
      <c r="AY113" s="367">
        <f t="shared" si="362"/>
        <v>296105.85481218016</v>
      </c>
      <c r="AZ113" s="367">
        <f t="shared" si="362"/>
        <v>311440.74870104395</v>
      </c>
      <c r="BA113" s="367">
        <f t="shared" si="362"/>
        <v>327693.30780656758</v>
      </c>
      <c r="BB113" s="367">
        <f t="shared" si="362"/>
        <v>344919.031059334</v>
      </c>
    </row>
    <row r="114" spans="1:54" s="42" customFormat="1" x14ac:dyDescent="0.25">
      <c r="A114" s="42" t="s">
        <v>2</v>
      </c>
      <c r="B114" s="39"/>
      <c r="C114" s="39"/>
      <c r="D114" s="39"/>
      <c r="E114" s="39"/>
      <c r="F114" s="365">
        <f>+F113/B113-1</f>
        <v>0.11575208627967482</v>
      </c>
      <c r="G114" s="365">
        <f t="shared" ref="G114" si="363">+G113/C113-1</f>
        <v>1.2248317005649101E-2</v>
      </c>
      <c r="H114" s="365">
        <f t="shared" ref="H114" si="364">+H113/D113-1</f>
        <v>-5.8157892056507343E-3</v>
      </c>
      <c r="I114" s="365">
        <f t="shared" ref="I114" si="365">+I113/E113-1</f>
        <v>1.0429410938848083E-3</v>
      </c>
      <c r="J114" s="365">
        <f t="shared" ref="J114" si="366">+J113/F113-1</f>
        <v>-1.5423169587135077E-2</v>
      </c>
      <c r="K114" s="365">
        <f t="shared" ref="K114" si="367">+K113/G113-1</f>
        <v>7.2398829347058324E-2</v>
      </c>
      <c r="L114" s="365">
        <f t="shared" ref="L114" si="368">+L113/H113-1</f>
        <v>9.0984530273537478E-2</v>
      </c>
      <c r="M114" s="365">
        <f t="shared" ref="M114" si="369">+M113/I113-1</f>
        <v>6.9473663120354301E-2</v>
      </c>
      <c r="N114" s="365">
        <f t="shared" ref="N114" si="370">+N113/J113-1</f>
        <v>0.13306209892194154</v>
      </c>
      <c r="O114" s="365">
        <f t="shared" ref="O114" si="371">+O113/K113-1</f>
        <v>0.16932357148234578</v>
      </c>
      <c r="P114" s="365">
        <f t="shared" ref="P114" si="372">+P113/L113-1</f>
        <v>0.17868176653426104</v>
      </c>
      <c r="Q114" s="365">
        <f t="shared" ref="Q114" si="373">+Q113/M113-1</f>
        <v>0.18333224050881913</v>
      </c>
      <c r="R114" s="365">
        <f t="shared" ref="R114" si="374">+R113/N113-1</f>
        <v>0.18684787982341255</v>
      </c>
      <c r="S114" s="365">
        <f t="shared" ref="S114" si="375">+S113/O113-1</f>
        <v>0.19885398810529797</v>
      </c>
      <c r="T114" s="365">
        <f t="shared" ref="T114" si="376">+T113/P113-1</f>
        <v>0.20873333917574222</v>
      </c>
      <c r="U114" s="365">
        <f t="shared" ref="U114" si="377">+U113/Q113-1</f>
        <v>0.18988514117898503</v>
      </c>
      <c r="V114" s="365">
        <f t="shared" ref="V114" si="378">+V113/R113-1</f>
        <v>0.15104501607717036</v>
      </c>
      <c r="W114" s="365">
        <f t="shared" ref="W114" si="379">+W113/S113-1</f>
        <v>9.8532551051917938E-2</v>
      </c>
      <c r="X114" s="365">
        <f t="shared" ref="X114" si="380">+X113/T113-1</f>
        <v>0.11096830324481433</v>
      </c>
      <c r="Y114" s="365">
        <f t="shared" ref="Y114:AC114" si="381">+Y113/U113-1</f>
        <v>0.11806382511625424</v>
      </c>
      <c r="Z114" s="365">
        <f t="shared" si="381"/>
        <v>0.1203423296446553</v>
      </c>
      <c r="AA114" s="365">
        <f t="shared" si="381"/>
        <v>6.6467453741047677E-2</v>
      </c>
      <c r="AB114" s="365">
        <f t="shared" si="381"/>
        <v>8.7105099225772031E-2</v>
      </c>
      <c r="AC114" s="365">
        <f t="shared" si="381"/>
        <v>0.13377641850723543</v>
      </c>
      <c r="AD114" s="365">
        <f t="shared" ref="AD114" si="382">+AD113/Z113-1</f>
        <v>6.9677192604101101E-2</v>
      </c>
      <c r="AE114" s="365">
        <f t="shared" ref="AE114" si="383">+AE113/AA113-1</f>
        <v>9.6668610318370707E-2</v>
      </c>
      <c r="AF114" s="365">
        <f t="shared" ref="AF114" si="384">+AF113/AB113-1</f>
        <v>9.3149915130088745E-2</v>
      </c>
      <c r="AG114" s="365">
        <f t="shared" ref="AG114" si="385">+AG113/AC113-1</f>
        <v>5.3362105983109975E-2</v>
      </c>
      <c r="AH114" s="414"/>
      <c r="AI114" s="365">
        <v>8.8467740614782686E-2</v>
      </c>
      <c r="AJ114" s="414"/>
      <c r="AK114" s="39"/>
      <c r="AL114" s="39"/>
      <c r="AM114" s="365">
        <f>+AM113/AL113-1</f>
        <v>1.0429410938848083E-3</v>
      </c>
      <c r="AN114" s="365">
        <f t="shared" ref="AN114" si="386">+AN113/AM113-1</f>
        <v>6.9473663120354301E-2</v>
      </c>
      <c r="AO114" s="365">
        <f t="shared" ref="AO114" si="387">+AO113/AN113-1</f>
        <v>0.18333224050881913</v>
      </c>
      <c r="AP114" s="365">
        <f t="shared" ref="AP114" si="388">+AP113/AO113-1</f>
        <v>0.18988514117898503</v>
      </c>
      <c r="AQ114" s="365">
        <f t="shared" ref="AQ114" si="389">+AQ113/AP113-1</f>
        <v>0.11806382511625424</v>
      </c>
      <c r="AR114" s="365">
        <f t="shared" ref="AR114" si="390">+AR113/AQ113-1</f>
        <v>0.13377641850723543</v>
      </c>
      <c r="AS114" s="365">
        <f t="shared" ref="AS114" si="391">+AS113/AR113-1</f>
        <v>5.3362105983109975E-2</v>
      </c>
      <c r="AT114" s="365">
        <f t="shared" ref="AT114" si="392">+AT113/AS113-1</f>
        <v>9.4625432341768567E-2</v>
      </c>
      <c r="AU114" s="365">
        <f t="shared" ref="AU114" si="393">+AU113/AT113-1</f>
        <v>6.3601786516535253E-2</v>
      </c>
      <c r="AV114" s="365">
        <f t="shared" ref="AV114" si="394">+AV113/AU113-1</f>
        <v>6.3639629733048153E-2</v>
      </c>
      <c r="AW114" s="365">
        <f t="shared" ref="AW114" si="395">+AW113/AV113-1</f>
        <v>6.4131730862549086E-2</v>
      </c>
      <c r="AX114" s="365">
        <f t="shared" ref="AX114" si="396">+AX113/AW113-1</f>
        <v>6.4732419055899548E-2</v>
      </c>
      <c r="AY114" s="365">
        <f t="shared" ref="AY114" si="397">+AY113/AX113-1</f>
        <v>5.1458689744277031E-2</v>
      </c>
      <c r="AZ114" s="365">
        <f t="shared" ref="AZ114" si="398">+AZ113/AY113-1</f>
        <v>5.1788553450220487E-2</v>
      </c>
      <c r="BA114" s="365">
        <f t="shared" ref="BA114" si="399">+BA113/AZ113-1</f>
        <v>5.218507588782062E-2</v>
      </c>
      <c r="BB114" s="365">
        <f t="shared" ref="BB114" si="400">+BB113/BA113-1</f>
        <v>5.2566600667153462E-2</v>
      </c>
    </row>
    <row r="115" spans="1:54" x14ac:dyDescent="0.25">
      <c r="A115" s="39" t="s">
        <v>94</v>
      </c>
      <c r="B115" s="365">
        <f t="shared" ref="B115:AA115" si="401">+B113/B5</f>
        <v>0.9229489248918914</v>
      </c>
      <c r="C115" s="365">
        <f t="shared" si="401"/>
        <v>0.93689942957773442</v>
      </c>
      <c r="D115" s="365">
        <f t="shared" si="401"/>
        <v>0.9263144984008076</v>
      </c>
      <c r="E115" s="365">
        <f t="shared" si="401"/>
        <v>0.94271911663216013</v>
      </c>
      <c r="F115" s="365">
        <f t="shared" si="401"/>
        <v>0.9301850451812651</v>
      </c>
      <c r="G115" s="365">
        <f t="shared" si="401"/>
        <v>0.90592430060340101</v>
      </c>
      <c r="H115" s="365">
        <f t="shared" si="401"/>
        <v>0.8951760821716801</v>
      </c>
      <c r="I115" s="365">
        <f t="shared" si="401"/>
        <v>0.9244061675232671</v>
      </c>
      <c r="J115" s="365">
        <f t="shared" si="401"/>
        <v>0.9233344826960419</v>
      </c>
      <c r="K115" s="365">
        <f t="shared" si="401"/>
        <v>0.94871794871794868</v>
      </c>
      <c r="L115" s="365">
        <f t="shared" si="401"/>
        <v>0.94490683229813666</v>
      </c>
      <c r="M115" s="365">
        <f t="shared" si="401"/>
        <v>0.92656529361731677</v>
      </c>
      <c r="N115" s="365">
        <f t="shared" si="401"/>
        <v>0.97292120230199319</v>
      </c>
      <c r="O115" s="365">
        <f t="shared" si="401"/>
        <v>1.0264847047938472</v>
      </c>
      <c r="P115" s="365">
        <f t="shared" si="401"/>
        <v>1.0167598217901985</v>
      </c>
      <c r="Q115" s="365">
        <f t="shared" si="401"/>
        <v>0.94209286023237426</v>
      </c>
      <c r="R115" s="365">
        <f t="shared" si="401"/>
        <v>0.97572801688485777</v>
      </c>
      <c r="S115" s="365">
        <f t="shared" si="401"/>
        <v>1.0367828731704261</v>
      </c>
      <c r="T115" s="365">
        <f t="shared" si="401"/>
        <v>1.0211679028632197</v>
      </c>
      <c r="U115" s="365">
        <f t="shared" si="401"/>
        <v>0.98781633819847403</v>
      </c>
      <c r="V115" s="365">
        <f t="shared" si="401"/>
        <v>1.0005081655857562</v>
      </c>
      <c r="W115" s="365">
        <f t="shared" si="401"/>
        <v>1.003840066741096</v>
      </c>
      <c r="X115" s="365">
        <f t="shared" si="401"/>
        <v>1.0032259408498152</v>
      </c>
      <c r="Y115" s="365">
        <f t="shared" si="401"/>
        <v>0.96524710679723169</v>
      </c>
      <c r="Z115" s="365">
        <f t="shared" si="401"/>
        <v>0.99201169294769087</v>
      </c>
      <c r="AA115" s="365">
        <f t="shared" si="401"/>
        <v>0.96693963033553476</v>
      </c>
      <c r="AB115" s="365">
        <f t="shared" ref="AB115:AC115" si="402">+AB113/AB5</f>
        <v>0.99144027399780321</v>
      </c>
      <c r="AC115" s="365">
        <f t="shared" si="402"/>
        <v>1.0142060273155984</v>
      </c>
      <c r="AD115" s="366">
        <v>0.99</v>
      </c>
      <c r="AE115" s="366">
        <v>0.99</v>
      </c>
      <c r="AF115" s="366">
        <v>0.99</v>
      </c>
      <c r="AG115" s="366">
        <v>0.99</v>
      </c>
      <c r="AH115" s="434"/>
      <c r="AI115" s="366">
        <v>0.96524710679723169</v>
      </c>
      <c r="AJ115" s="434"/>
      <c r="AL115" s="365">
        <f t="shared" ref="AL115:AS115" si="403">+AL113/AL5</f>
        <v>0.94271911663216013</v>
      </c>
      <c r="AM115" s="365">
        <f t="shared" si="403"/>
        <v>0.9244061675232671</v>
      </c>
      <c r="AN115" s="365">
        <f t="shared" si="403"/>
        <v>0.92656529361731677</v>
      </c>
      <c r="AO115" s="365">
        <f t="shared" si="403"/>
        <v>0.94209286023237426</v>
      </c>
      <c r="AP115" s="365">
        <f t="shared" si="403"/>
        <v>0.98781633819847403</v>
      </c>
      <c r="AQ115" s="365">
        <f t="shared" si="403"/>
        <v>0.96524710679723169</v>
      </c>
      <c r="AR115" s="365">
        <f t="shared" si="403"/>
        <v>1.0142060273155984</v>
      </c>
      <c r="AS115" s="365">
        <f t="shared" si="403"/>
        <v>0.99</v>
      </c>
      <c r="AT115" s="366">
        <f>+AS115</f>
        <v>0.99</v>
      </c>
      <c r="AU115" s="366">
        <f t="shared" ref="AU115:BB115" si="404">+AT115</f>
        <v>0.99</v>
      </c>
      <c r="AV115" s="366">
        <f t="shared" si="404"/>
        <v>0.99</v>
      </c>
      <c r="AW115" s="366">
        <f t="shared" si="404"/>
        <v>0.99</v>
      </c>
      <c r="AX115" s="366">
        <f t="shared" si="404"/>
        <v>0.99</v>
      </c>
      <c r="AY115" s="366">
        <f t="shared" si="404"/>
        <v>0.99</v>
      </c>
      <c r="AZ115" s="366">
        <f t="shared" si="404"/>
        <v>0.99</v>
      </c>
      <c r="BA115" s="366">
        <f t="shared" si="404"/>
        <v>0.99</v>
      </c>
      <c r="BB115" s="366">
        <f t="shared" si="404"/>
        <v>0.99</v>
      </c>
    </row>
    <row r="116" spans="1:54" x14ac:dyDescent="0.25">
      <c r="A116" s="22" t="s">
        <v>92</v>
      </c>
      <c r="B116" s="72">
        <v>37260</v>
      </c>
      <c r="C116" s="72">
        <v>37663</v>
      </c>
      <c r="D116" s="72">
        <v>38259</v>
      </c>
      <c r="E116" s="72">
        <v>39947</v>
      </c>
      <c r="F116" s="72">
        <v>44895</v>
      </c>
      <c r="G116" s="72">
        <v>44836</v>
      </c>
      <c r="H116" s="72">
        <v>46449</v>
      </c>
      <c r="I116" s="72">
        <v>48159</v>
      </c>
      <c r="J116" s="72">
        <v>53380</v>
      </c>
      <c r="K116" s="72">
        <v>58659</v>
      </c>
      <c r="L116" s="72">
        <v>61079</v>
      </c>
      <c r="M116" s="72">
        <v>61785</v>
      </c>
      <c r="N116" s="72">
        <v>70785</v>
      </c>
      <c r="O116" s="72">
        <v>75949</v>
      </c>
      <c r="P116" s="72">
        <v>71760</v>
      </c>
      <c r="Q116" s="72">
        <v>72024</v>
      </c>
      <c r="R116" s="72">
        <v>74474</v>
      </c>
      <c r="S116" s="72">
        <v>73829</v>
      </c>
      <c r="T116" s="72">
        <v>70700</v>
      </c>
      <c r="U116" s="72">
        <v>74696</v>
      </c>
      <c r="V116" s="72">
        <v>72629</v>
      </c>
      <c r="W116" s="72">
        <v>77522</v>
      </c>
      <c r="X116" s="72">
        <v>75049</v>
      </c>
      <c r="Y116" s="72">
        <v>76695</v>
      </c>
      <c r="Z116" s="72">
        <v>79983</v>
      </c>
      <c r="AA116" s="72">
        <v>82269</v>
      </c>
      <c r="AB116" s="72">
        <v>81687</v>
      </c>
      <c r="AC116" s="72">
        <v>87162</v>
      </c>
      <c r="AD116" s="46">
        <f t="shared" ref="AD116:AG116" si="405">+AC116*(1+AD$1)</f>
        <v>87927.792749494387</v>
      </c>
      <c r="AE116" s="46">
        <f t="shared" si="405"/>
        <v>88713.804449470452</v>
      </c>
      <c r="AF116" s="46">
        <f t="shared" si="405"/>
        <v>88990.4249657482</v>
      </c>
      <c r="AG116" s="46">
        <f t="shared" si="405"/>
        <v>90212.670000000013</v>
      </c>
      <c r="AH116" s="46"/>
      <c r="AI116" s="46">
        <v>92946.281327160512</v>
      </c>
      <c r="AJ116" s="46"/>
      <c r="AL116" s="72">
        <f>+SUMIFS($B116:AF116,$B$4:AF$4,"="&amp;AL$3)</f>
        <v>39947</v>
      </c>
      <c r="AM116" s="72">
        <f>+SUMIFS($B116:AG116,$B$4:AG$4,"="&amp;AM$3)</f>
        <v>48159</v>
      </c>
      <c r="AN116" s="72">
        <f>+SUMIFS($B116:AG116,$B$4:AG$4,"="&amp;AN$3)</f>
        <v>61785</v>
      </c>
      <c r="AO116" s="72">
        <f>+SUMIFS($B116:AG116,$B$4:AG$4,"="&amp;AO$3)</f>
        <v>72024</v>
      </c>
      <c r="AP116" s="72">
        <f>+SUMIFS($B116:AG116,$B$4:AG$4,"="&amp;AP$3)</f>
        <v>74696</v>
      </c>
      <c r="AQ116" s="72">
        <f>+SUMIFS($B116:AG116,$B$4:AG$4,"="&amp;AQ$3)</f>
        <v>76695</v>
      </c>
      <c r="AR116" s="72">
        <f>+SUMIFS($B116:AG116,$B$4:AG$4,"="&amp;AR$3)</f>
        <v>87162</v>
      </c>
      <c r="AS116" s="72">
        <f>+SUMIFS($B116:$AG116,$B$4:$AG$4,"="&amp;AS$3)</f>
        <v>90212.670000000013</v>
      </c>
      <c r="AT116" s="46">
        <f t="shared" ref="AT116:BB116" si="406">+AS116*(1+AT$1)</f>
        <v>93370.113450000019</v>
      </c>
      <c r="AU116" s="46">
        <f t="shared" si="406"/>
        <v>96638.067420750027</v>
      </c>
      <c r="AV116" s="46">
        <f t="shared" si="406"/>
        <v>100020.39978047629</v>
      </c>
      <c r="AW116" s="46">
        <f t="shared" si="406"/>
        <v>103521.11377279297</v>
      </c>
      <c r="AX116" s="46">
        <f t="shared" si="406"/>
        <v>107144.35275484074</v>
      </c>
      <c r="AY116" s="46">
        <f t="shared" si="406"/>
        <v>110894.40510126018</v>
      </c>
      <c r="AZ116" s="46">
        <f t="shared" si="406"/>
        <v>114775.7092798043</v>
      </c>
      <c r="BA116" s="46">
        <f t="shared" si="406"/>
        <v>118792.85910459748</v>
      </c>
      <c r="BB116" s="46">
        <f t="shared" si="406"/>
        <v>122950.6091732584</v>
      </c>
    </row>
    <row r="117" spans="1:54" x14ac:dyDescent="0.25">
      <c r="A117" s="22" t="s">
        <v>95</v>
      </c>
      <c r="N117" s="88">
        <v>1.4999999999999999E-2</v>
      </c>
      <c r="O117" s="88">
        <v>2.1999999999999999E-2</v>
      </c>
      <c r="P117" s="88">
        <v>2.1000000000000001E-2</v>
      </c>
      <c r="Q117" s="88">
        <v>0.02</v>
      </c>
      <c r="R117" s="88">
        <v>2.3E-2</v>
      </c>
      <c r="S117" s="88">
        <v>2.5999999999999999E-2</v>
      </c>
      <c r="T117" s="88">
        <v>2.4E-2</v>
      </c>
      <c r="U117" s="88">
        <v>1.6E-2</v>
      </c>
      <c r="V117" s="89">
        <v>2.1000000000000001E-2</v>
      </c>
      <c r="W117" s="89">
        <v>0.02</v>
      </c>
      <c r="X117" s="89">
        <v>0.02</v>
      </c>
      <c r="Y117" s="89">
        <v>1.7000000000000001E-2</v>
      </c>
      <c r="Z117" s="89">
        <v>1.9E-2</v>
      </c>
      <c r="AA117" s="89">
        <v>1.7000000000000001E-2</v>
      </c>
      <c r="AB117" s="89">
        <v>1.6E-2</v>
      </c>
      <c r="AC117" s="89">
        <v>1.2999999999999999E-2</v>
      </c>
      <c r="AD117" s="85">
        <v>0.01</v>
      </c>
      <c r="AE117" s="85">
        <v>0.01</v>
      </c>
      <c r="AF117" s="85">
        <f t="shared" ref="AF117" si="407">+AE117</f>
        <v>0.01</v>
      </c>
      <c r="AG117" s="85">
        <f t="shared" ref="AG117" si="408">+AF117</f>
        <v>0.01</v>
      </c>
      <c r="AH117" s="85"/>
      <c r="AI117" s="85">
        <v>1.6E-2</v>
      </c>
      <c r="AJ117" s="486">
        <f>+AB117-AI117</f>
        <v>0</v>
      </c>
      <c r="AL117" s="89"/>
      <c r="AM117" s="89" t="e">
        <f>+AVERAGEIFS($B117:AG117,$B$4:AG$4,"&lt;="&amp;AM$3,$B$4:AG$4,"&gt;"&amp;AL$3)</f>
        <v>#DIV/0!</v>
      </c>
      <c r="AN117" s="89" t="e">
        <f>+AVERAGEIFS($B117:AG117,$B$4:AG$4,"&lt;="&amp;AN$3,$B$4:AG$4,"&gt;"&amp;AM$3)</f>
        <v>#DIV/0!</v>
      </c>
      <c r="AO117" s="89">
        <f>+AVERAGEIFS($B117:AG117,$B$4:AG$4,"&lt;="&amp;AO$3,$B$4:AG$4,"&gt;"&amp;AN$3)</f>
        <v>1.95E-2</v>
      </c>
      <c r="AP117" s="89">
        <f>+AVERAGEIFS($B117:AG117,$B$4:AG$4,"&lt;="&amp;AP$3,$B$4:AG$4,"&gt;"&amp;AO$3)</f>
        <v>2.2250000000000002E-2</v>
      </c>
      <c r="AQ117" s="89">
        <f>+AVERAGEIFS($B117:AG117,$B$4:AG$4,"&lt;="&amp;AQ$3,$B$4:AG$4,"&gt;"&amp;AP$3)</f>
        <v>1.95E-2</v>
      </c>
      <c r="AR117" s="89">
        <f>+AVERAGEIFS($B117:AG117,$B$4:AG$4,"&lt;="&amp;AR$3,$B$4:AG$4,"&gt;"&amp;AQ$3)</f>
        <v>1.6250000000000001E-2</v>
      </c>
      <c r="AS117" s="89">
        <f>+AVERAGEIFS($B117:$AG117,$B$4:$AG$4,"&lt;="&amp;AS$3,$B$4:$AG$4,"&gt;"&amp;AR$3)</f>
        <v>0.01</v>
      </c>
      <c r="AT117" s="85">
        <f t="shared" ref="AT117" si="409">+AS117</f>
        <v>0.01</v>
      </c>
      <c r="AU117" s="85">
        <f t="shared" ref="AU117" si="410">+AT117</f>
        <v>0.01</v>
      </c>
      <c r="AV117" s="85">
        <f t="shared" ref="AV117" si="411">+AU117</f>
        <v>0.01</v>
      </c>
      <c r="AW117" s="85">
        <f t="shared" ref="AW117" si="412">+AV117</f>
        <v>0.01</v>
      </c>
      <c r="AX117" s="85">
        <f t="shared" ref="AX117" si="413">+AW117</f>
        <v>0.01</v>
      </c>
      <c r="AY117" s="85">
        <f t="shared" ref="AY117" si="414">+AX117</f>
        <v>0.01</v>
      </c>
      <c r="AZ117" s="85">
        <f t="shared" ref="AZ117" si="415">+AY117</f>
        <v>0.01</v>
      </c>
      <c r="BA117" s="85">
        <f t="shared" ref="BA117" si="416">+AZ117</f>
        <v>0.01</v>
      </c>
      <c r="BB117" s="85">
        <f t="shared" ref="BB117" si="417">+BA117</f>
        <v>0.01</v>
      </c>
    </row>
    <row r="118" spans="1:54" x14ac:dyDescent="0.25">
      <c r="A118" s="22" t="s">
        <v>96</v>
      </c>
      <c r="B118" s="72">
        <v>55369</v>
      </c>
      <c r="C118" s="72">
        <v>60228</v>
      </c>
      <c r="D118" s="72">
        <v>59922</v>
      </c>
      <c r="E118" s="72">
        <v>59771</v>
      </c>
      <c r="F118" s="72">
        <v>58456</v>
      </c>
      <c r="G118" s="72">
        <v>54254</v>
      </c>
      <c r="H118" s="72">
        <v>51161</v>
      </c>
      <c r="I118" s="72">
        <v>51663</v>
      </c>
      <c r="J118" s="72">
        <v>48377</v>
      </c>
      <c r="K118" s="72">
        <v>47605</v>
      </c>
      <c r="L118" s="72">
        <v>45412</v>
      </c>
      <c r="M118" s="72">
        <v>44972</v>
      </c>
      <c r="N118" s="72">
        <v>44512</v>
      </c>
      <c r="O118" s="72">
        <v>48308</v>
      </c>
      <c r="P118" s="72">
        <v>53759</v>
      </c>
      <c r="Q118" s="72">
        <v>54305</v>
      </c>
      <c r="R118" s="72">
        <v>62366</v>
      </c>
      <c r="S118" s="72">
        <v>75137</v>
      </c>
      <c r="T118" s="72">
        <v>81019</v>
      </c>
      <c r="U118" s="72">
        <v>75621</v>
      </c>
      <c r="V118" s="72">
        <v>84880</v>
      </c>
      <c r="W118" s="72">
        <v>86122</v>
      </c>
      <c r="X118" s="72">
        <v>93506</v>
      </c>
      <c r="Y118" s="72">
        <v>91369</v>
      </c>
      <c r="Z118" s="72">
        <v>96481</v>
      </c>
      <c r="AA118" s="72">
        <v>92252</v>
      </c>
      <c r="AB118" s="72">
        <v>101550</v>
      </c>
      <c r="AC118" s="72">
        <v>103385</v>
      </c>
      <c r="AD118" s="342">
        <f t="shared" ref="AD118:AG118" si="418">+AD113-AD116</f>
        <v>100831.7233661957</v>
      </c>
      <c r="AE118" s="342">
        <f t="shared" si="418"/>
        <v>102677.89809190191</v>
      </c>
      <c r="AF118" s="342">
        <f t="shared" si="418"/>
        <v>111315.08603294387</v>
      </c>
      <c r="AG118" s="342">
        <f t="shared" si="418"/>
        <v>110502.31920876363</v>
      </c>
      <c r="AH118" s="342"/>
      <c r="AI118" s="342">
        <v>89985.96103152234</v>
      </c>
      <c r="AJ118" s="342"/>
      <c r="AL118" s="72">
        <f>+SUMIFS($B118:AF118,$B$4:AF$4,"="&amp;AL$3)</f>
        <v>59771</v>
      </c>
      <c r="AM118" s="72">
        <f>+SUMIFS($B118:AG118,$B$4:AG$4,"="&amp;AM$3)</f>
        <v>51663</v>
      </c>
      <c r="AN118" s="72">
        <f>+SUMIFS($B118:AG118,$B$4:AG$4,"="&amp;AN$3)</f>
        <v>44972</v>
      </c>
      <c r="AO118" s="72">
        <f>+SUMIFS($B118:AG118,$B$4:AG$4,"="&amp;AO$3)</f>
        <v>54305</v>
      </c>
      <c r="AP118" s="72">
        <f>+SUMIFS($B118:AG118,$B$4:AG$4,"="&amp;AP$3)</f>
        <v>75621</v>
      </c>
      <c r="AQ118" s="72">
        <f>+SUMIFS($B118:AG118,$B$4:AG$4,"="&amp;AQ$3)</f>
        <v>91369</v>
      </c>
      <c r="AR118" s="72">
        <f>+SUMIFS($B118:AG118,$B$4:AG$4,"="&amp;AR$3)</f>
        <v>103385</v>
      </c>
      <c r="AS118" s="72">
        <f>+SUMIFS($B118:$AG118,$B$4:$AG$4,"="&amp;AS$3)</f>
        <v>110502.31920876363</v>
      </c>
      <c r="AT118" s="342">
        <f t="shared" ref="AT118:BB118" si="419">+AT113-AT116</f>
        <v>126337.6183901163</v>
      </c>
      <c r="AU118" s="342">
        <f t="shared" si="419"/>
        <v>137043.46867589356</v>
      </c>
      <c r="AV118" s="342">
        <f t="shared" si="419"/>
        <v>148532.54274880761</v>
      </c>
      <c r="AW118" s="342">
        <f t="shared" si="419"/>
        <v>160971.95917187358</v>
      </c>
      <c r="AX118" s="342">
        <f t="shared" si="419"/>
        <v>174469.99662506254</v>
      </c>
      <c r="AY118" s="342">
        <f t="shared" si="419"/>
        <v>185211.44971091999</v>
      </c>
      <c r="AZ118" s="342">
        <f t="shared" si="419"/>
        <v>196665.03942123963</v>
      </c>
      <c r="BA118" s="342">
        <f t="shared" si="419"/>
        <v>208900.4487019701</v>
      </c>
      <c r="BB118" s="342">
        <f t="shared" si="419"/>
        <v>221968.42188607558</v>
      </c>
    </row>
    <row r="119" spans="1:54" x14ac:dyDescent="0.25">
      <c r="A119" s="22" t="s">
        <v>95</v>
      </c>
      <c r="N119" s="88">
        <v>5.5E-2</v>
      </c>
      <c r="O119" s="88">
        <v>6.4000000000000001E-2</v>
      </c>
      <c r="P119" s="88">
        <v>7.5999999999999998E-2</v>
      </c>
      <c r="Q119" s="88">
        <v>8.7999999999999995E-2</v>
      </c>
      <c r="R119" s="88">
        <v>9.8000000000000004E-2</v>
      </c>
      <c r="S119" s="88">
        <v>0.10299999999999999</v>
      </c>
      <c r="T119" s="88">
        <v>0.10199999999999999</v>
      </c>
      <c r="U119" s="89">
        <v>0.10100000000000001</v>
      </c>
      <c r="V119" s="89">
        <v>0.10100000000000001</v>
      </c>
      <c r="W119" s="89">
        <v>9.9000000000000005E-2</v>
      </c>
      <c r="X119" s="89">
        <v>9.9000000000000005E-2</v>
      </c>
      <c r="Y119" s="89">
        <v>9.4E-2</v>
      </c>
      <c r="Z119" s="89">
        <v>8.7999999999999995E-2</v>
      </c>
      <c r="AA119" s="89">
        <v>0.08</v>
      </c>
      <c r="AB119" s="89">
        <v>7.0000000000000007E-2</v>
      </c>
      <c r="AC119" s="89">
        <v>6.7000000000000004E-2</v>
      </c>
      <c r="AD119" s="74">
        <f t="shared" ref="AD119:AG119" si="420">+AD120*AD123</f>
        <v>6.2906752411575562E-2</v>
      </c>
      <c r="AE119" s="74">
        <f t="shared" si="420"/>
        <v>6.1183279742765273E-2</v>
      </c>
      <c r="AF119" s="74">
        <f t="shared" si="420"/>
        <v>6.0752411575562701E-2</v>
      </c>
      <c r="AG119" s="74">
        <f t="shared" si="420"/>
        <v>5.8598070739549847E-2</v>
      </c>
      <c r="AH119" s="420"/>
      <c r="AI119" s="74">
        <v>6.9000000000000006E-2</v>
      </c>
      <c r="AJ119" s="486">
        <f>+AB119-AI119</f>
        <v>1.0000000000000009E-3</v>
      </c>
      <c r="AL119" s="89"/>
      <c r="AM119" s="89" t="e">
        <f>+AVERAGEIFS($B119:AG119,$B$4:AG$4,"&lt;="&amp;AM$3,$B$4:AG$4,"&gt;"&amp;AL$3)</f>
        <v>#DIV/0!</v>
      </c>
      <c r="AN119" s="89" t="e">
        <f>+AVERAGEIFS($B119:AG119,$B$4:AG$4,"&lt;="&amp;AN$3,$B$4:AG$4,"&gt;"&amp;AM$3)</f>
        <v>#DIV/0!</v>
      </c>
      <c r="AO119" s="89">
        <f>+AVERAGEIFS($B119:AG119,$B$4:AG$4,"&lt;="&amp;AO$3,$B$4:AG$4,"&gt;"&amp;AN$3)</f>
        <v>7.0750000000000007E-2</v>
      </c>
      <c r="AP119" s="89">
        <f>+AVERAGEIFS($B119:AG119,$B$4:AG$4,"&lt;="&amp;AP$3,$B$4:AG$4,"&gt;"&amp;AO$3)</f>
        <v>0.10100000000000001</v>
      </c>
      <c r="AQ119" s="89">
        <f>+AVERAGEIFS($B119:AG119,$B$4:AG$4,"&lt;="&amp;AQ$3,$B$4:AG$4,"&gt;"&amp;AP$3)</f>
        <v>9.8250000000000004E-2</v>
      </c>
      <c r="AR119" s="89">
        <f>+AVERAGEIFS($B119:AG119,$B$4:AG$4,"&lt;="&amp;AR$3,$B$4:AG$4,"&gt;"&amp;AQ$3)</f>
        <v>7.6249999999999998E-2</v>
      </c>
      <c r="AS119" s="89">
        <f>+AVERAGEIFS($B119:$AG119,$B$4:$AG$4,"&lt;="&amp;AS$3,$B$4:$AG$4,"&gt;"&amp;AR$3)</f>
        <v>6.0860128617363347E-2</v>
      </c>
      <c r="AT119" s="74">
        <f t="shared" ref="AT119:BB119" si="421">+AT120*AT123</f>
        <v>5.9160000000000004E-2</v>
      </c>
      <c r="AU119" s="74">
        <f t="shared" si="421"/>
        <v>5.9160000000000004E-2</v>
      </c>
      <c r="AV119" s="74">
        <f t="shared" si="421"/>
        <v>5.9160000000000004E-2</v>
      </c>
      <c r="AW119" s="74">
        <f t="shared" si="421"/>
        <v>5.9160000000000004E-2</v>
      </c>
      <c r="AX119" s="74">
        <f t="shared" si="421"/>
        <v>5.9160000000000004E-2</v>
      </c>
      <c r="AY119" s="74">
        <f t="shared" si="421"/>
        <v>5.9160000000000004E-2</v>
      </c>
      <c r="AZ119" s="74">
        <f t="shared" si="421"/>
        <v>5.9160000000000004E-2</v>
      </c>
      <c r="BA119" s="74">
        <f t="shared" si="421"/>
        <v>5.9160000000000004E-2</v>
      </c>
      <c r="BB119" s="74">
        <f t="shared" si="421"/>
        <v>5.9160000000000004E-2</v>
      </c>
    </row>
    <row r="120" spans="1:54" x14ac:dyDescent="0.25">
      <c r="N120" s="90">
        <f t="shared" ref="N120:W120" si="422">+N119/AVERAGE(M123:N123)</f>
        <v>0.88495575221238942</v>
      </c>
      <c r="O120" s="90">
        <f t="shared" si="422"/>
        <v>0.86779661016949161</v>
      </c>
      <c r="P120" s="90">
        <f t="shared" si="422"/>
        <v>0.86708499714774667</v>
      </c>
      <c r="Q120" s="90">
        <f t="shared" si="422"/>
        <v>0.87999999999999989</v>
      </c>
      <c r="R120" s="90">
        <f t="shared" si="422"/>
        <v>0.89090909090909098</v>
      </c>
      <c r="S120" s="90">
        <f t="shared" si="422"/>
        <v>0.89565217391304341</v>
      </c>
      <c r="T120" s="90">
        <f t="shared" si="422"/>
        <v>0.88684855756690484</v>
      </c>
      <c r="U120" s="90">
        <f t="shared" si="422"/>
        <v>0.87805853433773962</v>
      </c>
      <c r="V120" s="90">
        <f t="shared" si="422"/>
        <v>0.88787306052481219</v>
      </c>
      <c r="W120" s="90">
        <f t="shared" si="422"/>
        <v>0.88027386297959365</v>
      </c>
      <c r="X120" s="90">
        <f>+X119/AVERAGE(W123:X123)</f>
        <v>0.90063453796993331</v>
      </c>
      <c r="Y120" s="90">
        <f>+Y119/AVERAGE(X123:Y123)</f>
        <v>0.89587800810102458</v>
      </c>
      <c r="Z120" s="90">
        <f>+Z119/AVERAGE(Y123:Z123)</f>
        <v>0.90185187083021612</v>
      </c>
      <c r="AA120" s="90">
        <f>+AA119/AVERAGE(Z123:AA123)</f>
        <v>0.86296168450120814</v>
      </c>
      <c r="AB120" s="90">
        <f>+AB119/AVERAGE(AA123:AB123)</f>
        <v>0.82254236093158795</v>
      </c>
      <c r="AC120" s="90">
        <f>+AC119/AVERAGE(AB123:AC123)</f>
        <v>0.86173633440514474</v>
      </c>
      <c r="AD120" s="85">
        <f>+AC120</f>
        <v>0.86173633440514474</v>
      </c>
      <c r="AE120" s="85">
        <f t="shared" ref="AE120:AG120" si="423">+AD120</f>
        <v>0.86173633440514474</v>
      </c>
      <c r="AF120" s="85">
        <f t="shared" si="423"/>
        <v>0.86173633440514474</v>
      </c>
      <c r="AG120" s="85">
        <f t="shared" si="423"/>
        <v>0.86173633440514474</v>
      </c>
      <c r="AH120" s="85"/>
      <c r="AI120" s="85">
        <v>0.92</v>
      </c>
      <c r="AJ120" s="85"/>
      <c r="AL120" s="90"/>
      <c r="AM120" s="90" t="e">
        <f t="shared" ref="AM120:AS120" si="424">+AM119/AM123</f>
        <v>#DIV/0!</v>
      </c>
      <c r="AN120" s="90" t="e">
        <f t="shared" si="424"/>
        <v>#DIV/0!</v>
      </c>
      <c r="AO120" s="90">
        <f t="shared" si="424"/>
        <v>0.81438848920863327</v>
      </c>
      <c r="AP120" s="90">
        <f t="shared" si="424"/>
        <v>0.87815969029655283</v>
      </c>
      <c r="AQ120" s="90">
        <f t="shared" si="424"/>
        <v>0.90390542343254066</v>
      </c>
      <c r="AR120" s="90">
        <f t="shared" si="424"/>
        <v>0.89466952960916124</v>
      </c>
      <c r="AS120" s="90">
        <f t="shared" si="424"/>
        <v>0.86173633440514485</v>
      </c>
      <c r="AT120" s="85">
        <v>0.87</v>
      </c>
      <c r="AU120" s="85">
        <v>0.87</v>
      </c>
      <c r="AV120" s="85">
        <v>0.87</v>
      </c>
      <c r="AW120" s="85">
        <v>0.87</v>
      </c>
      <c r="AX120" s="85">
        <v>0.87</v>
      </c>
      <c r="AY120" s="85">
        <v>0.87</v>
      </c>
      <c r="AZ120" s="85">
        <v>0.87</v>
      </c>
      <c r="BA120" s="85">
        <v>0.87</v>
      </c>
      <c r="BB120" s="85">
        <v>0.87</v>
      </c>
    </row>
    <row r="122" spans="1:54" s="39" customFormat="1" x14ac:dyDescent="0.25">
      <c r="A122" s="5" t="s">
        <v>320</v>
      </c>
      <c r="N122" s="86">
        <f>5817</f>
        <v>5817</v>
      </c>
      <c r="O122" s="86">
        <f>5491</f>
        <v>5491</v>
      </c>
      <c r="P122" s="86">
        <f>5056</f>
        <v>5056</v>
      </c>
      <c r="Q122" s="86">
        <f>5367</f>
        <v>5367</v>
      </c>
      <c r="R122" s="86">
        <f>4871</f>
        <v>4871</v>
      </c>
      <c r="S122" s="86">
        <v>4522</v>
      </c>
      <c r="T122" s="86">
        <f>4387</f>
        <v>4387</v>
      </c>
      <c r="U122" s="86">
        <v>4221</v>
      </c>
      <c r="V122" s="86">
        <f>3736</f>
        <v>3736</v>
      </c>
      <c r="W122" s="86">
        <f>3785</f>
        <v>3785</v>
      </c>
      <c r="X122" s="86">
        <f>3774</f>
        <v>3774</v>
      </c>
      <c r="Y122" s="86">
        <f>3830</f>
        <v>3830</v>
      </c>
      <c r="Z122" s="86">
        <f>3363</f>
        <v>3363</v>
      </c>
      <c r="AA122" s="86">
        <f>3487</f>
        <v>3487</v>
      </c>
      <c r="AB122" s="86">
        <v>3553</v>
      </c>
      <c r="AC122" s="86">
        <v>3524</v>
      </c>
      <c r="AD122" s="602">
        <f>+PROJ!AD61+PROJ!AD58</f>
        <v>29524.410000000003</v>
      </c>
      <c r="AE122" s="602">
        <f>+PROJ!AE61+PROJ!AE58</f>
        <v>29788.337149416864</v>
      </c>
      <c r="AF122" s="602">
        <f>+PROJ!AF61+PROJ!AF58</f>
        <v>29881.220835923854</v>
      </c>
      <c r="AG122" s="602">
        <f>+PROJ!AG61+PROJ!AG58</f>
        <v>30291.626492466643</v>
      </c>
      <c r="AH122" s="602"/>
      <c r="AI122" s="602">
        <v>29267.271973397721</v>
      </c>
      <c r="AJ122" s="602"/>
      <c r="AL122" s="86">
        <f>+SUMIFS($B122:AF122,$B$4:AF$4,"="&amp;AL$3)</f>
        <v>0</v>
      </c>
      <c r="AM122" s="86">
        <f>+SUMIFS($B122:AG122,$B$4:AG$4,"="&amp;AM$3)</f>
        <v>0</v>
      </c>
      <c r="AN122" s="86">
        <f>+SUMIFS($B122:AG122,$B$4:AG$4,"="&amp;AN$3)</f>
        <v>0</v>
      </c>
      <c r="AO122" s="86">
        <f>+SUMIFS($B122:AG122,$B$4:AG$4,"="&amp;AO$3)</f>
        <v>5367</v>
      </c>
      <c r="AP122" s="86">
        <f>+SUMIFS($B122:AG122,$B$4:AG$4,"="&amp;AP$3)</f>
        <v>4221</v>
      </c>
      <c r="AQ122" s="86">
        <f>+SUMIFS($B122:AG122,$B$4:AG$4,"="&amp;AQ$3)</f>
        <v>3830</v>
      </c>
      <c r="AR122" s="86">
        <f>+SUMIFS($B122:AG122,$B$4:AG$4,"="&amp;AR$3)</f>
        <v>3524</v>
      </c>
      <c r="AS122" s="86">
        <f>+SUMIFS($B122:$AG122,$B$4:$AG$4,"="&amp;AS$3)</f>
        <v>30291.626492466643</v>
      </c>
      <c r="AT122" s="602">
        <f>+PROJ!AT61+PROJ!AT58</f>
        <v>31351.83341970298</v>
      </c>
      <c r="AU122" s="602">
        <f>+PROJ!AU61+PROJ!AU58</f>
        <v>32449.147589392589</v>
      </c>
      <c r="AV122" s="602">
        <f>+PROJ!AV61+PROJ!AV58</f>
        <v>33584.867755021332</v>
      </c>
      <c r="AW122" s="602">
        <f>+PROJ!AW61+PROJ!AW58</f>
        <v>34760.338126447088</v>
      </c>
      <c r="AX122" s="602">
        <f>+PROJ!AX61+PROJ!AX58</f>
        <v>35976.949960872735</v>
      </c>
      <c r="AY122" s="602">
        <f>+PROJ!AY61+PROJ!AY58</f>
        <v>37236.143209503287</v>
      </c>
      <c r="AZ122" s="602">
        <f>+PROJ!AZ61+PROJ!AZ58</f>
        <v>38539.408221835904</v>
      </c>
      <c r="BA122" s="602">
        <f>+PROJ!BA61+PROJ!BA58</f>
        <v>39888.287509600166</v>
      </c>
      <c r="BB122" s="602">
        <f>+PROJ!BB61+PROJ!BB58</f>
        <v>41284.377572436177</v>
      </c>
    </row>
    <row r="123" spans="1:54" s="339" customFormat="1" x14ac:dyDescent="0.25">
      <c r="A123" s="337" t="s">
        <v>97</v>
      </c>
      <c r="B123" s="338">
        <f t="shared" ref="B123:AG123" si="425">+B2</f>
        <v>8.5150000000000003E-2</v>
      </c>
      <c r="C123" s="338">
        <f t="shared" si="425"/>
        <v>8.488699999999999E-2</v>
      </c>
      <c r="D123" s="338">
        <f t="shared" si="425"/>
        <v>8.0274999999999999E-2</v>
      </c>
      <c r="E123" s="338" t="e">
        <f t="shared" si="425"/>
        <v>#VALUE!</v>
      </c>
      <c r="F123" s="338" t="e">
        <f t="shared" si="425"/>
        <v>#VALUE!</v>
      </c>
      <c r="G123" s="338">
        <f t="shared" si="425"/>
        <v>5.2843000000000001E-2</v>
      </c>
      <c r="H123" s="338">
        <f t="shared" si="425"/>
        <v>4.7500000000000001E-2</v>
      </c>
      <c r="I123" s="338">
        <f t="shared" si="425"/>
        <v>4.2500000000000003E-2</v>
      </c>
      <c r="J123" s="338">
        <f t="shared" si="425"/>
        <v>4.2875000000000003E-2</v>
      </c>
      <c r="K123" s="338">
        <f t="shared" si="425"/>
        <v>4.53E-2</v>
      </c>
      <c r="L123" s="338">
        <f t="shared" si="425"/>
        <v>4.7500000000000001E-2</v>
      </c>
      <c r="M123" s="338">
        <f t="shared" si="425"/>
        <v>5.7099999999999998E-2</v>
      </c>
      <c r="N123" s="338">
        <f t="shared" si="425"/>
        <v>6.7199999999999996E-2</v>
      </c>
      <c r="O123" s="338">
        <f t="shared" si="425"/>
        <v>8.0299999999999996E-2</v>
      </c>
      <c r="P123" s="338">
        <f t="shared" si="425"/>
        <v>9.5000000000000001E-2</v>
      </c>
      <c r="Q123" s="338">
        <f t="shared" si="425"/>
        <v>0.105</v>
      </c>
      <c r="R123" s="338">
        <f t="shared" si="425"/>
        <v>0.115</v>
      </c>
      <c r="S123" s="338">
        <f t="shared" si="425"/>
        <v>0.115</v>
      </c>
      <c r="T123" s="338">
        <f t="shared" si="425"/>
        <v>0.11502800000000001</v>
      </c>
      <c r="U123" s="338">
        <f t="shared" si="425"/>
        <v>0.11502499999999999</v>
      </c>
      <c r="V123" s="338">
        <f t="shared" si="425"/>
        <v>0.112485</v>
      </c>
      <c r="W123" s="338">
        <f t="shared" si="425"/>
        <v>0.112445</v>
      </c>
      <c r="X123" s="338">
        <f t="shared" si="425"/>
        <v>0.1074</v>
      </c>
      <c r="Y123" s="338">
        <f t="shared" si="425"/>
        <v>0.10244999999999999</v>
      </c>
      <c r="Z123" s="338">
        <f t="shared" si="425"/>
        <v>9.2704000000000009E-2</v>
      </c>
      <c r="AA123" s="338">
        <f t="shared" si="425"/>
        <v>9.2704000000000009E-2</v>
      </c>
      <c r="AB123" s="338">
        <f t="shared" si="425"/>
        <v>7.7499999999999999E-2</v>
      </c>
      <c r="AC123" s="338">
        <v>7.8E-2</v>
      </c>
      <c r="AD123" s="338">
        <f t="shared" si="425"/>
        <v>7.2999999999999995E-2</v>
      </c>
      <c r="AE123" s="338">
        <f t="shared" si="425"/>
        <v>7.0999999999999994E-2</v>
      </c>
      <c r="AF123" s="338">
        <f t="shared" si="425"/>
        <v>7.0499999999999993E-2</v>
      </c>
      <c r="AG123" s="338">
        <f t="shared" si="425"/>
        <v>6.8000000000000005E-2</v>
      </c>
      <c r="AH123" s="338"/>
      <c r="AI123" s="338">
        <v>7.4999999999999997E-2</v>
      </c>
      <c r="AJ123" s="338"/>
      <c r="AL123" s="338"/>
      <c r="AM123" s="340" t="e">
        <f>+AVERAGEIFS($B123:AG123,$B$4:AG$4,"&lt;="&amp;AM$3,$B$4:AG$4,"&gt;"&amp;AL$3)</f>
        <v>#VALUE!</v>
      </c>
      <c r="AN123" s="340">
        <f>+AVERAGEIFS($B123:AG123,$B$4:AG$4,"&lt;="&amp;AN$3,$B$4:AG$4,"&gt;"&amp;AM$3)</f>
        <v>4.8193749999999994E-2</v>
      </c>
      <c r="AO123" s="340">
        <f>+AVERAGEIFS($B123:AG123,$B$4:AG$4,"&lt;="&amp;AO$3,$B$4:AG$4,"&gt;"&amp;AN$3)</f>
        <v>8.6874999999999994E-2</v>
      </c>
      <c r="AP123" s="340">
        <f>+AVERAGEIFS($B123:AG123,$B$4:AG$4,"&lt;="&amp;AP$3,$B$4:AG$4,"&gt;"&amp;AO$3)</f>
        <v>0.11501325</v>
      </c>
      <c r="AQ123" s="340">
        <f>+AVERAGEIFS($B123:AG123,$B$4:AG$4,"&lt;="&amp;AQ$3,$B$4:AG$4,"&gt;"&amp;AP$3)</f>
        <v>0.108695</v>
      </c>
      <c r="AR123" s="340">
        <f>+AVERAGEIFS($B123:AG123,$B$4:AG$4,"&lt;="&amp;AR$3,$B$4:AG$4,"&gt;"&amp;AQ$3)</f>
        <v>8.5227000000000011E-2</v>
      </c>
      <c r="AS123" s="340">
        <f>+AVERAGEIFS($B123:$AG123,$B$4:$AG$4,"&lt;="&amp;AS$3,$B$4:$AG$4,"&gt;"&amp;AR$3)</f>
        <v>7.0624999999999993E-2</v>
      </c>
      <c r="AT123" s="340">
        <f t="shared" ref="AT123:BB123" si="426">+AT2</f>
        <v>6.8000000000000005E-2</v>
      </c>
      <c r="AU123" s="340">
        <f t="shared" si="426"/>
        <v>6.8000000000000005E-2</v>
      </c>
      <c r="AV123" s="340">
        <f t="shared" si="426"/>
        <v>6.8000000000000005E-2</v>
      </c>
      <c r="AW123" s="340">
        <f t="shared" si="426"/>
        <v>6.8000000000000005E-2</v>
      </c>
      <c r="AX123" s="340">
        <f t="shared" si="426"/>
        <v>6.8000000000000005E-2</v>
      </c>
      <c r="AY123" s="340">
        <f t="shared" si="426"/>
        <v>6.8000000000000005E-2</v>
      </c>
      <c r="AZ123" s="340">
        <f t="shared" si="426"/>
        <v>6.8000000000000005E-2</v>
      </c>
      <c r="BA123" s="340">
        <f t="shared" si="426"/>
        <v>6.8000000000000005E-2</v>
      </c>
      <c r="BB123" s="340">
        <f t="shared" si="426"/>
        <v>6.8000000000000005E-2</v>
      </c>
    </row>
    <row r="124" spans="1:54" s="339" customFormat="1" x14ac:dyDescent="0.25">
      <c r="A124" s="337"/>
      <c r="B124" s="338"/>
      <c r="C124" s="338"/>
      <c r="D124" s="338"/>
      <c r="E124" s="338"/>
      <c r="F124" s="338"/>
      <c r="G124" s="338"/>
      <c r="H124" s="338"/>
      <c r="I124" s="338"/>
      <c r="J124" s="338"/>
      <c r="K124" s="338"/>
      <c r="L124" s="338"/>
      <c r="M124" s="338"/>
      <c r="N124" s="338"/>
      <c r="O124" s="338"/>
      <c r="P124" s="338"/>
      <c r="Q124" s="338"/>
      <c r="R124" s="338"/>
      <c r="S124" s="338"/>
      <c r="T124" s="338"/>
      <c r="U124" s="338"/>
      <c r="V124" s="338"/>
      <c r="W124" s="338"/>
      <c r="X124" s="338"/>
      <c r="Y124" s="338"/>
      <c r="Z124" s="338"/>
      <c r="AA124" s="338"/>
      <c r="AB124" s="338"/>
      <c r="AC124" s="338"/>
      <c r="AD124" s="338"/>
      <c r="AE124" s="338"/>
      <c r="AF124" s="338"/>
      <c r="AG124" s="338"/>
      <c r="AH124" s="338"/>
      <c r="AI124" s="338"/>
      <c r="AJ124" s="338"/>
      <c r="AL124" s="338"/>
      <c r="AM124" s="340"/>
      <c r="AN124" s="340"/>
      <c r="AO124" s="340"/>
      <c r="AP124" s="340"/>
      <c r="AQ124" s="340"/>
      <c r="AR124" s="340"/>
      <c r="AS124" s="340"/>
      <c r="AT124" s="340"/>
      <c r="AU124" s="340"/>
      <c r="AV124" s="340"/>
      <c r="AW124" s="340"/>
      <c r="AX124" s="340"/>
      <c r="AY124" s="340"/>
      <c r="AZ124" s="340"/>
      <c r="BA124" s="340"/>
      <c r="BB124" s="340"/>
    </row>
    <row r="125" spans="1:54" s="39" customFormat="1" x14ac:dyDescent="0.25">
      <c r="A125" s="5" t="s">
        <v>319</v>
      </c>
      <c r="N125" s="86">
        <v>21074</v>
      </c>
      <c r="O125" s="86">
        <v>17545</v>
      </c>
      <c r="P125" s="86">
        <v>30171</v>
      </c>
      <c r="Q125" s="86">
        <v>38239</v>
      </c>
      <c r="R125" s="86">
        <v>38171</v>
      </c>
      <c r="S125" s="86">
        <f>40582</f>
        <v>40582</v>
      </c>
      <c r="T125" s="86">
        <v>38980</v>
      </c>
      <c r="U125" s="86">
        <f>32293</f>
        <v>32293</v>
      </c>
      <c r="V125" s="86">
        <v>19097</v>
      </c>
      <c r="W125" s="86">
        <v>19566</v>
      </c>
      <c r="X125" s="86">
        <v>22619</v>
      </c>
      <c r="Y125" s="86">
        <v>27588</v>
      </c>
      <c r="Z125" s="86">
        <v>25163</v>
      </c>
      <c r="AA125" s="86">
        <v>36551</v>
      </c>
      <c r="AB125" s="86">
        <v>33814</v>
      </c>
      <c r="AC125" s="86">
        <v>34000</v>
      </c>
      <c r="AD125" s="602"/>
      <c r="AE125" s="602"/>
      <c r="AF125" s="602"/>
      <c r="AG125" s="602"/>
      <c r="AH125" s="602"/>
      <c r="AI125" s="602"/>
      <c r="AJ125" s="602"/>
      <c r="AL125" s="86"/>
      <c r="AM125" s="86"/>
      <c r="AN125" s="86"/>
      <c r="AO125" s="86"/>
      <c r="AP125" s="86"/>
      <c r="AQ125" s="86"/>
      <c r="AR125" s="86"/>
      <c r="AS125" s="86"/>
      <c r="AT125" s="602"/>
      <c r="AU125" s="602"/>
      <c r="AV125" s="602"/>
      <c r="AW125" s="602"/>
      <c r="AX125" s="602"/>
      <c r="AY125" s="602"/>
      <c r="AZ125" s="602"/>
      <c r="BA125" s="602"/>
      <c r="BB125" s="602"/>
    </row>
    <row r="126" spans="1:54" s="66" customFormat="1" ht="15.75" thickBot="1" x14ac:dyDescent="0.3">
      <c r="A126" s="21"/>
    </row>
    <row r="127" spans="1:54" s="302" customFormat="1" ht="15.75" thickTop="1" x14ac:dyDescent="0.25">
      <c r="A127" s="301" t="s">
        <v>98</v>
      </c>
      <c r="B127" s="491">
        <v>-2230</v>
      </c>
      <c r="C127" s="491">
        <v>-2393</v>
      </c>
      <c r="D127" s="491">
        <v>-2351</v>
      </c>
      <c r="E127" s="491">
        <v>-2352</v>
      </c>
      <c r="F127" s="491">
        <v>-2244</v>
      </c>
      <c r="G127" s="491">
        <v>-2068</v>
      </c>
      <c r="H127" s="491">
        <v>-1790</v>
      </c>
      <c r="I127" s="491">
        <v>-1637</v>
      </c>
      <c r="J127" s="491">
        <v>-1417</v>
      </c>
      <c r="K127" s="491">
        <v>-1294</v>
      </c>
      <c r="L127" s="491">
        <v>-1527</v>
      </c>
      <c r="M127" s="491">
        <v>-1756</v>
      </c>
      <c r="N127" s="491">
        <v>-1969</v>
      </c>
      <c r="O127" s="491">
        <v>-2404</v>
      </c>
      <c r="P127" s="491">
        <v>-2906</v>
      </c>
      <c r="Q127" s="491">
        <v>-3376</v>
      </c>
      <c r="R127" s="491">
        <v>-3709</v>
      </c>
      <c r="S127" s="491">
        <v>-4164</v>
      </c>
      <c r="T127" s="491">
        <v>-4372</v>
      </c>
      <c r="U127" s="491">
        <v>-4104</v>
      </c>
      <c r="V127" s="491">
        <v>-3779</v>
      </c>
      <c r="W127" s="491">
        <v>-3838</v>
      </c>
      <c r="X127" s="491">
        <v>-4050</v>
      </c>
      <c r="Y127" s="491">
        <v>-4164</v>
      </c>
      <c r="Z127" s="491">
        <v>-3911</v>
      </c>
      <c r="AA127" s="491">
        <v>-3927</v>
      </c>
      <c r="AB127" s="491">
        <v>-3628</v>
      </c>
      <c r="AC127" s="491">
        <v>-3543</v>
      </c>
      <c r="AD127" s="492">
        <f t="shared" ref="AD127:AG127" si="427">+AD128+AD129</f>
        <v>-3624.3772290744291</v>
      </c>
      <c r="AE127" s="492">
        <f t="shared" si="427"/>
        <v>-3816.7289988516623</v>
      </c>
      <c r="AF127" s="492">
        <f t="shared" si="427"/>
        <v>-3901.2761372332739</v>
      </c>
      <c r="AG127" s="492">
        <f t="shared" si="427"/>
        <v>-3903.7485528395155</v>
      </c>
      <c r="AH127" s="492"/>
      <c r="AI127" s="492">
        <v>-3480.4200888018045</v>
      </c>
      <c r="AJ127" s="485">
        <f>+AB127/AI127-1</f>
        <v>4.2402901785629776E-2</v>
      </c>
      <c r="AL127" s="491">
        <f>+SUMIFS($B127:AF127,$B$4:AF$4,"&lt;="&amp;AL$3,$B$4:AF$4,"&gt;"&amp;AK$3)</f>
        <v>0</v>
      </c>
      <c r="AM127" s="491">
        <f>+SUMIFS($B127:AG127,$B$4:AG$4,"&lt;="&amp;AM$3,$B$4:AG$4,"&gt;"&amp;AL$3)</f>
        <v>-7739</v>
      </c>
      <c r="AN127" s="491">
        <f>+SUMIFS($B127:AG127,$B$4:AG$4,"&lt;="&amp;AN$3,$B$4:AG$4,"&gt;"&amp;AM$3)</f>
        <v>-5994</v>
      </c>
      <c r="AO127" s="491">
        <f>+SUMIFS($B127:AG127,$B$4:AG$4,"&lt;="&amp;AO$3,$B$4:AG$4,"&gt;"&amp;AN$3)</f>
        <v>-10655</v>
      </c>
      <c r="AP127" s="491">
        <f>+SUMIFS($B127:AG127,$B$4:AG$4,"&lt;="&amp;AP$3,$B$4:AG$4,"&gt;"&amp;AO$3)</f>
        <v>-16349</v>
      </c>
      <c r="AQ127" s="491">
        <f>+SUMIFS($B127:AG127,$B$4:AG$4,"&lt;="&amp;AQ$3,$B$4:AG$4,"&gt;"&amp;AP$3)</f>
        <v>-15831</v>
      </c>
      <c r="AR127" s="491">
        <f>+SUMIFS($B127:AG127,$B$4:AG$4,"&lt;="&amp;AR$3,$B$4:AG$4,"&gt;"&amp;AQ$3)</f>
        <v>-15009</v>
      </c>
      <c r="AS127" s="491">
        <f>+SUMIFS($B127:$AG127,$B$4:$AG$4,"&lt;="&amp;AS$3,$B$4:$AG$4,"&gt;"&amp;AR$3)</f>
        <v>-15246.13091799888</v>
      </c>
      <c r="AT127" s="492">
        <f t="shared" ref="AT127:BB127" si="428">+AT128+AT129</f>
        <v>-16345.811553527641</v>
      </c>
      <c r="AU127" s="492">
        <f t="shared" si="428"/>
        <v>-17489.433244968139</v>
      </c>
      <c r="AV127" s="492">
        <f t="shared" si="428"/>
        <v>-18518.307563787133</v>
      </c>
      <c r="AW127" s="492">
        <f t="shared" si="428"/>
        <v>-19612.808834203421</v>
      </c>
      <c r="AX127" s="492">
        <f t="shared" si="428"/>
        <v>-20781.638123719949</v>
      </c>
      <c r="AY127" s="492">
        <f t="shared" si="428"/>
        <v>-21915.72088107677</v>
      </c>
      <c r="AZ127" s="492">
        <f t="shared" si="428"/>
        <v>-23005.406800140659</v>
      </c>
      <c r="BA127" s="492">
        <f t="shared" si="428"/>
        <v>-24155.983803757525</v>
      </c>
      <c r="BB127" s="492">
        <f t="shared" si="428"/>
        <v>-25371.660201186336</v>
      </c>
    </row>
    <row r="128" spans="1:54" x14ac:dyDescent="0.25">
      <c r="A128" t="s">
        <v>99</v>
      </c>
      <c r="B128" s="92" t="e">
        <f>-(B117*AVERAGE(A116:B116)+B119*AVERAGE(A118:B118)+B123*AVERAGE(A122:B122))/4</f>
        <v>#DIV/0!</v>
      </c>
      <c r="C128" s="92" t="e">
        <f>-(C117*AVERAGE(B116:C116)+C119*AVERAGE(B118:C118)+C123*AVERAGE(B122:C122))/4</f>
        <v>#DIV/0!</v>
      </c>
      <c r="D128" s="92" t="e">
        <f>-(D117*AVERAGE(C116:D116)+D119*AVERAGE(C118:D118)+D123*AVERAGE(C122:D122))/4</f>
        <v>#DIV/0!</v>
      </c>
      <c r="E128" s="92" t="e">
        <f>-(E117*AVERAGE(D116:E116)+E119*AVERAGE(D118:E118)+E123*AVERAGE(D122:E122))/4</f>
        <v>#VALUE!</v>
      </c>
      <c r="F128" s="92" t="e">
        <f>-(F117*AVERAGE(E116:F116)+F119*AVERAGE(E118:F118)+F123*AVERAGE(E122:F122))/4</f>
        <v>#VALUE!</v>
      </c>
      <c r="G128" s="92" t="e">
        <f>-(G117*AVERAGE(F116:G116)+G119*AVERAGE(F118:G118)+G123*AVERAGE(F122:G122))/4</f>
        <v>#DIV/0!</v>
      </c>
      <c r="H128" s="92" t="e">
        <f>-(H117*AVERAGE(G116:H116)+H119*AVERAGE(G118:H118)+H123*AVERAGE(G122:H122))/4</f>
        <v>#DIV/0!</v>
      </c>
      <c r="I128" s="92" t="e">
        <f>-(I117*AVERAGE(H116:I116)+I119*AVERAGE(H118:I118)+I123*AVERAGE(H122:I122))/4</f>
        <v>#DIV/0!</v>
      </c>
      <c r="J128" s="92" t="e">
        <f>-(J117*AVERAGE(I116:J116)+J119*AVERAGE(I118:J118)+J123*AVERAGE(I122:J122))/4</f>
        <v>#DIV/0!</v>
      </c>
      <c r="K128" s="92" t="e">
        <f>-(K117*AVERAGE(J116:K116)+K119*AVERAGE(J118:K118)+K123*AVERAGE(J122:K122))/4</f>
        <v>#DIV/0!</v>
      </c>
      <c r="L128" s="92" t="e">
        <f>-(L117*AVERAGE(K116:L116)+L119*AVERAGE(K118:L118)+L123*AVERAGE(K122:L122))/4</f>
        <v>#DIV/0!</v>
      </c>
      <c r="M128" s="92" t="e">
        <f>-(M117*AVERAGE(L116:M116)+M119*AVERAGE(L118:M118)+M123*AVERAGE(L122:M122))/4</f>
        <v>#DIV/0!</v>
      </c>
      <c r="N128" s="92">
        <f>-(N117*AVERAGE(M116:N116)+N119*AVERAGE(M118:N118)+N123*AVERAGE(M122:N122))/4</f>
        <v>-961.49684999999999</v>
      </c>
      <c r="O128" s="92">
        <f>-(O117*AVERAGE(N116:O116)+O119*AVERAGE(N118:O118)+O123*AVERAGE(N122:O122))/4</f>
        <v>-1259.5825500000001</v>
      </c>
      <c r="P128" s="92">
        <f>-(P117*AVERAGE(O116:P116)+P119*AVERAGE(O118:P118)+P123*AVERAGE(O122:P122))/4</f>
        <v>-1482.61825</v>
      </c>
      <c r="Q128" s="92">
        <f>-(Q117*AVERAGE(P116:Q116)+Q119*AVERAGE(P118:Q118)+Q123*AVERAGE(P122:Q122))/4</f>
        <v>-1684.9658749999999</v>
      </c>
      <c r="R128" s="92">
        <f>-(R117*AVERAGE(Q116:R116)+R119*AVERAGE(Q118:R118)+R123*AVERAGE(Q122:R122))/4</f>
        <v>-1997.57275</v>
      </c>
      <c r="S128" s="92">
        <f>-(S117*AVERAGE(R116:S116)+S119*AVERAGE(R118:S118)+S123*AVERAGE(R122:S122))/4</f>
        <v>-2387.3602499999997</v>
      </c>
      <c r="T128" s="92">
        <f>-(T117*AVERAGE(S116:T116)+T119*AVERAGE(S118:T118)+T123*AVERAGE(S122:T122))/4</f>
        <v>-2552.6740565</v>
      </c>
      <c r="U128" s="92">
        <f>-(U117*AVERAGE(T116:U116)+U119*AVERAGE(T118:U118)+U123*AVERAGE(T122:U122))/4</f>
        <v>-2392.1389000000004</v>
      </c>
      <c r="V128" s="92">
        <f>-(V117*AVERAGE(U116:V116)+V119*AVERAGE(U118:V118)+V123*AVERAGE(U122:V122))/4</f>
        <v>-2524.9336431249999</v>
      </c>
      <c r="W128" s="92">
        <f>-(W117*AVERAGE(V116:W116)+W119*AVERAGE(V118:W118)+W123*AVERAGE(V122:W122))/4</f>
        <v>-2597.239605625</v>
      </c>
      <c r="X128" s="92">
        <f>-(X117*AVERAGE(W116:X116)+X119*AVERAGE(W118:X118)+X123*AVERAGE(W122:X122))/4</f>
        <v>-2705.8035750000004</v>
      </c>
      <c r="Y128" s="92">
        <f>-(Y117*AVERAGE(X116:Y116)+Y119*AVERAGE(X118:Y118)+Y123*AVERAGE(X122:Y122))/4</f>
        <v>-2592.1159750000002</v>
      </c>
      <c r="Z128" s="92">
        <f>-(Z117*AVERAGE(Y116:Z116)+Z119*AVERAGE(Y118:Z118)+Z123*AVERAGE(Y122:Z122))/4</f>
        <v>-2521.8127340000001</v>
      </c>
      <c r="AA128" s="92">
        <f>-(AA117*AVERAGE(Z116:AA116)+AA119*AVERAGE(Z118:AA118)+AA123*AVERAGE(Z122:AA122))/4</f>
        <v>-2311.4933000000001</v>
      </c>
      <c r="AB128" s="92">
        <f>-(AB117*AVERAGE(AA116:AB116)+AB119*AVERAGE(AA118:AB118)+AB123*AVERAGE(AA122:AB122))/4</f>
        <v>-2091.8795</v>
      </c>
      <c r="AC128" s="92">
        <f>-(AC117*AVERAGE(AB116:AC116)+AC119*AVERAGE(AB118:AC118)+AC123*AVERAGE(AB122:AC122))/4</f>
        <v>-2059.7110000000002</v>
      </c>
      <c r="AD128" s="335">
        <f>-(AD117*AVERAGE(AC116:AD116)+AD119*AVERAGE(AC118:AD118)+AD123*AVERAGE(AC122:AD122))/4</f>
        <v>-2126.2553390744292</v>
      </c>
      <c r="AE128" s="335">
        <f>-(AE117*AVERAGE(AD116:AE116)+AE119*AVERAGE(AD118:AE118)+AE123*AVERAGE(AD122:AE122))/4</f>
        <v>-2303.6258899516624</v>
      </c>
      <c r="AF128" s="335">
        <f>-(AF117*AVERAGE(AE116:AF116)+AF119*AVERAGE(AE118:AF118)+AF123*AVERAGE(AE122:AF122))/4</f>
        <v>-2373.0419972442742</v>
      </c>
      <c r="AG128" s="335">
        <f>-(AG117*AVERAGE(AF116:AG116)+AG119*AVERAGE(AF118:AG118)+AG123*AVERAGE(AF122:AG122))/4</f>
        <v>-2360.2320714506259</v>
      </c>
      <c r="AH128" s="335"/>
      <c r="AI128" s="335">
        <v>-2645.9605263018047</v>
      </c>
      <c r="AJ128" s="335"/>
      <c r="AL128" s="92">
        <f>+SUMIFS($B128:AF128,$B$4:AF$4,"&lt;="&amp;AL$3,$B$4:AF$4,"&gt;"&amp;AK$3)</f>
        <v>0</v>
      </c>
      <c r="AM128" s="92" t="e">
        <f>+SUMIFS($B128:AG128,$B$4:AG$4,"&lt;="&amp;AM$3,$B$4:AG$4,"&gt;"&amp;AL$3)</f>
        <v>#VALUE!</v>
      </c>
      <c r="AN128" s="92" t="e">
        <f>+SUMIFS($B128:AG128,$B$4:AG$4,"&lt;="&amp;AN$3,$B$4:AG$4,"&gt;"&amp;AM$3)</f>
        <v>#DIV/0!</v>
      </c>
      <c r="AO128" s="92">
        <f>+SUMIFS($B128:AG128,$B$4:AG$4,"&lt;="&amp;AO$3,$B$4:AG$4,"&gt;"&amp;AN$3)</f>
        <v>-5388.6635249999999</v>
      </c>
      <c r="AP128" s="92">
        <f>+SUMIFS($B128:AG128,$B$4:AG$4,"&lt;="&amp;AP$3,$B$4:AG$4,"&gt;"&amp;AO$3)</f>
        <v>-9329.7459565000008</v>
      </c>
      <c r="AQ128" s="92">
        <f>+SUMIFS($B128:AG128,$B$4:AG$4,"&lt;="&amp;AQ$3,$B$4:AG$4,"&gt;"&amp;AP$3)</f>
        <v>-10420.09279875</v>
      </c>
      <c r="AR128" s="92">
        <f>+SUMIFS($B128:AG128,$B$4:AG$4,"&lt;="&amp;AR$3,$B$4:AG$4,"&gt;"&amp;AQ$3)</f>
        <v>-8984.8965339999995</v>
      </c>
      <c r="AS128" s="92">
        <f>+SUMIFS($B128:$AG128,$B$4:$AG$4,"&lt;="&amp;AS$3,$B$4:$AG$4,"&gt;"&amp;AR$3)</f>
        <v>-9163.1552977209922</v>
      </c>
      <c r="AT128" s="335">
        <f>-(AT117*AVERAGE(AS116:AT116)+AT119*AVERAGE(AS118:AT118)+AT123*AVERAGE(AS122:AT122))</f>
        <v>-10019.516908438636</v>
      </c>
      <c r="AU128" s="335">
        <f>-(AU117*AVERAGE(AT116:AU116)+AU119*AVERAGE(AT118:AU118)+AU123*AVERAGE(AT122:AU122))</f>
        <v>-10910.086814075574</v>
      </c>
      <c r="AV128" s="335">
        <f>-(AV117*AVERAGE(AU116:AV116)+AV119*AVERAGE(AU118:AV118)+AV123*AVERAGE(AU122:AV122))</f>
        <v>-11675.787275658868</v>
      </c>
      <c r="AW128" s="335">
        <f>-(AW117*AVERAGE(AV116:AW116)+AW119*AVERAGE(AV118:AW118)+AW123*AVERAGE(AV122:AW122))</f>
        <v>-12496.587734550023</v>
      </c>
      <c r="AX128" s="335">
        <f>-(AX117*AVERAGE(AW116:AX116)+AX119*AVERAGE(AW118:AX118)+AX123*AVERAGE(AW122:AX122))</f>
        <v>-13380.768180080415</v>
      </c>
      <c r="AY128" s="335">
        <f>-(AY117*AVERAGE(AX116:AY116)+AY119*AVERAGE(AX118:AY118)+AY123*AVERAGE(AX122:AY122))</f>
        <v>-14218.816139691655</v>
      </c>
      <c r="AZ128" s="335">
        <f>-(AZ117*AVERAGE(AY116:AZ116)+AZ119*AVERAGE(AY118:AZ118)+AZ123*AVERAGE(AY122:AZ122))</f>
        <v>-15000.625869100139</v>
      </c>
      <c r="BA128" s="335">
        <f>-(BA117*AVERAGE(AZ116:BA116)+BA119*AVERAGE(AZ118:BA118)+BA123*AVERAGE(AZ122:BA122))</f>
        <v>-15831.011635475381</v>
      </c>
      <c r="BB128" s="335">
        <f>-(BB117*AVERAGE(BA116:BB116)+BB119*AVERAGE(BA118:BB118)+BB123*AVERAGE(BA122:BB122))</f>
        <v>-16713.689146172906</v>
      </c>
    </row>
    <row r="129" spans="1:54" x14ac:dyDescent="0.25">
      <c r="A129" t="s">
        <v>100</v>
      </c>
      <c r="N129" s="92">
        <f t="shared" ref="N129:X129" si="429">+N127-N128</f>
        <v>-1007.50315</v>
      </c>
      <c r="O129" s="92">
        <f t="shared" si="429"/>
        <v>-1144.4174499999999</v>
      </c>
      <c r="P129" s="92">
        <f t="shared" si="429"/>
        <v>-1423.38175</v>
      </c>
      <c r="Q129" s="92">
        <f t="shared" si="429"/>
        <v>-1691.0341250000001</v>
      </c>
      <c r="R129" s="92">
        <f t="shared" si="429"/>
        <v>-1711.42725</v>
      </c>
      <c r="S129" s="92">
        <f t="shared" si="429"/>
        <v>-1776.6397500000003</v>
      </c>
      <c r="T129" s="92">
        <f t="shared" si="429"/>
        <v>-1819.3259435</v>
      </c>
      <c r="U129" s="92">
        <f t="shared" si="429"/>
        <v>-1711.8610999999996</v>
      </c>
      <c r="V129" s="92">
        <f t="shared" si="429"/>
        <v>-1254.0663568750001</v>
      </c>
      <c r="W129" s="92">
        <f t="shared" si="429"/>
        <v>-1240.760394375</v>
      </c>
      <c r="X129" s="92">
        <f t="shared" si="429"/>
        <v>-1344.1964249999996</v>
      </c>
      <c r="Y129" s="92">
        <f t="shared" ref="Y129:Z129" si="430">+Y127-Y128</f>
        <v>-1571.8840249999998</v>
      </c>
      <c r="Z129" s="92">
        <f t="shared" si="430"/>
        <v>-1389.1872659999999</v>
      </c>
      <c r="AA129" s="92">
        <f t="shared" ref="AA129" si="431">+AA127-AA128</f>
        <v>-1615.5066999999999</v>
      </c>
      <c r="AB129" s="92">
        <f t="shared" ref="AB129:AC129" si="432">+AB127-AB128</f>
        <v>-1536.1205</v>
      </c>
      <c r="AC129" s="92">
        <f t="shared" si="432"/>
        <v>-1483.2889999999998</v>
      </c>
      <c r="AD129" s="93">
        <f>+AC129*1.01</f>
        <v>-1498.1218899999997</v>
      </c>
      <c r="AE129" s="93">
        <f t="shared" ref="AE129:AG129" si="433">+AD129*1.01</f>
        <v>-1513.1031088999996</v>
      </c>
      <c r="AF129" s="93">
        <f t="shared" si="433"/>
        <v>-1528.2341399889997</v>
      </c>
      <c r="AG129" s="93">
        <f t="shared" si="433"/>
        <v>-1543.5164813888896</v>
      </c>
      <c r="AH129" s="93"/>
      <c r="AI129" s="93">
        <v>-834.45956249999972</v>
      </c>
      <c r="AJ129" s="93"/>
      <c r="AL129" s="92">
        <f t="shared" ref="AL129:AS129" si="434">+AL127-AL128</f>
        <v>0</v>
      </c>
      <c r="AM129" s="92" t="e">
        <f t="shared" si="434"/>
        <v>#VALUE!</v>
      </c>
      <c r="AN129" s="92" t="e">
        <f t="shared" si="434"/>
        <v>#DIV/0!</v>
      </c>
      <c r="AO129" s="92">
        <f t="shared" si="434"/>
        <v>-5266.3364750000001</v>
      </c>
      <c r="AP129" s="92">
        <f t="shared" si="434"/>
        <v>-7019.2540434999992</v>
      </c>
      <c r="AQ129" s="92">
        <f t="shared" si="434"/>
        <v>-5410.9072012500001</v>
      </c>
      <c r="AR129" s="92">
        <f t="shared" si="434"/>
        <v>-6024.1034660000005</v>
      </c>
      <c r="AS129" s="92">
        <f t="shared" si="434"/>
        <v>-6082.9756202778881</v>
      </c>
      <c r="AT129" s="93">
        <f>+AS129*1.04</f>
        <v>-6326.294645089004</v>
      </c>
      <c r="AU129" s="93">
        <f t="shared" ref="AU129:BB129" si="435">+AT129*1.04</f>
        <v>-6579.3464308925641</v>
      </c>
      <c r="AV129" s="93">
        <f t="shared" si="435"/>
        <v>-6842.5202881282667</v>
      </c>
      <c r="AW129" s="93">
        <f t="shared" si="435"/>
        <v>-7116.2210996533977</v>
      </c>
      <c r="AX129" s="93">
        <f t="shared" si="435"/>
        <v>-7400.8699436395336</v>
      </c>
      <c r="AY129" s="93">
        <f t="shared" si="435"/>
        <v>-7696.9047413851149</v>
      </c>
      <c r="AZ129" s="93">
        <f t="shared" si="435"/>
        <v>-8004.78093104052</v>
      </c>
      <c r="BA129" s="93">
        <f t="shared" si="435"/>
        <v>-8324.9721682821419</v>
      </c>
      <c r="BB129" s="93">
        <f t="shared" si="435"/>
        <v>-8657.9710550134278</v>
      </c>
    </row>
    <row r="130" spans="1:54" x14ac:dyDescent="0.25">
      <c r="A130" s="22" t="s">
        <v>324</v>
      </c>
      <c r="N130" s="73">
        <f>+N129/N102</f>
        <v>-6.4065263700067406E-3</v>
      </c>
      <c r="O130" s="73">
        <f>+O129/O102</f>
        <v>-7.0954023808047608E-3</v>
      </c>
      <c r="P130" s="73">
        <f>+P129/P102</f>
        <v>-8.2008570276265371E-3</v>
      </c>
      <c r="Q130" s="73">
        <f>+Q129/Q102</f>
        <v>-9.2917026110750905E-3</v>
      </c>
      <c r="R130" s="73">
        <f>+R129/R102</f>
        <v>-8.8107084388706989E-3</v>
      </c>
      <c r="S130" s="73">
        <f>+S129/S102</f>
        <v>-8.5669084886008575E-3</v>
      </c>
      <c r="T130" s="73">
        <f>+T129/T102</f>
        <v>-8.8142220432347578E-3</v>
      </c>
      <c r="U130" s="73">
        <f>+U129/U102</f>
        <v>-8.5321731892581566E-3</v>
      </c>
      <c r="V130" s="73">
        <f>+V129/V102</f>
        <v>-6.553954150226032E-3</v>
      </c>
      <c r="W130" s="73">
        <f>+W129/W102</f>
        <v>-6.1943246551526164E-3</v>
      </c>
      <c r="X130" s="73">
        <f>+X129/X102</f>
        <v>-6.4090534915655049E-3</v>
      </c>
      <c r="Y130" s="73">
        <f>+Y129/Y102</f>
        <v>-7.3976931095664118E-3</v>
      </c>
      <c r="Z130" s="73">
        <f>+Z129/Z102</f>
        <v>-6.386451266774242E-3</v>
      </c>
      <c r="AA130" s="73">
        <f>+AA129/AA102</f>
        <v>-6.9877879666075515E-3</v>
      </c>
      <c r="AB130" s="73">
        <f>+AB129/AB102</f>
        <v>-6.4935766824484277E-3</v>
      </c>
      <c r="AC130" s="73">
        <f>+AC129/AC102</f>
        <v>-6.0221880278030389E-3</v>
      </c>
      <c r="AD130" s="73">
        <f>+AD129/AD102</f>
        <v>-6.5086680110394259E-3</v>
      </c>
      <c r="AE130" s="73">
        <f>+AE129/AE102</f>
        <v>-6.4821146752394865E-3</v>
      </c>
      <c r="AF130" s="73">
        <f>+AF129/AF102</f>
        <v>-6.3021689916815931E-3</v>
      </c>
      <c r="AG130" s="73">
        <f>+AG129/AG102</f>
        <v>-6.3305134529524371E-3</v>
      </c>
      <c r="AH130" s="113"/>
      <c r="AI130" s="73">
        <v>-3.7954832884167034E-3</v>
      </c>
      <c r="AJ130" s="113"/>
      <c r="AO130" s="73">
        <f>+AO129/AO102</f>
        <v>-2.893686866050529E-2</v>
      </c>
      <c r="AP130" s="73">
        <f>+AP129/AP102</f>
        <v>-3.498501786070296E-2</v>
      </c>
      <c r="AQ130" s="73">
        <f>+AQ129/AQ102</f>
        <v>-2.5465129922158478E-2</v>
      </c>
      <c r="AR130" s="73">
        <f>+AR129/AR102</f>
        <v>-2.4458000950045473E-2</v>
      </c>
      <c r="AS130" s="73">
        <f>+AS129/AS102</f>
        <v>-2.4948459872291232E-2</v>
      </c>
      <c r="AT130" s="73">
        <f>+AT129/AT102</f>
        <v>-2.3903366517644593E-2</v>
      </c>
      <c r="AU130" s="73">
        <f>+AU129/AU102</f>
        <v>-2.3415044507041433E-2</v>
      </c>
      <c r="AV130" s="73">
        <f>+AV129/AV102</f>
        <v>-2.2947406171523251E-2</v>
      </c>
      <c r="AW130" s="73">
        <f>+AW129/AW102</f>
        <v>-2.2471364610779181E-2</v>
      </c>
      <c r="AX130" s="73">
        <f>+AX129/AX102</f>
        <v>-2.1998889797134245E-2</v>
      </c>
      <c r="AY130" s="73">
        <f>+AY129/AY102</f>
        <v>-2.1766520058592736E-2</v>
      </c>
      <c r="AZ130" s="73">
        <f>+AZ129/AZ102</f>
        <v>-2.1535830476529343E-2</v>
      </c>
      <c r="BA130" s="73">
        <f>+BA129/BA102</f>
        <v>-2.1302072185867212E-2</v>
      </c>
      <c r="BB130" s="73">
        <f>+BB129/BB102</f>
        <v>-2.106724890748795E-2</v>
      </c>
    </row>
    <row r="131" spans="1:54" x14ac:dyDescent="0.25">
      <c r="N131" s="73"/>
      <c r="O131" s="73"/>
      <c r="P131" s="73"/>
      <c r="Q131" s="73"/>
      <c r="R131" s="73"/>
      <c r="S131" s="73"/>
      <c r="T131" s="73"/>
      <c r="U131" s="73"/>
      <c r="V131" s="73"/>
      <c r="W131" s="73"/>
      <c r="X131" s="73"/>
      <c r="Y131" s="73"/>
      <c r="Z131" s="73"/>
      <c r="AA131" s="73"/>
      <c r="AB131" s="73"/>
      <c r="AC131" s="73"/>
      <c r="AO131" s="73"/>
      <c r="AP131" s="73"/>
      <c r="AQ131" s="73"/>
      <c r="AR131" s="73"/>
      <c r="AS131" s="73"/>
    </row>
    <row r="132" spans="1:54" s="42" customFormat="1" x14ac:dyDescent="0.25">
      <c r="A132" s="2" t="s">
        <v>101</v>
      </c>
      <c r="B132" s="599">
        <f>-B127/B102*4</f>
        <v>8.881631352556954E-2</v>
      </c>
      <c r="C132" s="599">
        <f>-C127/C102*4</f>
        <v>9.278520399755727E-2</v>
      </c>
      <c r="D132" s="599">
        <f>-D127/D102*4</f>
        <v>8.8979723144757633E-2</v>
      </c>
      <c r="E132" s="599">
        <f>-E127/E102*4</f>
        <v>8.6430868167202579E-2</v>
      </c>
      <c r="F132" s="599">
        <f>-F127/F102*4</f>
        <v>7.9097638350370106E-2</v>
      </c>
      <c r="G132" s="599">
        <f>-G127/G102*4</f>
        <v>7.5961688568096458E-2</v>
      </c>
      <c r="H132" s="599">
        <f>-H127/H102*4</f>
        <v>6.6278499291856821E-2</v>
      </c>
      <c r="I132" s="599">
        <f>-I127/I102*4</f>
        <v>5.8742262492150352E-2</v>
      </c>
      <c r="J132" s="599">
        <f>-J127/J102*4</f>
        <v>4.9861885743441775E-2</v>
      </c>
      <c r="K132" s="599">
        <f>-K127/K102*4</f>
        <v>4.3763528138528136E-2</v>
      </c>
      <c r="L132" s="599">
        <f>-L127/L102*4</f>
        <v>5.165851925776823E-2</v>
      </c>
      <c r="M132" s="599">
        <f>-M127/M102*4</f>
        <v>5.907435597682105E-2</v>
      </c>
      <c r="N132" s="599">
        <f>-N127/N102*4</f>
        <v>5.0082028716409557E-2</v>
      </c>
      <c r="O132" s="599">
        <f>-O127/O102*4</f>
        <v>5.9619319238638474E-2</v>
      </c>
      <c r="P132" s="599">
        <f>-P127/P102*4</f>
        <v>6.697202777057587E-2</v>
      </c>
      <c r="Q132" s="599">
        <f>-Q127/Q102*4</f>
        <v>7.4200248359836032E-2</v>
      </c>
      <c r="R132" s="599">
        <f>-R127/R102*4</f>
        <v>7.637816354687918E-2</v>
      </c>
      <c r="S132" s="599">
        <f>-S127/S102*4</f>
        <v>8.0314778382131705E-2</v>
      </c>
      <c r="T132" s="599">
        <f>-T127/T102*4</f>
        <v>8.472539824037828E-2</v>
      </c>
      <c r="U132" s="599">
        <f>-U127/U102*4</f>
        <v>8.181981299467693E-2</v>
      </c>
      <c r="V132" s="599">
        <f>-V127/V102*4</f>
        <v>7.8998667328647201E-2</v>
      </c>
      <c r="W132" s="599">
        <f>-W127/W102*4</f>
        <v>7.664273661298214E-2</v>
      </c>
      <c r="X132" s="599">
        <f>-X127/X102*4</f>
        <v>7.7240695356975975E-2</v>
      </c>
      <c r="Y132" s="599">
        <f>-Y127/Y102*4</f>
        <v>7.838744746638554E-2</v>
      </c>
      <c r="Z132" s="599">
        <f>-Z127/Z102*4</f>
        <v>7.1919492830577275E-2</v>
      </c>
      <c r="AA132" s="599">
        <f>-AA127/AA102*4</f>
        <v>6.7944115229897489E-2</v>
      </c>
      <c r="AB132" s="599">
        <f>-AB127/AB102*4</f>
        <v>6.1345958741968208E-2</v>
      </c>
      <c r="AC132" s="599">
        <f>-AC127/AC102*4</f>
        <v>5.7538651422632196E-2</v>
      </c>
      <c r="AD132" s="599">
        <f>-AD127/AD102*4</f>
        <v>6.2985177076122847E-2</v>
      </c>
      <c r="AE132" s="599">
        <f>-AE127/AE102*4</f>
        <v>6.5403275981249898E-2</v>
      </c>
      <c r="AF132" s="599">
        <f>-AF127/AF102*4</f>
        <v>6.4352708414787435E-2</v>
      </c>
      <c r="AG132" s="599">
        <f>-AG127/AG102*4</f>
        <v>6.4042679242289943E-2</v>
      </c>
      <c r="AH132" s="600"/>
      <c r="AI132" s="599">
        <v>6.3321828293948182E-2</v>
      </c>
      <c r="AJ132" s="600"/>
      <c r="AM132" s="599">
        <f>-AM127/AVERAGE(AL102:AM102)</f>
        <v>7.0252360203340594E-2</v>
      </c>
      <c r="AN132" s="599">
        <f>-AN127/AVERAGE(AM102:AN102)</f>
        <v>5.2037799896688386E-2</v>
      </c>
      <c r="AO132" s="599">
        <f>-AO127/AVERAGE(AN102:AO102)</f>
        <v>7.0822047558118287E-2</v>
      </c>
      <c r="AP132" s="599">
        <f>-AP127/AVERAGE(AO102:AP102)</f>
        <v>8.5455923476988216E-2</v>
      </c>
      <c r="AQ132" s="599">
        <f>-AQ127/AVERAGE(AP102:AQ102)</f>
        <v>7.6641355154325991E-2</v>
      </c>
      <c r="AR132" s="599">
        <f>-AR127/AVERAGE(AQ102:AR102)</f>
        <v>6.542905531324994E-2</v>
      </c>
      <c r="AS132" s="599">
        <f>-AS127/AVERAGE(AR102:AS102)</f>
        <v>6.2213147626518979E-2</v>
      </c>
      <c r="AT132" s="599">
        <f>-AT127/AVERAGE(AS102:AT102)</f>
        <v>6.4292469210009431E-2</v>
      </c>
      <c r="AU132" s="599">
        <f>-AU127/AVERAGE(AT102:AU102)</f>
        <v>6.4105040612198308E-2</v>
      </c>
      <c r="AV132" s="599">
        <f>-AV127/AVERAGE(AU102:AV102)</f>
        <v>6.3947663918604583E-2</v>
      </c>
      <c r="AW132" s="599">
        <f>-AW127/AVERAGE(AV102:AW102)</f>
        <v>6.3795780396391749E-2</v>
      </c>
      <c r="AX132" s="599">
        <f>-AX127/AVERAGE(AW102:AX102)</f>
        <v>6.3640019062117845E-2</v>
      </c>
      <c r="AY132" s="599">
        <f>-AY127/AVERAGE(AX102:AY102)</f>
        <v>6.3520859686360509E-2</v>
      </c>
      <c r="AZ132" s="599">
        <f>-AZ127/AVERAGE(AY102:AZ102)</f>
        <v>6.3436237991649144E-2</v>
      </c>
      <c r="BA132" s="599">
        <f>-BA127/AVERAGE(AZ102:BA102)</f>
        <v>6.3359816902169644E-2</v>
      </c>
      <c r="BB132" s="599">
        <f>-BB127/AVERAGE(BA102:BB102)</f>
        <v>6.3288805654760041E-2</v>
      </c>
    </row>
    <row r="133" spans="1:54" s="66" customFormat="1" ht="15.75" thickBot="1" x14ac:dyDescent="0.3">
      <c r="A133" s="21" t="s">
        <v>325</v>
      </c>
      <c r="B133" s="336">
        <f>+B132/B123</f>
        <v>1.0430571171529013</v>
      </c>
      <c r="C133" s="336">
        <f>+C132/C123</f>
        <v>1.0930437404733031</v>
      </c>
      <c r="D133" s="336">
        <f>+D132/D123</f>
        <v>1.1084362895640938</v>
      </c>
      <c r="E133" s="336" t="e">
        <f>+E132/E123</f>
        <v>#VALUE!</v>
      </c>
      <c r="F133" s="336" t="e">
        <f>+F132/F123</f>
        <v>#VALUE!</v>
      </c>
      <c r="G133" s="336">
        <f>+G132/G123</f>
        <v>1.4374976547148433</v>
      </c>
      <c r="H133" s="336">
        <f>+H132/H123</f>
        <v>1.3953368271969857</v>
      </c>
      <c r="I133" s="336">
        <f>+I132/I123</f>
        <v>1.3821708821682435</v>
      </c>
      <c r="J133" s="336">
        <f>+J132/J123</f>
        <v>1.1629594342493708</v>
      </c>
      <c r="K133" s="336">
        <f>+K132/K123</f>
        <v>0.96608229886375574</v>
      </c>
      <c r="L133" s="336">
        <f>+L132/L123</f>
        <v>1.0875477738477521</v>
      </c>
      <c r="M133" s="336">
        <f>+M132/M123</f>
        <v>1.0345771624662181</v>
      </c>
      <c r="N133" s="336">
        <f>+N132/N123</f>
        <v>0.7452682844703804</v>
      </c>
      <c r="O133" s="336">
        <f>+O132/O123</f>
        <v>0.74245727569910935</v>
      </c>
      <c r="P133" s="336">
        <f>+P132/P123</f>
        <v>0.70496871337448286</v>
      </c>
      <c r="Q133" s="336">
        <f>+Q132/Q123</f>
        <v>0.70666903199843845</v>
      </c>
      <c r="R133" s="336">
        <f>+R132/R123</f>
        <v>0.66415794388590588</v>
      </c>
      <c r="S133" s="336">
        <f>+S132/S123</f>
        <v>0.69838937723592787</v>
      </c>
      <c r="T133" s="336">
        <f>+T132/T123</f>
        <v>0.73656325625394059</v>
      </c>
      <c r="U133" s="336">
        <f>+U132/U123</f>
        <v>0.71132199951903441</v>
      </c>
      <c r="V133" s="336">
        <f>+V132/V123</f>
        <v>0.70230401679021381</v>
      </c>
      <c r="W133" s="336">
        <f>+W132/W123</f>
        <v>0.68160199753641459</v>
      </c>
      <c r="X133" s="336">
        <f>+X132/X123</f>
        <v>0.71918710760685267</v>
      </c>
      <c r="Y133" s="336">
        <f>+Y132/Y123</f>
        <v>0.76512881860796045</v>
      </c>
      <c r="Z133" s="336">
        <f>+Z132/Z123</f>
        <v>0.77579708351934407</v>
      </c>
      <c r="AA133" s="336">
        <f>+AA132/AA123</f>
        <v>0.73291460163420652</v>
      </c>
      <c r="AB133" s="336">
        <f>+AB132/AB123</f>
        <v>0.7915607579608801</v>
      </c>
      <c r="AC133" s="336">
        <f>+AC132/AC123</f>
        <v>0.73767501823887427</v>
      </c>
      <c r="AD133" s="336">
        <f>+AD132/AD123</f>
        <v>0.86281064487839521</v>
      </c>
      <c r="AE133" s="336">
        <f>+AE132/AE123</f>
        <v>0.92117290114436479</v>
      </c>
      <c r="AF133" s="336">
        <f>+AF132/AF123</f>
        <v>0.91280437467783604</v>
      </c>
      <c r="AG133" s="336">
        <f>+AG132/AG123</f>
        <v>0.94180410650426383</v>
      </c>
      <c r="AH133" s="435"/>
      <c r="AI133" s="336">
        <v>0.84429104391930909</v>
      </c>
      <c r="AJ133" s="435"/>
      <c r="AK133" s="336"/>
      <c r="AL133" s="336"/>
      <c r="AM133" s="336" t="e">
        <f>+AM132/AM123</f>
        <v>#VALUE!</v>
      </c>
      <c r="AN133" s="336">
        <f>+AN132/AN123</f>
        <v>1.0797624151822258</v>
      </c>
      <c r="AO133" s="336">
        <f>+AO132/AO123</f>
        <v>0.81521781361862777</v>
      </c>
      <c r="AP133" s="336">
        <f>+AP132/AP123</f>
        <v>0.74300937915403853</v>
      </c>
      <c r="AQ133" s="336">
        <f>+AQ132/AQ123</f>
        <v>0.70510469804798737</v>
      </c>
      <c r="AR133" s="336">
        <f>+AR132/AR123</f>
        <v>0.76770337232625729</v>
      </c>
      <c r="AS133" s="336">
        <f>+AS132/AS123</f>
        <v>0.88089412568522452</v>
      </c>
      <c r="AT133" s="336">
        <f>+AT132/AT123</f>
        <v>0.94547748838249157</v>
      </c>
      <c r="AU133" s="336">
        <f>+AU132/AU123</f>
        <v>0.94272118547350447</v>
      </c>
      <c r="AV133" s="336">
        <f>+AV132/AV123</f>
        <v>0.94040682233242023</v>
      </c>
      <c r="AW133" s="336">
        <f>+AW132/AW123</f>
        <v>0.93817324112340805</v>
      </c>
      <c r="AX133" s="336">
        <f>+AX132/AX123</f>
        <v>0.93588263326643883</v>
      </c>
      <c r="AY133" s="336">
        <f>+AY132/AY123</f>
        <v>0.93413028950530153</v>
      </c>
      <c r="AZ133" s="336">
        <f>+AZ132/AZ123</f>
        <v>0.93288585281836967</v>
      </c>
      <c r="BA133" s="336">
        <f>+BA132/BA123</f>
        <v>0.93176201326720054</v>
      </c>
      <c r="BB133" s="336">
        <f>+BB132/BB123</f>
        <v>0.93071773021705939</v>
      </c>
    </row>
    <row r="134" spans="1:54" ht="15.75" thickTop="1" x14ac:dyDescent="0.25"/>
    <row r="135" spans="1:54" x14ac:dyDescent="0.25">
      <c r="AR135" s="91"/>
      <c r="AS135" s="91"/>
      <c r="AT135" s="91"/>
    </row>
    <row r="136" spans="1:54" s="91" customFormat="1" ht="15.75" thickBot="1" x14ac:dyDescent="0.3">
      <c r="A136" s="349"/>
      <c r="Z136" s="91">
        <f>+Z137/V137-1</f>
        <v>8.4474220798135713E-2</v>
      </c>
      <c r="AA136" s="91">
        <f t="shared" ref="AA136:AD136" si="436">+AA137/W137-1</f>
        <v>8.2576617480136116E-2</v>
      </c>
      <c r="AB136" s="91">
        <f t="shared" si="436"/>
        <v>6.9277108433734913E-2</v>
      </c>
      <c r="AC136" s="91">
        <f t="shared" si="436"/>
        <v>6.7409766454352482E-2</v>
      </c>
      <c r="AD136" s="91">
        <f t="shared" si="436"/>
        <v>7.7623074792180669E-2</v>
      </c>
      <c r="AI136" s="91">
        <v>3.8414738369630497E-2</v>
      </c>
    </row>
    <row r="137" spans="1:54" s="327" customFormat="1" x14ac:dyDescent="0.25">
      <c r="A137" s="324" t="s">
        <v>102</v>
      </c>
      <c r="B137" s="325">
        <f>+B79+B127</f>
        <v>1876</v>
      </c>
      <c r="C137" s="325">
        <f>+C79+C127</f>
        <v>1905</v>
      </c>
      <c r="D137" s="325">
        <f>+D79+D127</f>
        <v>1986</v>
      </c>
      <c r="E137" s="325">
        <f>+E79+E127</f>
        <v>1934</v>
      </c>
      <c r="F137" s="325">
        <f>+F79+F127</f>
        <v>1963</v>
      </c>
      <c r="G137" s="325">
        <f>+G79+G127</f>
        <v>1856</v>
      </c>
      <c r="H137" s="325">
        <f>+H79+H127</f>
        <v>1818</v>
      </c>
      <c r="I137" s="325">
        <f>+I79+I127</f>
        <v>1875</v>
      </c>
      <c r="J137" s="325">
        <f>+J79+J127</f>
        <v>1818</v>
      </c>
      <c r="K137" s="325">
        <f>+K79+K127</f>
        <v>1841</v>
      </c>
      <c r="L137" s="325">
        <f>+L79+L127</f>
        <v>1887</v>
      </c>
      <c r="M137" s="325">
        <f>+M79+M127</f>
        <v>2022</v>
      </c>
      <c r="N137" s="325">
        <f>+N79+N127</f>
        <v>2090</v>
      </c>
      <c r="O137" s="325">
        <f>+O79+O127</f>
        <v>2256</v>
      </c>
      <c r="P137" s="325">
        <f>+P79+P127</f>
        <v>2522</v>
      </c>
      <c r="Q137" s="325">
        <f>+Q79+Q127</f>
        <v>3493</v>
      </c>
      <c r="R137" s="325">
        <f>+R79+R127</f>
        <v>2821</v>
      </c>
      <c r="S137" s="325">
        <f>+S79+S127</f>
        <v>2930</v>
      </c>
      <c r="T137" s="325">
        <f>+T79+T127</f>
        <v>3258</v>
      </c>
      <c r="U137" s="325">
        <f>+U79+U127</f>
        <v>3377</v>
      </c>
      <c r="V137" s="325">
        <f>+V79+V127</f>
        <v>3433</v>
      </c>
      <c r="W137" s="325">
        <f>+W79+W127</f>
        <v>3524</v>
      </c>
      <c r="X137" s="325">
        <f>+X79+X127</f>
        <v>3652</v>
      </c>
      <c r="Y137" s="325">
        <f>+Y79+Y127</f>
        <v>3768</v>
      </c>
      <c r="Z137" s="325">
        <f>+Z79+Z127</f>
        <v>3723</v>
      </c>
      <c r="AA137" s="325">
        <f>+AA79+AA127</f>
        <v>3815</v>
      </c>
      <c r="AB137" s="325">
        <f>+AB79+AB127</f>
        <v>3905</v>
      </c>
      <c r="AC137" s="325">
        <f>+AC79+AC127</f>
        <v>4022</v>
      </c>
      <c r="AD137" s="326">
        <f>+AD79+AD127</f>
        <v>4011.9907074512885</v>
      </c>
      <c r="AE137" s="326">
        <f>+AE79+AE127</f>
        <v>3833.5224649684242</v>
      </c>
      <c r="AF137" s="326">
        <f>+AF79+AF127</f>
        <v>3919.5087120697476</v>
      </c>
      <c r="AG137" s="326">
        <f>+AG79+AG127</f>
        <v>4027.237953267012</v>
      </c>
      <c r="AH137" s="436"/>
      <c r="AI137" s="326">
        <v>3912.7467341767674</v>
      </c>
      <c r="AJ137" s="486">
        <f>+AB137/AI137-1</f>
        <v>-1.9798710990164281E-3</v>
      </c>
      <c r="AL137" s="325">
        <f>+AL79+AL127</f>
        <v>0</v>
      </c>
      <c r="AM137" s="325">
        <f>+AM79+AM127</f>
        <v>7512</v>
      </c>
      <c r="AN137" s="325">
        <f>+AN79+AN127</f>
        <v>7568</v>
      </c>
      <c r="AO137" s="325">
        <f>+AO79+AO127</f>
        <v>10361</v>
      </c>
      <c r="AP137" s="325">
        <f>+AP79+AP127</f>
        <v>12386</v>
      </c>
      <c r="AQ137" s="325">
        <f>+AQ79+AQ127</f>
        <v>14377</v>
      </c>
      <c r="AR137" s="325">
        <f>+AR79+AR127</f>
        <v>15465</v>
      </c>
      <c r="AS137" s="325">
        <f>+AS79+AS127</f>
        <v>15792.259837756474</v>
      </c>
      <c r="AT137" s="326">
        <f>+AT79+AT127</f>
        <v>16840.707497223277</v>
      </c>
      <c r="AU137" s="326">
        <f>+AU79+AU127</f>
        <v>18299.335592860538</v>
      </c>
      <c r="AV137" s="326">
        <f>+AV79+AV127</f>
        <v>19547.388961657376</v>
      </c>
      <c r="AW137" s="326">
        <f>+AW79+AW127</f>
        <v>20885.029446184311</v>
      </c>
      <c r="AX137" s="326">
        <f>+AX79+AX127</f>
        <v>22325.93781679092</v>
      </c>
      <c r="AY137" s="326">
        <f>+AY79+AY127</f>
        <v>23687.243950586591</v>
      </c>
      <c r="AZ137" s="326">
        <f>+AZ79+AZ127</f>
        <v>24951.936897671691</v>
      </c>
      <c r="BA137" s="326">
        <f>+BA79+BA127</f>
        <v>26294.749423402027</v>
      </c>
      <c r="BB137" s="326">
        <f>+BB79+BB127</f>
        <v>27721.717202049134</v>
      </c>
    </row>
    <row r="138" spans="1:54" s="464" customFormat="1" ht="15.75" thickBot="1" x14ac:dyDescent="0.3">
      <c r="A138" s="460" t="s">
        <v>103</v>
      </c>
      <c r="B138" s="461">
        <f>+B137/AVERAGE(A5:B5)*4</f>
        <v>7.4769335007273674E-2</v>
      </c>
      <c r="C138" s="461">
        <f>+C137/AVERAGE(B5:C5)*4</f>
        <v>7.4397352157230312E-2</v>
      </c>
      <c r="D138" s="461">
        <f>+D137/AVERAGE(C5:D5)*4</f>
        <v>7.5486399809953669E-2</v>
      </c>
      <c r="E138" s="461">
        <f>+E137/AVERAGE(D5:E5)*4</f>
        <v>7.3061085716444416E-2</v>
      </c>
      <c r="F138" s="461">
        <f>+F137/AVERAGE(E5:F5)*4</f>
        <v>7.2407035986813292E-2</v>
      </c>
      <c r="G138" s="461">
        <f>+G137/AVERAGE(F5:G5)*4</f>
        <v>6.7341533326076702E-2</v>
      </c>
      <c r="H138" s="461">
        <f>+H137/AVERAGE(G5:H5)*4</f>
        <v>6.658730885450051E-2</v>
      </c>
      <c r="I138" s="461">
        <f>+I137/AVERAGE(H5:I5)*4</f>
        <v>6.9116461237184651E-2</v>
      </c>
      <c r="J138" s="461">
        <f>+J137/AVERAGE(I5:J5)*4</f>
        <v>6.6657194843050355E-2</v>
      </c>
      <c r="K138" s="461">
        <f>+K137/AVERAGE(J5:K5)*4</f>
        <v>6.62784523027352E-2</v>
      </c>
      <c r="L138" s="461">
        <f>+L137/AVERAGE(K5:L5)*4</f>
        <v>6.7180518717624649E-2</v>
      </c>
      <c r="M138" s="461">
        <f>+M137/AVERAGE(L5:M5)*4</f>
        <v>7.0972893760036501E-2</v>
      </c>
      <c r="N138" s="461">
        <f>+N137/AVERAGE(M5:N5)*4</f>
        <v>7.1537368862418918E-2</v>
      </c>
      <c r="O138" s="461">
        <f>+O137/AVERAGE(N5:O5)*4</f>
        <v>7.5339063354441738E-2</v>
      </c>
      <c r="P138" s="461">
        <f>+P137/AVERAGE(O5:P5)*4</f>
        <v>8.2519089901472789E-2</v>
      </c>
      <c r="Q138" s="461">
        <f>+Q137/AVERAGE(P5:Q5)*4</f>
        <v>0.10850184822787562</v>
      </c>
      <c r="R138" s="461">
        <f>+R137/AVERAGE(Q5:R5)*4</f>
        <v>8.2263485189802366E-2</v>
      </c>
      <c r="S138" s="461">
        <f>+S137/AVERAGE(R5:S5)*4</f>
        <v>8.2557013295764731E-2</v>
      </c>
      <c r="T138" s="461">
        <f>+T137/AVERAGE(S5:T5)*4</f>
        <v>8.9182392089100268E-2</v>
      </c>
      <c r="U138" s="461">
        <f>+U137/AVERAGE(T5:U5)*4</f>
        <v>8.9830254867080087E-2</v>
      </c>
      <c r="V138" s="461">
        <f>+V137/AVERAGE(U5:V5)*4</f>
        <v>8.8708010335917312E-2</v>
      </c>
      <c r="W138" s="461">
        <f>+W137/AVERAGE(V5:W5)*4</f>
        <v>8.7977106978689143E-2</v>
      </c>
      <c r="X138" s="461">
        <f>+X137/AVERAGE(W5:X5)*4</f>
        <v>8.825759521011628E-2</v>
      </c>
      <c r="Y138" s="461">
        <f>+Y137/AVERAGE(X5:Y5)*4</f>
        <v>8.8107375017537293E-2</v>
      </c>
      <c r="Z138" s="461">
        <f>+Z137/AVERAGE(Y5:Z5)*4</f>
        <v>8.4613636363636363E-2</v>
      </c>
      <c r="AA138" s="461">
        <f>+AA137/AVERAGE(Z5:AA5)*4</f>
        <v>8.5162665714213964E-2</v>
      </c>
      <c r="AB138" s="461">
        <f>+AB137/AVERAGE(AA5:AB5)*4</f>
        <v>8.5517113003583292E-2</v>
      </c>
      <c r="AC138" s="461">
        <f>+AC137/AVERAGE(AB5:AC5)*4</f>
        <v>8.6332865571764728E-2</v>
      </c>
      <c r="AD138" s="462">
        <f>+AD137/AVERAGE(AC5:AD5)*4</f>
        <v>8.4787793694568056E-2</v>
      </c>
      <c r="AE138" s="462">
        <f>+AE137/AVERAGE(AD5:AE5)*4</f>
        <v>7.9866896204637119E-2</v>
      </c>
      <c r="AF138" s="462">
        <f>+AF137/AVERAGE(AE5:AF5)*4</f>
        <v>7.925128881831385E-2</v>
      </c>
      <c r="AG138" s="462">
        <f>+AG137/AVERAGE(AF5:AG5)*4</f>
        <v>7.9536394207713704E-2</v>
      </c>
      <c r="AH138" s="463"/>
      <c r="AI138" s="462">
        <v>8.3619644842649735E-2</v>
      </c>
      <c r="AJ138" s="463"/>
      <c r="AL138" s="461">
        <f>+AL137/AVERAGE(AK5:AL5)</f>
        <v>0</v>
      </c>
      <c r="AM138" s="461">
        <f>+AM137/AVERAGE(AL5:AM5)</f>
        <v>7.0283773542537967E-2</v>
      </c>
      <c r="AN138" s="461">
        <f>+AN137/AVERAGE(AM5:AN5)</f>
        <v>6.7812708610547348E-2</v>
      </c>
      <c r="AO138" s="461">
        <f>+AO137/AVERAGE(AN5:AO5)</f>
        <v>8.3116737260942111E-2</v>
      </c>
      <c r="AP138" s="461">
        <f>+AP137/AVERAGE(AO5:AP5)</f>
        <v>8.6535203395455257E-2</v>
      </c>
      <c r="AQ138" s="461">
        <f>+AQ137/AVERAGE(AP5:AQ5)</f>
        <v>8.8125141746811075E-2</v>
      </c>
      <c r="AR138" s="461">
        <f>+AR137/AVERAGE(AQ5:AR5)</f>
        <v>8.5443641175381849E-2</v>
      </c>
      <c r="AS138" s="461">
        <f>+AS137/AVERAGE(AR5:AS5)</f>
        <v>8.0857319783348716E-2</v>
      </c>
      <c r="AT138" s="461">
        <f>+AT137/AVERAGE(AS5:AT5)</f>
        <v>7.9312080853559092E-2</v>
      </c>
      <c r="AU138" s="461">
        <f>+AU137/AVERAGE(AT5:AU5)</f>
        <v>7.9915178933873024E-2</v>
      </c>
      <c r="AV138" s="461">
        <f>+AV137/AVERAGE(AU5:AV5)</f>
        <v>8.025935900386838E-2</v>
      </c>
      <c r="AW138" s="461">
        <f>+AW137/AVERAGE(AV5:AW5)</f>
        <v>8.0601655711610473E-2</v>
      </c>
      <c r="AX138" s="461">
        <f>+AX137/AVERAGE(AW5:AX5)</f>
        <v>8.094626637572655E-2</v>
      </c>
      <c r="AY138" s="461">
        <f>+AY137/AVERAGE(AX5:AY5)</f>
        <v>8.1182452477579686E-2</v>
      </c>
      <c r="AZ138" s="461">
        <f>+AZ137/AVERAGE(AY5:AZ5)</f>
        <v>8.1318593127999564E-2</v>
      </c>
      <c r="BA138" s="461">
        <f>+BA137/AVERAGE(AZ5:BA5)</f>
        <v>8.1459598856028076E-2</v>
      </c>
      <c r="BB138" s="461">
        <f>+BB137/AVERAGE(BA5:BB5)</f>
        <v>8.1605698986441697E-2</v>
      </c>
    </row>
    <row r="139" spans="1:54" s="295" customFormat="1" ht="16.5" thickTop="1" thickBot="1" x14ac:dyDescent="0.3">
      <c r="A139" s="293" t="s">
        <v>104</v>
      </c>
      <c r="B139" s="294">
        <f>(+B137-B67)/AVERAGE(A5:B5)*4</f>
        <v>6.8631553775333295E-2</v>
      </c>
      <c r="C139" s="294">
        <f>(+C137-C67)/AVERAGE(B5:C5)*4</f>
        <v>6.5883639416927833E-2</v>
      </c>
      <c r="D139" s="294">
        <f>(+D137-D67)/AVERAGE(C5:D5)*4</f>
        <v>7.0545195391376644E-2</v>
      </c>
      <c r="E139" s="294">
        <f>(+E137-E67)/AVERAGE(D5:E5)*4</f>
        <v>6.4410109176079477E-2</v>
      </c>
      <c r="F139" s="294">
        <f>(+F137-F67)/AVERAGE(E5:F5)*4</f>
        <v>6.5952002213154434E-2</v>
      </c>
      <c r="G139" s="294">
        <f>(+G137-G67)/AVERAGE(F5:G5)*4</f>
        <v>6.1645078190196295E-2</v>
      </c>
      <c r="H139" s="294">
        <f>(+H137-H67)/AVERAGE(G5:H5)*4</f>
        <v>5.7064371394560935E-2</v>
      </c>
      <c r="I139" s="294">
        <f>(+I137-I67)/AVERAGE(H5:I5)*4</f>
        <v>5.1717544061744038E-2</v>
      </c>
      <c r="J139" s="294">
        <f>(+J137-J67)/AVERAGE(I5:J5)*4</f>
        <v>5.7967560531827618E-2</v>
      </c>
      <c r="K139" s="294">
        <f>(+K137-K67)/AVERAGE(J5:K5)*4</f>
        <v>6.2030295120919475E-2</v>
      </c>
      <c r="L139" s="294">
        <f>(+L137-L67)/AVERAGE(K5:L5)*4</f>
        <v>5.8707300140626945E-2</v>
      </c>
      <c r="M139" s="294">
        <f>(+M137-M67)/AVERAGE(L5:M5)*4</f>
        <v>6.1846804552514498E-2</v>
      </c>
      <c r="N139" s="294">
        <f>(+N137-N67)/AVERAGE(M5:N5)*4</f>
        <v>7.3214560763978032E-2</v>
      </c>
      <c r="O139" s="294">
        <f>(+O137-O67)/AVERAGE(N5:O5)*4</f>
        <v>7.3134995011625625E-2</v>
      </c>
      <c r="P139" s="294">
        <f>(+P137-P67)/AVERAGE(O5:P5)*4</f>
        <v>7.5746111467846752E-2</v>
      </c>
      <c r="Q139" s="294">
        <f>(+Q137-Q67)/AVERAGE(P5:Q5)*4</f>
        <v>0.1016680644860684</v>
      </c>
      <c r="R139" s="294">
        <f>(+R137-R67)/AVERAGE(Q5:R5)*4</f>
        <v>7.380676391896128E-2</v>
      </c>
      <c r="S139" s="294">
        <f>(+S137-S67)/AVERAGE(R5:S5)*4</f>
        <v>7.3005195033899795E-2</v>
      </c>
      <c r="T139" s="294">
        <f>(+T137-T67)/AVERAGE(S5:T5)*4</f>
        <v>7.9984944654496931E-2</v>
      </c>
      <c r="U139" s="294">
        <f>(+U137-U67)/AVERAGE(T5:U5)*4</f>
        <v>8.1717069277959728E-2</v>
      </c>
      <c r="V139" s="294">
        <f>(+V137-V67)/AVERAGE(U5:V5)*4</f>
        <v>7.9018087855297153E-2</v>
      </c>
      <c r="W139" s="294">
        <f>(+W137-W67)/AVERAGE(V5:W5)*4</f>
        <v>7.7741404974925654E-2</v>
      </c>
      <c r="X139" s="294">
        <f>(+X137-X67)/AVERAGE(W5:X5)*4</f>
        <v>7.8131655343457257E-2</v>
      </c>
      <c r="Y139" s="294">
        <f>(+Y137-Y67)/AVERAGE(X5:Y5)*4</f>
        <v>7.7725295795725582E-2</v>
      </c>
      <c r="Z139" s="294">
        <f>(+Z137-Z67)/AVERAGE(Y5:Z5)*4</f>
        <v>7.5227272727272726E-2</v>
      </c>
      <c r="AA139" s="294">
        <f>(+AA137-AA67)/AVERAGE(Z5:AA5)*4</f>
        <v>7.5898574948447567E-2</v>
      </c>
      <c r="AB139" s="294">
        <f>(+AB137-AB67)/AVERAGE(AA5:AB5)*4</f>
        <v>7.5487192963726399E-2</v>
      </c>
      <c r="AC139" s="294">
        <f>(+AC137-AC67)/AVERAGE(AB5:AC5)*4</f>
        <v>7.6222776142550117E-2</v>
      </c>
      <c r="AD139" s="294">
        <f>(+AD137-AD67)/AVERAGE(AC5:AD5)*4</f>
        <v>7.4740265308003082E-2</v>
      </c>
      <c r="AE139" s="294">
        <f>(+AE137-AE67)/AVERAGE(AD5:AE5)*4</f>
        <v>6.9814130242019379E-2</v>
      </c>
      <c r="AF139" s="294">
        <f>(+AF137-AF67)/AVERAGE(AE5:AF5)*4</f>
        <v>6.9356929783488397E-2</v>
      </c>
      <c r="AG139" s="294">
        <f>(+AG137-AG67)/AVERAGE(AF5:AG5)*4</f>
        <v>6.9419427783305898E-2</v>
      </c>
      <c r="AH139" s="437"/>
      <c r="AI139" s="294">
        <v>7.3931315427793839E-2</v>
      </c>
      <c r="AJ139" s="437"/>
      <c r="AL139" s="294">
        <f>(+AL137-AL67)/AVERAGE(AK5:AL5)</f>
        <v>0</v>
      </c>
      <c r="AM139" s="294">
        <f>(+AM137-AM67)/AVERAGE(AL5:AM5)</f>
        <v>6.0328776863988923E-2</v>
      </c>
      <c r="AN139" s="294">
        <f>(+AN137-AN67)/AVERAGE(AM5:AN5)</f>
        <v>6.0169442166995962E-2</v>
      </c>
      <c r="AO139" s="294">
        <f>(+AO137-AO67)/AVERAGE(AN5:AO5)</f>
        <v>7.9554935181619824E-2</v>
      </c>
      <c r="AP139" s="294">
        <f>(+AP137-AP67)/AVERAGE(AO5:AP5)</f>
        <v>7.7662305905367407E-2</v>
      </c>
      <c r="AQ139" s="294">
        <f>(+AQ137-AQ67)/AVERAGE(AP5:AQ5)</f>
        <v>7.8023574410180027E-2</v>
      </c>
      <c r="AR139" s="294">
        <f>(+AR137-AR67)/AVERAGE(AQ5:AR5)</f>
        <v>7.5736271143364647E-2</v>
      </c>
      <c r="AS139" s="294">
        <f>(+AS137-AS67)/AVERAGE(AR5:AS5)</f>
        <v>7.0824281365677727E-2</v>
      </c>
      <c r="AT139" s="294">
        <f>(+AT137-AT67)/AVERAGE(AS5:AT5)</f>
        <v>6.9822370653317811E-2</v>
      </c>
      <c r="AU139" s="294">
        <f>(+AU137-AU67)/AVERAGE(AT5:AU5)</f>
        <v>7.0274079088431057E-2</v>
      </c>
      <c r="AV139" s="294">
        <f>(+AV137-AV67)/AVERAGE(AU5:AV5)</f>
        <v>7.0631298070887208E-2</v>
      </c>
      <c r="AW139" s="294">
        <f>(+AW137-AW67)/AVERAGE(AV5:AW5)</f>
        <v>7.0987674666298697E-2</v>
      </c>
      <c r="AX139" s="294">
        <f>(+AX137-AX67)/AVERAGE(AW5:AX5)</f>
        <v>7.1349885727718054E-2</v>
      </c>
      <c r="AY139" s="294">
        <f>(+AY137-AY67)/AVERAGE(AX5:AY5)</f>
        <v>7.1542880006043127E-2</v>
      </c>
      <c r="AZ139" s="294">
        <f>(+AZ137-AZ67)/AVERAGE(AY5:AZ5)</f>
        <v>7.1700731753502278E-2</v>
      </c>
      <c r="BA139" s="294">
        <f>(+BA137-BA67)/AVERAGE(AZ5:BA5)</f>
        <v>7.1864418458305088E-2</v>
      </c>
      <c r="BB139" s="294">
        <f>(+BB137-BB67)/AVERAGE(BA5:BB5)</f>
        <v>7.2034306439397358E-2</v>
      </c>
    </row>
    <row r="140" spans="1:54" x14ac:dyDescent="0.25">
      <c r="B140" s="73">
        <f>+B138/B2</f>
        <v>0.87808966538195743</v>
      </c>
      <c r="C140" s="73">
        <f>+C138/C2</f>
        <v>0.87642810038321906</v>
      </c>
      <c r="D140" s="73">
        <f>+D138/D2</f>
        <v>0.94034755291128835</v>
      </c>
      <c r="E140" s="73" t="e">
        <f>+E138/E2</f>
        <v>#VALUE!</v>
      </c>
      <c r="F140" s="73" t="e">
        <f>+F138/F2</f>
        <v>#VALUE!</v>
      </c>
      <c r="G140" s="73">
        <f>+G138/G2</f>
        <v>1.2743699889498459</v>
      </c>
      <c r="H140" s="73">
        <f>+H138/H2</f>
        <v>1.4018380811473792</v>
      </c>
      <c r="I140" s="73">
        <f>+I138/I2</f>
        <v>1.6262696761690505</v>
      </c>
      <c r="J140" s="73">
        <f>+J138/J2</f>
        <v>1.5546867601877632</v>
      </c>
      <c r="K140" s="73">
        <f>+K138/K2</f>
        <v>1.4631004923341104</v>
      </c>
      <c r="L140" s="73">
        <f>+L138/L2</f>
        <v>1.4143267098447294</v>
      </c>
      <c r="M140" s="73">
        <f>+M138/M2</f>
        <v>1.242957859195035</v>
      </c>
      <c r="N140" s="73">
        <f>+N138/N2</f>
        <v>1.0645441795002817</v>
      </c>
      <c r="O140" s="73">
        <f>+O138/O2</f>
        <v>0.93821996705406896</v>
      </c>
      <c r="P140" s="73">
        <f>+P138/P2</f>
        <v>0.8686219989628714</v>
      </c>
      <c r="Q140" s="73">
        <f>+Q138/Q2</f>
        <v>1.0333509355035773</v>
      </c>
      <c r="R140" s="73">
        <f>+R138/R2</f>
        <v>0.71533465382436834</v>
      </c>
      <c r="S140" s="73">
        <f>+S138/S2</f>
        <v>0.71788707213708458</v>
      </c>
      <c r="T140" s="73">
        <f>+T138/T2</f>
        <v>0.77531029044319877</v>
      </c>
      <c r="U140" s="73">
        <f>+U138/U2</f>
        <v>0.78096287647972262</v>
      </c>
      <c r="V140" s="73">
        <f>+V138/V2</f>
        <v>0.78862079686995878</v>
      </c>
      <c r="W140" s="73">
        <f>+W138/W2</f>
        <v>0.78240123597037792</v>
      </c>
      <c r="X140" s="73">
        <f>+X138/X2</f>
        <v>0.82176531852994672</v>
      </c>
      <c r="Y140" s="73">
        <f>+Y138/Y2</f>
        <v>0.86000366049328747</v>
      </c>
      <c r="Z140" s="73">
        <f>+Z138/Z2</f>
        <v>0.91272907710170381</v>
      </c>
      <c r="AA140" s="73">
        <f>+AA138/AA2</f>
        <v>0.91865146826689204</v>
      </c>
      <c r="AB140" s="73">
        <f>+AB138/AB2</f>
        <v>1.1034466194010748</v>
      </c>
      <c r="AC140" s="73">
        <f>+AC138/AC2</f>
        <v>1.1511048742901964</v>
      </c>
      <c r="AD140" s="73">
        <f>+AD138/AD2</f>
        <v>1.1614766259529872</v>
      </c>
      <c r="AE140" s="73">
        <f>+AE138/AE2</f>
        <v>1.1248858620371427</v>
      </c>
      <c r="AF140" s="73">
        <f>+AF138/AF2</f>
        <v>1.1241317562881399</v>
      </c>
      <c r="AG140" s="73">
        <f>+AG138/AG2</f>
        <v>1.1696528559957897</v>
      </c>
      <c r="AH140" s="113"/>
      <c r="AI140" s="73">
        <v>1.1149285979019965</v>
      </c>
      <c r="AJ140" s="113"/>
      <c r="AK140" s="73"/>
      <c r="AL140" s="73" t="e">
        <f>+AL138/AL2</f>
        <v>#VALUE!</v>
      </c>
      <c r="AM140" s="73">
        <f>+AM138/AM2</f>
        <v>1.6537358480597169</v>
      </c>
      <c r="AN140" s="73">
        <f>+AN138/AN2</f>
        <v>1.1876131105174668</v>
      </c>
      <c r="AO140" s="73">
        <f>+AO138/AO2</f>
        <v>0.79158797391373448</v>
      </c>
      <c r="AP140" s="73">
        <f>+AP138/AP2</f>
        <v>0.75231648246429272</v>
      </c>
      <c r="AQ140" s="73">
        <f>+AQ138/AQ2</f>
        <v>0.86017707903183105</v>
      </c>
      <c r="AR140" s="73">
        <f>+AR138/AR2</f>
        <v>1.1392485490050914</v>
      </c>
      <c r="AS140" s="73">
        <f>+AS138/AS2</f>
        <v>1.1890782321080693</v>
      </c>
      <c r="AT140" s="73">
        <f>+AT138/AT2</f>
        <v>1.1663541301993983</v>
      </c>
      <c r="AU140" s="73">
        <f>+AU138/AU2</f>
        <v>1.1752232196157797</v>
      </c>
      <c r="AV140" s="73">
        <f>+AV138/AV2</f>
        <v>1.1802846912333584</v>
      </c>
      <c r="AW140" s="73">
        <f>+AW138/AW2</f>
        <v>1.1853184663472127</v>
      </c>
      <c r="AX140" s="73">
        <f>+AX138/AX2</f>
        <v>1.1903862702312726</v>
      </c>
      <c r="AY140" s="73">
        <f>+AY138/AY2</f>
        <v>1.1938595952585247</v>
      </c>
      <c r="AZ140" s="73">
        <f>+AZ138/AZ2</f>
        <v>1.1958616636470523</v>
      </c>
      <c r="BA140" s="73">
        <f>+BA138/BA2</f>
        <v>1.1979352772945304</v>
      </c>
      <c r="BB140" s="73">
        <f>+BB138/BB2</f>
        <v>1.2000838086241425</v>
      </c>
    </row>
    <row r="141" spans="1:54" x14ac:dyDescent="0.25">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113"/>
      <c r="AI141" s="73"/>
      <c r="AJ141" s="113"/>
      <c r="AK141" s="73"/>
      <c r="AL141" s="73"/>
      <c r="AM141" s="73"/>
      <c r="AN141" s="73"/>
      <c r="AO141" s="73"/>
      <c r="AP141" s="73"/>
      <c r="AQ141" s="73"/>
      <c r="AR141" s="73"/>
      <c r="AS141" s="73"/>
      <c r="AT141" s="73"/>
      <c r="AU141" s="73"/>
      <c r="AV141" s="73"/>
      <c r="AW141" s="73"/>
      <c r="AX141" s="73"/>
      <c r="AY141" s="73"/>
      <c r="AZ141" s="73"/>
      <c r="BA141" s="73"/>
      <c r="BB141" s="73"/>
    </row>
    <row r="142" spans="1:54" s="605" customFormat="1" x14ac:dyDescent="0.25">
      <c r="A142" s="603" t="s">
        <v>105</v>
      </c>
      <c r="B142" s="604" t="e">
        <f>+SUM(#REF!)/AVERAGE(#REF!)</f>
        <v>#REF!</v>
      </c>
      <c r="C142" s="604" t="e">
        <f>+SUM(#REF!)/AVERAGE(#REF!)</f>
        <v>#REF!</v>
      </c>
      <c r="D142" s="604">
        <f>+SUM(A137:D137)/AVERAGE(A149:D149)</f>
        <v>4.6194883077629617E-2</v>
      </c>
      <c r="E142" s="604">
        <f>+SUM(B137:E137)/AVERAGE(B149:E149)</f>
        <v>6.1442228866518137E-2</v>
      </c>
      <c r="F142" s="604">
        <f>+SUM(C137:F137)/AVERAGE(C149:F149)</f>
        <v>6.1024678637052826E-2</v>
      </c>
      <c r="G142" s="604">
        <f>+SUM(D137:G137)/AVERAGE(D149:G149)</f>
        <v>5.9989457854673425E-2</v>
      </c>
      <c r="H142" s="604">
        <f>+SUM(E137:H137)/AVERAGE(E149:H149)</f>
        <v>5.8013769745639009E-2</v>
      </c>
      <c r="I142" s="604">
        <f>+SUM(F137:I137)/AVERAGE(F149:I149)</f>
        <v>5.6879466187118449E-2</v>
      </c>
      <c r="J142" s="604">
        <f>+SUM(G137:J137)/AVERAGE(G149:J149)</f>
        <v>5.5269322600066395E-2</v>
      </c>
      <c r="K142" s="604">
        <f>+SUM(H137:K137)/AVERAGE(H149:K149)</f>
        <v>5.3855578121537656E-2</v>
      </c>
      <c r="L142" s="604">
        <f>+SUM(I137:L137)/AVERAGE(I149:L149)</f>
        <v>5.2812021299875993E-2</v>
      </c>
      <c r="M142" s="604">
        <f>+SUM(J137:M137)/AVERAGE(J149:M149)</f>
        <v>5.2181047826881377E-2</v>
      </c>
      <c r="N142" s="604">
        <f>+SUM(K137:N137)/AVERAGE(K149:N149)</f>
        <v>5.2192292649640926E-2</v>
      </c>
      <c r="O142" s="604">
        <f>+SUM(L137:O137)/AVERAGE(L149:O149)</f>
        <v>5.3411493338121278E-2</v>
      </c>
      <c r="P142" s="604">
        <f>+SUM(M137:P137)/AVERAGE(M149:P149)</f>
        <v>5.4836938754109686E-2</v>
      </c>
      <c r="Q142" s="604">
        <f>+SUM(N137:Q137)/AVERAGE(N149:Q149)</f>
        <v>6.0077176645222267E-2</v>
      </c>
      <c r="R142" s="604">
        <f>+SUM(O137:R137)/AVERAGE(O149:R149)</f>
        <v>6.0479165985103764E-2</v>
      </c>
      <c r="S142" s="604">
        <f>+SUM(P137:S137)/AVERAGE(P149:S149)</f>
        <v>5.9642933179232943E-2</v>
      </c>
      <c r="T142" s="604">
        <f>+SUM(Q137:T137)/AVERAGE(Q149:T149)</f>
        <v>6.0169337557347248E-2</v>
      </c>
      <c r="U142" s="604">
        <f>+SUM(R137:U137)/AVERAGE(R149:U149)</f>
        <v>5.8380742744828171E-2</v>
      </c>
      <c r="V142" s="604">
        <f>+SUM(S137:V137)/AVERAGE(S149:V149)</f>
        <v>6.105930710510863E-2</v>
      </c>
      <c r="W142" s="604">
        <f>+SUM(T137:W137)/AVERAGE(T149:W149)</f>
        <v>6.418177911778386E-2</v>
      </c>
      <c r="X142" s="604">
        <f>+SUM(U137:X137)/AVERAGE(U149:X149)</f>
        <v>6.550259755313656E-2</v>
      </c>
      <c r="Y142" s="604">
        <f>+SUM(V137:Y137)/AVERAGE(V149:Y149)</f>
        <v>6.5769730461673587E-2</v>
      </c>
      <c r="Z142" s="604">
        <f>+SUM(W137:Z137)/AVERAGE(W149:Z149)</f>
        <v>6.485116994747174E-2</v>
      </c>
      <c r="AA142" s="604">
        <f>+SUM(X137:AA137)/AVERAGE(X149:AA149)</f>
        <v>6.4842174881431777E-2</v>
      </c>
      <c r="AB142" s="604">
        <f>+SUM(Y137:AB137)/AVERAGE(Y149:AB149)</f>
        <v>6.4907634948403736E-2</v>
      </c>
      <c r="AC142" s="604">
        <f>+SUM(Z137:AC137)/AVERAGE(Z149:AC149)</f>
        <v>6.461656949233556E-2</v>
      </c>
      <c r="AD142" s="604">
        <f>+SUM(AA137:AD137)/AVERAGE(AA149:AD149)</f>
        <v>6.4835333540071691E-2</v>
      </c>
      <c r="AE142" s="604">
        <f>+SUM(AB137:AE137)/AVERAGE(AB149:AE149)</f>
        <v>6.3433826629501006E-2</v>
      </c>
      <c r="AF142" s="604">
        <f>+SUM(AC137:AF137)/AVERAGE(AC149:AF149)</f>
        <v>6.2063997593669699E-2</v>
      </c>
      <c r="AG142" s="604">
        <f>+SUM(AD137:AG137)/AVERAGE(AD149:AG149)</f>
        <v>6.1138133138365455E-2</v>
      </c>
      <c r="AH142" s="604"/>
      <c r="AI142" s="604">
        <v>6.4004173420188812E-2</v>
      </c>
      <c r="AJ142" s="604"/>
      <c r="AL142" s="604" t="e">
        <f>+AL137/AVERAGEIFS($B$149:$AG$149,$B$4:$AG$4,"&gt;"&amp;AK$3,$B$4:$AG$4,"&lt;="&amp;AL$3)</f>
        <v>#DIV/0!</v>
      </c>
      <c r="AM142" s="604">
        <f>+AM137/AVERAGEIFS($B$149:$AG$149,$B$4:$AG$4,"&gt;"&amp;AL$3,$B$4:$AG$4,"&lt;="&amp;AM$3)</f>
        <v>5.6879466187118449E-2</v>
      </c>
      <c r="AN142" s="604">
        <f>+AN137/AVERAGEIFS($B$149:$AG$149,$B$4:$AG$4,"&gt;"&amp;AM$3,$B$4:$AG$4,"&lt;="&amp;AN$3)</f>
        <v>5.2181047826881377E-2</v>
      </c>
      <c r="AO142" s="604">
        <f>+AO137/AVERAGEIFS($B$149:$AG$149,$B$4:$AG$4,"&gt;"&amp;AN$3,$B$4:$AG$4,"&lt;="&amp;AO$3)</f>
        <v>6.0077176645222267E-2</v>
      </c>
      <c r="AP142" s="604">
        <f>+AP137/AVERAGEIFS($B$149:$AG$149,$B$4:$AG$4,"&gt;"&amp;AO$3,$B$4:$AG$4,"&lt;="&amp;AP$3)</f>
        <v>5.8380742744828171E-2</v>
      </c>
      <c r="AQ142" s="604">
        <f>+AQ137/AVERAGEIFS($B$149:$AG$149,$B$4:$AG$4,"&gt;"&amp;AP$3,$B$4:$AG$4,"&lt;="&amp;AQ$3)</f>
        <v>6.5769730461673587E-2</v>
      </c>
      <c r="AR142" s="604">
        <f>+AR137/AVERAGEIFS($B$149:$AG$149,$B$4:$AG$4,"&gt;"&amp;AQ$3,$B$4:$AG$4,"&lt;="&amp;AR$3)</f>
        <v>6.461656949233556E-2</v>
      </c>
      <c r="AS142" s="604">
        <f>+AS137/AVERAGEIFS($B$149:$AG$149,$B$4:$AG$4,"&gt;"&amp;AR$3,$B$4:$AG$4,"&lt;="&amp;AS$3)</f>
        <v>6.1138133138365462E-2</v>
      </c>
      <c r="AT142" s="606">
        <f>+SUM(AT137)/AVERAGE(AS149:AT149)</f>
        <v>6.0421980125963254E-2</v>
      </c>
      <c r="AU142" s="606">
        <f>+SUM(AU137)/AVERAGE(AT149:AU149)</f>
        <v>6.0621917383216983E-2</v>
      </c>
      <c r="AV142" s="606">
        <f>+SUM(AV137)/AVERAGE(AU149:AV149)</f>
        <v>6.042020193072898E-2</v>
      </c>
      <c r="AW142" s="606">
        <f>+SUM(AW137)/AVERAGE(AV149:AW149)</f>
        <v>6.0231429236960302E-2</v>
      </c>
      <c r="AX142" s="606">
        <f>+SUM(AX137)/AVERAGE(AW149:AX149)</f>
        <v>6.0056703457998732E-2</v>
      </c>
      <c r="AY142" s="606">
        <f>+SUM(AY137)/AVERAGE(AX149:AY149)</f>
        <v>5.9717988327994659E-2</v>
      </c>
      <c r="AZ142" s="606">
        <f>+SUM(AZ137)/AVERAGE(AY149:AZ149)</f>
        <v>5.9235955965696696E-2</v>
      </c>
      <c r="BA142" s="606">
        <f>+SUM(BA137)/AVERAGE(AZ149:BA149)</f>
        <v>5.8788051437726321E-2</v>
      </c>
      <c r="BB142" s="606">
        <f>+SUM(BB137)/AVERAGE(BA149:BB149)</f>
        <v>5.8370491274984768E-2</v>
      </c>
    </row>
    <row r="143" spans="1:54" s="467" customFormat="1" x14ac:dyDescent="0.25">
      <c r="A143" s="480"/>
      <c r="B143" s="481"/>
      <c r="C143" s="481"/>
      <c r="D143" s="481"/>
      <c r="E143" s="481"/>
      <c r="F143" s="481"/>
      <c r="G143" s="481"/>
      <c r="H143" s="481"/>
      <c r="I143" s="481"/>
      <c r="J143" s="481"/>
      <c r="K143" s="481"/>
      <c r="L143" s="481"/>
      <c r="M143" s="481"/>
      <c r="N143" s="481"/>
      <c r="O143" s="481"/>
      <c r="P143" s="481"/>
      <c r="Q143" s="481"/>
      <c r="R143" s="481"/>
      <c r="S143" s="481"/>
      <c r="T143" s="481"/>
      <c r="U143" s="481"/>
      <c r="V143" s="481"/>
      <c r="W143" s="481"/>
      <c r="X143" s="481"/>
      <c r="Y143" s="481"/>
      <c r="Z143" s="481"/>
      <c r="AA143" s="481"/>
      <c r="AB143" s="481"/>
      <c r="AC143" s="481"/>
      <c r="AD143" s="481"/>
      <c r="AE143" s="481"/>
      <c r="AF143" s="481"/>
      <c r="AG143" s="481"/>
      <c r="AH143" s="482"/>
      <c r="AI143" s="481"/>
      <c r="AJ143" s="482"/>
      <c r="AL143" s="481"/>
      <c r="AM143" s="481"/>
      <c r="AN143" s="481"/>
      <c r="AO143" s="481"/>
      <c r="AP143" s="481"/>
      <c r="AQ143" s="481"/>
      <c r="AR143" s="597">
        <f>+AVERAGE(Z149:AC149)</f>
        <v>239334.89693900212</v>
      </c>
      <c r="AS143" s="481">
        <f>+AS142-AR142</f>
        <v>-3.4784363539700977E-3</v>
      </c>
      <c r="AT143" s="512"/>
      <c r="AU143" s="512"/>
      <c r="AV143" s="512"/>
      <c r="AW143" s="512"/>
      <c r="AX143" s="512"/>
      <c r="AY143" s="512"/>
      <c r="AZ143" s="512"/>
      <c r="BA143" s="512"/>
      <c r="BB143" s="512"/>
    </row>
    <row r="144" spans="1:54" s="611" customFormat="1" ht="11.25" x14ac:dyDescent="0.2">
      <c r="A144" s="608"/>
      <c r="B144" s="609"/>
      <c r="C144" s="609"/>
      <c r="D144" s="609"/>
      <c r="E144" s="609"/>
      <c r="F144" s="609"/>
      <c r="G144" s="609"/>
      <c r="H144" s="609"/>
      <c r="I144" s="609"/>
      <c r="J144" s="609"/>
      <c r="K144" s="609"/>
      <c r="L144" s="609"/>
      <c r="M144" s="609"/>
      <c r="N144" s="609"/>
      <c r="O144" s="609"/>
      <c r="P144" s="609"/>
      <c r="Q144" s="609"/>
      <c r="R144" s="609"/>
      <c r="S144" s="609"/>
      <c r="T144" s="609"/>
      <c r="U144" s="609">
        <f>+U2-T2</f>
        <v>-3.0000000000168781E-6</v>
      </c>
      <c r="V144" s="609">
        <f>+V2-U2</f>
        <v>-2.5399999999999867E-3</v>
      </c>
      <c r="W144" s="609">
        <f>+W2-V2</f>
        <v>-3.999999999999837E-5</v>
      </c>
      <c r="X144" s="609">
        <f>+X2-W2</f>
        <v>-5.0450000000000078E-3</v>
      </c>
      <c r="Y144" s="609">
        <f>+Y2-X2</f>
        <v>-4.9500000000000099E-3</v>
      </c>
      <c r="Z144" s="609">
        <f>+Z2-Y2</f>
        <v>-9.7459999999999769E-3</v>
      </c>
      <c r="AA144" s="609">
        <f>+AA2-Z2</f>
        <v>0</v>
      </c>
      <c r="AB144" s="609">
        <f>+AB2-AA2</f>
        <v>-1.5204000000000009E-2</v>
      </c>
      <c r="AC144" s="609">
        <f>+AC2-AB2</f>
        <v>-2.5000000000000022E-3</v>
      </c>
      <c r="AD144" s="609"/>
      <c r="AE144" s="609"/>
      <c r="AF144" s="609"/>
      <c r="AG144" s="609"/>
      <c r="AH144" s="610"/>
      <c r="AI144" s="609">
        <v>-2.5000000000000022E-3</v>
      </c>
      <c r="AJ144" s="610"/>
      <c r="AL144" s="609"/>
      <c r="AM144" s="609"/>
      <c r="AN144" s="609"/>
      <c r="AO144" s="609">
        <f>+AO2-AN2</f>
        <v>4.7899999999999998E-2</v>
      </c>
      <c r="AP144" s="609">
        <f>+AP2-AO2</f>
        <v>1.0024999999999992E-2</v>
      </c>
      <c r="AQ144" s="609">
        <f>+AQ2-AP2</f>
        <v>-1.2575000000000003E-2</v>
      </c>
      <c r="AR144" s="609">
        <f>+AR2-AQ2</f>
        <v>-2.7449999999999988E-2</v>
      </c>
      <c r="AS144" s="609"/>
      <c r="AT144" s="612"/>
      <c r="AU144" s="612"/>
      <c r="AV144" s="612"/>
      <c r="AW144" s="612"/>
      <c r="AX144" s="612"/>
      <c r="AY144" s="612"/>
      <c r="AZ144" s="612"/>
      <c r="BA144" s="612"/>
      <c r="BB144" s="612"/>
    </row>
    <row r="145" spans="1:54" s="611" customFormat="1" ht="11.25" x14ac:dyDescent="0.2">
      <c r="A145" s="608"/>
      <c r="B145" s="609"/>
      <c r="C145" s="609"/>
      <c r="D145" s="609"/>
      <c r="E145" s="609"/>
      <c r="F145" s="609"/>
      <c r="G145" s="609"/>
      <c r="H145" s="609"/>
      <c r="I145" s="609"/>
      <c r="J145" s="609"/>
      <c r="K145" s="609"/>
      <c r="L145" s="609"/>
      <c r="M145" s="609"/>
      <c r="N145" s="609"/>
      <c r="O145" s="609"/>
      <c r="P145" s="609"/>
      <c r="Q145" s="609"/>
      <c r="R145" s="609"/>
      <c r="S145" s="609"/>
      <c r="T145" s="609"/>
      <c r="U145" s="609">
        <f t="shared" ref="U145:Y145" si="437">+U142-T142</f>
        <v>-1.7885948125190773E-3</v>
      </c>
      <c r="V145" s="609">
        <f t="shared" si="437"/>
        <v>2.6785643602804596E-3</v>
      </c>
      <c r="W145" s="609">
        <f t="shared" si="437"/>
        <v>3.1224720126752301E-3</v>
      </c>
      <c r="X145" s="609">
        <f t="shared" si="437"/>
        <v>1.3208184353526997E-3</v>
      </c>
      <c r="Y145" s="609">
        <f t="shared" si="437"/>
        <v>2.6713290853702665E-4</v>
      </c>
      <c r="Z145" s="609">
        <f>+Z142-Y142</f>
        <v>-9.1856051420184659E-4</v>
      </c>
      <c r="AA145" s="609">
        <f>+AA142-Z142</f>
        <v>-8.9950660399629179E-6</v>
      </c>
      <c r="AB145" s="609">
        <f t="shared" ref="AB145:AC145" si="438">+AB142-AA142</f>
        <v>6.5460066971959052E-5</v>
      </c>
      <c r="AC145" s="609">
        <f t="shared" si="438"/>
        <v>-2.9106545606817635E-4</v>
      </c>
      <c r="AD145" s="609"/>
      <c r="AE145" s="609"/>
      <c r="AF145" s="609"/>
      <c r="AG145" s="609"/>
      <c r="AH145" s="610"/>
      <c r="AI145" s="609">
        <v>-2.1834357271512117E-4</v>
      </c>
      <c r="AJ145" s="610"/>
      <c r="AL145" s="609"/>
      <c r="AM145" s="609"/>
      <c r="AN145" s="609"/>
      <c r="AO145" s="609">
        <f t="shared" ref="AO145:AR145" si="439">+AO142-AN142</f>
        <v>7.8961288183408904E-3</v>
      </c>
      <c r="AP145" s="609">
        <f t="shared" si="439"/>
        <v>-1.6964339003940967E-3</v>
      </c>
      <c r="AQ145" s="609">
        <f t="shared" si="439"/>
        <v>7.388987716845416E-3</v>
      </c>
      <c r="AR145" s="609">
        <f t="shared" si="439"/>
        <v>-1.1531609693380268E-3</v>
      </c>
      <c r="AS145" s="609"/>
      <c r="AT145" s="612"/>
      <c r="AU145" s="612"/>
      <c r="AV145" s="612"/>
      <c r="AW145" s="612"/>
      <c r="AX145" s="612"/>
      <c r="AY145" s="612"/>
      <c r="AZ145" s="612"/>
      <c r="BA145" s="612"/>
      <c r="BB145" s="612"/>
    </row>
    <row r="146" spans="1:54" s="614" customFormat="1" ht="11.25" x14ac:dyDescent="0.2">
      <c r="A146" s="613"/>
      <c r="B146" s="610"/>
      <c r="C146" s="610"/>
      <c r="D146" s="610"/>
      <c r="E146" s="610"/>
      <c r="F146" s="610"/>
      <c r="G146" s="610"/>
      <c r="H146" s="610"/>
      <c r="I146" s="610"/>
      <c r="J146" s="610"/>
      <c r="K146" s="610"/>
      <c r="L146" s="610"/>
      <c r="M146" s="610"/>
      <c r="N146" s="610"/>
      <c r="O146" s="610"/>
      <c r="P146" s="610"/>
      <c r="Q146" s="610"/>
      <c r="R146" s="610"/>
      <c r="S146" s="610"/>
      <c r="T146" s="610"/>
      <c r="U146" s="610">
        <f t="shared" ref="U146:Y146" si="440">-1%*U145/U144</f>
        <v>-5.9619827083633821</v>
      </c>
      <c r="V146" s="610">
        <f t="shared" si="440"/>
        <v>1.054552897748218E-2</v>
      </c>
      <c r="W146" s="610">
        <f t="shared" si="440"/>
        <v>0.78061800316883934</v>
      </c>
      <c r="X146" s="610">
        <f t="shared" si="440"/>
        <v>2.6180742028794803E-3</v>
      </c>
      <c r="Y146" s="610">
        <f t="shared" si="440"/>
        <v>5.3966244148894165E-4</v>
      </c>
      <c r="Z146" s="610">
        <f>-1%*Z145/Z144</f>
        <v>-9.4250001457197696E-4</v>
      </c>
      <c r="AA146" s="610" t="e">
        <f>-1%*AA145/AA144</f>
        <v>#DIV/0!</v>
      </c>
      <c r="AB146" s="610">
        <f t="shared" ref="AB146" si="441">-1%*AB145/AB144</f>
        <v>4.3054503401709428E-5</v>
      </c>
      <c r="AC146" s="610">
        <f t="shared" ref="AC146" si="442">-1%*AC145/AC144</f>
        <v>-1.1642618242727043E-3</v>
      </c>
      <c r="AD146" s="610"/>
      <c r="AE146" s="610"/>
      <c r="AF146" s="610"/>
      <c r="AG146" s="610"/>
      <c r="AH146" s="610"/>
      <c r="AI146" s="610">
        <v>-8.7337429086048392E-4</v>
      </c>
      <c r="AJ146" s="610"/>
      <c r="AL146" s="610"/>
      <c r="AM146" s="610"/>
      <c r="AN146" s="610"/>
      <c r="AO146" s="610">
        <f t="shared" ref="AO146:AR146" si="443">-1%*AO145/AO144</f>
        <v>-1.648461131177639E-3</v>
      </c>
      <c r="AP146" s="610">
        <f t="shared" si="443"/>
        <v>1.6922033919143124E-3</v>
      </c>
      <c r="AQ146" s="610">
        <f t="shared" si="443"/>
        <v>5.8759345660798525E-3</v>
      </c>
      <c r="AR146" s="610">
        <f t="shared" si="443"/>
        <v>-4.2009507079709556E-4</v>
      </c>
      <c r="AS146" s="610"/>
      <c r="AT146" s="615"/>
      <c r="AU146" s="615"/>
      <c r="AV146" s="615"/>
      <c r="AW146" s="615"/>
      <c r="AX146" s="615"/>
      <c r="AY146" s="615"/>
      <c r="AZ146" s="615"/>
      <c r="BA146" s="615"/>
      <c r="BB146" s="615"/>
    </row>
    <row r="147" spans="1:54" s="611" customFormat="1" ht="11.25" x14ac:dyDescent="0.2">
      <c r="A147" s="608"/>
      <c r="B147" s="609"/>
      <c r="C147" s="609"/>
      <c r="D147" s="609"/>
      <c r="E147" s="609"/>
      <c r="F147" s="609"/>
      <c r="G147" s="609"/>
      <c r="H147" s="609"/>
      <c r="I147" s="609"/>
      <c r="J147" s="609"/>
      <c r="K147" s="609"/>
      <c r="L147" s="609"/>
      <c r="M147" s="609"/>
      <c r="N147" s="609"/>
      <c r="O147" s="609"/>
      <c r="P147" s="609"/>
      <c r="Q147" s="609"/>
      <c r="R147" s="609"/>
      <c r="S147" s="609"/>
      <c r="T147" s="609"/>
      <c r="U147" s="609"/>
      <c r="V147" s="609"/>
      <c r="W147" s="609"/>
      <c r="X147" s="609"/>
      <c r="Y147" s="609"/>
      <c r="Z147" s="609"/>
      <c r="AA147" s="609"/>
      <c r="AB147" s="609"/>
      <c r="AC147" s="609"/>
      <c r="AD147" s="609"/>
      <c r="AE147" s="609"/>
      <c r="AF147" s="609"/>
      <c r="AG147" s="609"/>
      <c r="AH147" s="610"/>
      <c r="AI147" s="609"/>
      <c r="AJ147" s="610"/>
      <c r="AL147" s="609"/>
      <c r="AM147" s="609"/>
      <c r="AN147" s="609"/>
      <c r="AO147" s="609"/>
      <c r="AP147" s="609"/>
      <c r="AQ147" s="609"/>
      <c r="AR147" s="609"/>
      <c r="AS147" s="609"/>
      <c r="AT147" s="612"/>
      <c r="AU147" s="612"/>
      <c r="AV147" s="612"/>
      <c r="AW147" s="612"/>
      <c r="AX147" s="612"/>
      <c r="AY147" s="612"/>
      <c r="AZ147" s="612"/>
      <c r="BA147" s="612"/>
      <c r="BB147" s="612"/>
    </row>
    <row r="149" spans="1:54" s="42" customFormat="1" x14ac:dyDescent="0.25">
      <c r="A149" s="2" t="s">
        <v>106</v>
      </c>
      <c r="B149" s="39">
        <f t="shared" ref="B149:V149" si="444">+SUM(B150:B152)</f>
        <v>124296</v>
      </c>
      <c r="C149" s="39">
        <f t="shared" si="444"/>
        <v>125425</v>
      </c>
      <c r="D149" s="39">
        <f t="shared" si="444"/>
        <v>124801</v>
      </c>
      <c r="E149" s="39">
        <f t="shared" si="444"/>
        <v>126827</v>
      </c>
      <c r="F149" s="39">
        <f t="shared" si="444"/>
        <v>133429</v>
      </c>
      <c r="G149" s="39">
        <f t="shared" si="444"/>
        <v>130967</v>
      </c>
      <c r="H149" s="39">
        <f t="shared" si="444"/>
        <v>130791</v>
      </c>
      <c r="I149" s="39">
        <f t="shared" si="444"/>
        <v>133088</v>
      </c>
      <c r="J149" s="39">
        <f t="shared" si="444"/>
        <v>138325</v>
      </c>
      <c r="K149" s="39">
        <f t="shared" si="444"/>
        <v>143849</v>
      </c>
      <c r="L149" s="39">
        <f t="shared" si="444"/>
        <v>146807</v>
      </c>
      <c r="M149" s="39">
        <f t="shared" si="444"/>
        <v>151153</v>
      </c>
      <c r="N149" s="39">
        <f t="shared" si="444"/>
        <v>159046</v>
      </c>
      <c r="O149" s="39">
        <f t="shared" si="444"/>
        <v>161213</v>
      </c>
      <c r="P149" s="39">
        <f t="shared" si="444"/>
        <v>177056</v>
      </c>
      <c r="Q149" s="39">
        <f t="shared" si="444"/>
        <v>192531</v>
      </c>
      <c r="R149" s="39">
        <f t="shared" si="444"/>
        <v>202808</v>
      </c>
      <c r="S149" s="39">
        <f t="shared" si="444"/>
        <v>216701</v>
      </c>
      <c r="T149" s="39">
        <f t="shared" si="444"/>
        <v>219081</v>
      </c>
      <c r="U149" s="39">
        <f t="shared" si="444"/>
        <v>210046</v>
      </c>
      <c r="V149" s="39">
        <f t="shared" si="444"/>
        <v>205672</v>
      </c>
      <c r="W149" s="39">
        <f t="shared" ref="W149:AG149" si="445">+SUM(W150:W152)</f>
        <v>212295</v>
      </c>
      <c r="X149" s="39">
        <f t="shared" si="445"/>
        <v>226060</v>
      </c>
      <c r="Y149" s="39">
        <f t="shared" ref="Y149:Z149" si="446">+SUM(Y150:Y152)</f>
        <v>230357</v>
      </c>
      <c r="Z149" s="39">
        <f t="shared" si="446"/>
        <v>235944</v>
      </c>
      <c r="AA149" s="39">
        <f t="shared" ref="AA149" si="447">+SUM(AA150:AA152)</f>
        <v>230371.77553392958</v>
      </c>
      <c r="AB149" s="39">
        <f t="shared" si="445"/>
        <v>240720.79994245313</v>
      </c>
      <c r="AC149" s="39">
        <f t="shared" ref="AC149" si="448">+SUM(AC150:AC152)</f>
        <v>250303.01227962572</v>
      </c>
      <c r="AD149" s="94">
        <f t="shared" si="445"/>
        <v>250543.00481493777</v>
      </c>
      <c r="AE149" s="94">
        <f t="shared" si="445"/>
        <v>253013.77256180989</v>
      </c>
      <c r="AF149" s="94">
        <f t="shared" si="445"/>
        <v>263607.50195100321</v>
      </c>
      <c r="AG149" s="94">
        <f t="shared" si="445"/>
        <v>266054.04299269291</v>
      </c>
      <c r="AH149" s="432"/>
      <c r="AI149" s="94">
        <v>242635.01552228248</v>
      </c>
      <c r="AJ149" s="432"/>
      <c r="AL149" s="39">
        <f t="shared" ref="AL149:AS149" si="449">+SUM(AL150:AL152)</f>
        <v>126827</v>
      </c>
      <c r="AM149" s="39">
        <f t="shared" si="449"/>
        <v>133088</v>
      </c>
      <c r="AN149" s="39">
        <f t="shared" si="449"/>
        <v>151153</v>
      </c>
      <c r="AO149" s="39">
        <f t="shared" si="449"/>
        <v>192531</v>
      </c>
      <c r="AP149" s="39">
        <f t="shared" si="449"/>
        <v>210046</v>
      </c>
      <c r="AQ149" s="39">
        <f t="shared" si="449"/>
        <v>230357</v>
      </c>
      <c r="AR149" s="39">
        <f t="shared" si="449"/>
        <v>250303.01227962572</v>
      </c>
      <c r="AS149" s="39">
        <f t="shared" si="449"/>
        <v>266054.04299269291</v>
      </c>
      <c r="AT149" s="94">
        <f>+AT150+AT151+AT152</f>
        <v>291382.42175457359</v>
      </c>
      <c r="AU149" s="94">
        <f t="shared" ref="AU149:BB149" si="450">+AU150+AU151+AU152</f>
        <v>312337.69739582</v>
      </c>
      <c r="AV149" s="94">
        <f t="shared" si="450"/>
        <v>334710.42018803774</v>
      </c>
      <c r="AW149" s="94">
        <f t="shared" si="450"/>
        <v>358782.31975738803</v>
      </c>
      <c r="AX149" s="94">
        <f t="shared" si="450"/>
        <v>384712.96157801832</v>
      </c>
      <c r="AY149" s="94">
        <f t="shared" si="450"/>
        <v>408590.51745034207</v>
      </c>
      <c r="AZ149" s="94">
        <f t="shared" si="450"/>
        <v>433868.6440805787</v>
      </c>
      <c r="BA149" s="94">
        <f t="shared" si="450"/>
        <v>460692.36892580846</v>
      </c>
      <c r="BB149" s="94">
        <f t="shared" si="450"/>
        <v>489161.45606433833</v>
      </c>
    </row>
    <row r="150" spans="1:54" x14ac:dyDescent="0.25">
      <c r="A150" t="s">
        <v>107</v>
      </c>
      <c r="B150" s="41">
        <f>+PROJ!B33-PROJ!B42</f>
        <v>100057</v>
      </c>
      <c r="C150" s="41">
        <f>+PROJ!C33-PROJ!C42</f>
        <v>104025</v>
      </c>
      <c r="D150" s="41">
        <f>+PROJ!D33-PROJ!D42</f>
        <v>105734</v>
      </c>
      <c r="E150" s="41">
        <f>+PROJ!E33-PROJ!E42</f>
        <v>105591</v>
      </c>
      <c r="F150" s="41">
        <f>+PROJ!F33-PROJ!F42</f>
        <v>110926</v>
      </c>
      <c r="G150" s="41">
        <f>+PROJ!G33-PROJ!G42</f>
        <v>109200</v>
      </c>
      <c r="H150" s="41">
        <f>+PROJ!H33-PROJ!H42</f>
        <v>108842</v>
      </c>
      <c r="I150" s="41">
        <f>+PROJ!I33-PROJ!I42</f>
        <v>107790</v>
      </c>
      <c r="J150" s="41">
        <f>+PROJ!J33-PROJ!J42</f>
        <v>110018</v>
      </c>
      <c r="K150" s="41">
        <f>+PROJ!K33-PROJ!K42</f>
        <v>111826</v>
      </c>
      <c r="L150" s="41">
        <f>+PROJ!L33-PROJ!L42</f>
        <v>112526</v>
      </c>
      <c r="M150" s="41">
        <f>+PROJ!M33-PROJ!M42</f>
        <v>115125</v>
      </c>
      <c r="N150" s="41">
        <f>+PROJ!N33-PROJ!N42</f>
        <v>118175</v>
      </c>
      <c r="O150" s="41">
        <f>+PROJ!O33-PROJ!O42</f>
        <v>120736</v>
      </c>
      <c r="P150" s="41">
        <f>+PROJ!P33-PROJ!P42</f>
        <v>123218</v>
      </c>
      <c r="Q150" s="41">
        <f>+PROJ!Q33-PROJ!Q42</f>
        <v>134653</v>
      </c>
      <c r="R150" s="41">
        <f>+PROJ!R33-PROJ!R42</f>
        <v>140079</v>
      </c>
      <c r="S150" s="41">
        <f>+PROJ!S33-PROJ!S42</f>
        <v>144534</v>
      </c>
      <c r="T150" s="41">
        <f>+PROJ!T33-PROJ!T42</f>
        <v>148328</v>
      </c>
      <c r="U150" s="41">
        <f>+PROJ!U33-PROJ!U42</f>
        <v>151875</v>
      </c>
      <c r="V150" s="41">
        <f>+PROJ!V33-PROJ!V42</f>
        <v>157255</v>
      </c>
      <c r="W150" s="41">
        <f>+PROJ!W33-PROJ!W42</f>
        <v>162688</v>
      </c>
      <c r="X150" s="41">
        <f>+PROJ!X33-PROJ!X42</f>
        <v>167666</v>
      </c>
      <c r="Y150" s="41">
        <f>+PROJ!Y33-PROJ!Y42</f>
        <v>173427</v>
      </c>
      <c r="Z150" s="41">
        <f>+PROJ!Z33-PROJ!Z42</f>
        <v>177249</v>
      </c>
      <c r="AA150" s="41">
        <f>+PROJ!AA33-PROJ!AA42</f>
        <v>179816</v>
      </c>
      <c r="AB150" s="41">
        <f>+PROJ!AB33-PROJ!AB42</f>
        <v>184110</v>
      </c>
      <c r="AC150" s="41">
        <f>+PROJ!AC33-PROJ!AC42</f>
        <v>187111</v>
      </c>
      <c r="AD150" s="41">
        <f>+PROJ!AD33-PROJ!AD42</f>
        <v>187401.05301671536</v>
      </c>
      <c r="AE150" s="41">
        <f>+PROJ!AE33-PROJ!AE42</f>
        <v>189978.29637912862</v>
      </c>
      <c r="AF150" s="41">
        <f>+PROJ!AF33-PROJ!AF42</f>
        <v>198939.45608624152</v>
      </c>
      <c r="AG150" s="41">
        <f>+PROJ!AG33-PROJ!AG42</f>
        <v>199311.63501903039</v>
      </c>
      <c r="AH150" s="433"/>
      <c r="AI150" s="41">
        <v>185511.57465714289</v>
      </c>
      <c r="AJ150" s="433"/>
      <c r="AL150" s="41">
        <f>+PROJ!AL33-PROJ!AL42</f>
        <v>105591</v>
      </c>
      <c r="AM150" s="41">
        <f>+PROJ!AM33-PROJ!AM42</f>
        <v>107790</v>
      </c>
      <c r="AN150" s="41">
        <f>+PROJ!AN33-PROJ!AN42</f>
        <v>115125</v>
      </c>
      <c r="AO150" s="41">
        <f>+PROJ!AO33-PROJ!AO42</f>
        <v>134653</v>
      </c>
      <c r="AP150" s="41">
        <f>+PROJ!AP33-PROJ!AP42</f>
        <v>151875</v>
      </c>
      <c r="AQ150" s="41">
        <f>+PROJ!AQ33-PROJ!AQ42</f>
        <v>173427</v>
      </c>
      <c r="AR150" s="41">
        <f>+PROJ!AR33-PROJ!AR42</f>
        <v>187111</v>
      </c>
      <c r="AS150" s="41">
        <f>+PROJ!AS33-PROJ!AS42</f>
        <v>199311.63501903039</v>
      </c>
      <c r="AT150" s="41">
        <f>+PROJ!AT33-PROJ!AT42</f>
        <v>218523.38528771623</v>
      </c>
      <c r="AU150" s="41">
        <f>+PROJ!AU33-PROJ!AU42</f>
        <v>232282.35948441774</v>
      </c>
      <c r="AV150" s="41">
        <f>+PROJ!AV33-PROJ!AV42</f>
        <v>247043.39017537204</v>
      </c>
      <c r="AW150" s="41">
        <f>+PROJ!AW33-PROJ!AW42</f>
        <v>262717.2660960221</v>
      </c>
      <c r="AX150" s="41">
        <f>+PROJ!AX33-PROJ!AX42</f>
        <v>279589.76158187113</v>
      </c>
      <c r="AY150" s="41">
        <f>+PROJ!AY33-PROJ!AY42</f>
        <v>293834.37719884427</v>
      </c>
      <c r="AZ150" s="41">
        <f>+PROJ!AZ33-PROJ!AZ42</f>
        <v>308959.72755638894</v>
      </c>
      <c r="BA150" s="41">
        <f>+PROJ!BA33-PROJ!BA42</f>
        <v>324983.34634562104</v>
      </c>
      <c r="BB150" s="41">
        <f>+PROJ!BB33-PROJ!BB42</f>
        <v>341992.54307501833</v>
      </c>
    </row>
    <row r="151" spans="1:54" x14ac:dyDescent="0.25">
      <c r="A151" t="s">
        <v>108</v>
      </c>
      <c r="B151" s="41">
        <f>+PROJ!B30</f>
        <v>16436</v>
      </c>
      <c r="C151" s="41">
        <f>+PROJ!C30</f>
        <v>16128</v>
      </c>
      <c r="D151" s="41">
        <f>+PROJ!D30</f>
        <v>11561</v>
      </c>
      <c r="E151" s="41">
        <f>+PROJ!E30</f>
        <v>12104</v>
      </c>
      <c r="F151" s="41">
        <f>+PROJ!F30</f>
        <v>12374</v>
      </c>
      <c r="G151" s="41">
        <f>+PROJ!G30</f>
        <v>11960</v>
      </c>
      <c r="H151" s="41">
        <f>+PROJ!H30</f>
        <v>11530</v>
      </c>
      <c r="I151" s="41">
        <f>+PROJ!I30</f>
        <v>13650</v>
      </c>
      <c r="J151" s="41">
        <f>+PROJ!J30</f>
        <v>16390</v>
      </c>
      <c r="K151" s="41">
        <f>+PROJ!K30</f>
        <v>20015</v>
      </c>
      <c r="L151" s="41">
        <f>+PROJ!L30</f>
        <v>22534</v>
      </c>
      <c r="M151" s="41">
        <f>+PROJ!M30</f>
        <v>23884</v>
      </c>
      <c r="N151" s="41">
        <f>+PROJ!N30</f>
        <v>25797</v>
      </c>
      <c r="O151" s="41">
        <f>+PROJ!O30</f>
        <v>26480</v>
      </c>
      <c r="P151" s="41">
        <f>+PROJ!P30</f>
        <v>41019</v>
      </c>
      <c r="Q151" s="41">
        <f>+PROJ!Q30</f>
        <v>45818</v>
      </c>
      <c r="R151" s="41">
        <f>+PROJ!R30</f>
        <v>48367</v>
      </c>
      <c r="S151" s="41">
        <f>+PROJ!S30</f>
        <v>58853</v>
      </c>
      <c r="T151" s="41">
        <f>+PROJ!T30</f>
        <v>59431</v>
      </c>
      <c r="U151" s="41">
        <f>+PROJ!U30</f>
        <v>44366</v>
      </c>
      <c r="V151" s="41">
        <f>+PROJ!V30</f>
        <v>37414</v>
      </c>
      <c r="W151" s="41">
        <f>+PROJ!W30</f>
        <v>36296</v>
      </c>
      <c r="X151" s="41">
        <f>+PROJ!X30</f>
        <v>43608</v>
      </c>
      <c r="Y151" s="41">
        <f>+PROJ!Y30</f>
        <v>43929</v>
      </c>
      <c r="Z151" s="41">
        <f>+PROJ!Z30</f>
        <v>46164</v>
      </c>
      <c r="AA151" s="41">
        <f>+PROJ!AA30</f>
        <v>46173.25</v>
      </c>
      <c r="AB151" s="41">
        <f>+PROJ!AB30</f>
        <v>47703.25</v>
      </c>
      <c r="AC151" s="41">
        <f>+PROJ!AC30</f>
        <v>49520.25</v>
      </c>
      <c r="AD151" s="41">
        <f>+PROJ!AD30</f>
        <v>51252.532544473157</v>
      </c>
      <c r="AE151" s="41">
        <f>+PROJ!AE30</f>
        <v>50788.126092820406</v>
      </c>
      <c r="AF151" s="41">
        <f>+PROJ!AF30</f>
        <v>52361.416761872119</v>
      </c>
      <c r="AG151" s="41">
        <f>+PROJ!AG30</f>
        <v>53927.334824516649</v>
      </c>
      <c r="AH151" s="433"/>
      <c r="AI151" s="41">
        <v>49467.010883973853</v>
      </c>
      <c r="AJ151" s="433"/>
      <c r="AL151" s="41">
        <f>+PROJ!AL30</f>
        <v>12104</v>
      </c>
      <c r="AM151" s="41">
        <f>+PROJ!AM30</f>
        <v>13650</v>
      </c>
      <c r="AN151" s="41">
        <f>+PROJ!AN30</f>
        <v>23884</v>
      </c>
      <c r="AO151" s="41">
        <f>+PROJ!AO30</f>
        <v>45818</v>
      </c>
      <c r="AP151" s="41">
        <f>+PROJ!AP30</f>
        <v>44366</v>
      </c>
      <c r="AQ151" s="41">
        <f>+PROJ!AQ30</f>
        <v>43929</v>
      </c>
      <c r="AR151" s="41">
        <f>+PROJ!AR30</f>
        <v>49520.25</v>
      </c>
      <c r="AS151" s="41">
        <f>+PROJ!AS30</f>
        <v>53927.334824516649</v>
      </c>
      <c r="AT151" s="41">
        <f>+PROJ!AT30</f>
        <v>59257.360791465144</v>
      </c>
      <c r="AU151" s="41">
        <f>+PROJ!AU30</f>
        <v>65198.025656879523</v>
      </c>
      <c r="AV151" s="41">
        <f>+PROJ!AV30</f>
        <v>71622.107268976557</v>
      </c>
      <c r="AW151" s="41">
        <f>+PROJ!AW30</f>
        <v>78638.938459302051</v>
      </c>
      <c r="AX151" s="41">
        <f>+PROJ!AX30</f>
        <v>86294.343052325959</v>
      </c>
      <c r="AY151" s="41">
        <f>+PROJ!AY30</f>
        <v>94486.044072270175</v>
      </c>
      <c r="AZ151" s="41">
        <f>+PROJ!AZ30</f>
        <v>103193.1251638368</v>
      </c>
      <c r="BA151" s="41">
        <f>+PROJ!BA30</f>
        <v>112484.87394599352</v>
      </c>
      <c r="BB151" s="41">
        <f>+PROJ!BB30</f>
        <v>122404.04128069326</v>
      </c>
    </row>
    <row r="152" spans="1:54" x14ac:dyDescent="0.25">
      <c r="A152" t="s">
        <v>109</v>
      </c>
      <c r="B152" s="41">
        <f>+PROJ!B29</f>
        <v>7803</v>
      </c>
      <c r="C152" s="41">
        <f>+PROJ!C29</f>
        <v>5272</v>
      </c>
      <c r="D152" s="41">
        <f>+PROJ!D29</f>
        <v>7506</v>
      </c>
      <c r="E152" s="41">
        <f>+PROJ!E29</f>
        <v>9132</v>
      </c>
      <c r="F152" s="41">
        <f>+PROJ!F29</f>
        <v>10129</v>
      </c>
      <c r="G152" s="41">
        <f>+PROJ!G29</f>
        <v>9807</v>
      </c>
      <c r="H152" s="41">
        <f>+PROJ!H29</f>
        <v>10419</v>
      </c>
      <c r="I152" s="41">
        <f>+PROJ!I29</f>
        <v>11648</v>
      </c>
      <c r="J152" s="41">
        <f>+PROJ!J29</f>
        <v>11917</v>
      </c>
      <c r="K152" s="41">
        <f>+PROJ!K29</f>
        <v>12008</v>
      </c>
      <c r="L152" s="41">
        <f>+PROJ!L29</f>
        <v>11747</v>
      </c>
      <c r="M152" s="41">
        <f>+PROJ!M29</f>
        <v>12144</v>
      </c>
      <c r="N152" s="41">
        <f>+PROJ!N29</f>
        <v>15074</v>
      </c>
      <c r="O152" s="41">
        <f>+PROJ!O29</f>
        <v>13997</v>
      </c>
      <c r="P152" s="41">
        <f>+PROJ!P29</f>
        <v>12819</v>
      </c>
      <c r="Q152" s="41">
        <f>+PROJ!Q29</f>
        <v>12060</v>
      </c>
      <c r="R152" s="41">
        <f>+PROJ!R29</f>
        <v>14362</v>
      </c>
      <c r="S152" s="41">
        <f>+PROJ!S29</f>
        <v>13314</v>
      </c>
      <c r="T152" s="41">
        <f>+PROJ!T29</f>
        <v>11322</v>
      </c>
      <c r="U152" s="41">
        <f>+PROJ!U29</f>
        <v>13805</v>
      </c>
      <c r="V152" s="41">
        <f>+PROJ!V29</f>
        <v>11003</v>
      </c>
      <c r="W152" s="41">
        <f>+PROJ!W29</f>
        <v>13311</v>
      </c>
      <c r="X152" s="41">
        <f>+PROJ!X29</f>
        <v>14786</v>
      </c>
      <c r="Y152" s="41">
        <f>+PROJ!Y29</f>
        <v>13001</v>
      </c>
      <c r="Z152" s="41">
        <f>+PROJ!Z29</f>
        <v>12531</v>
      </c>
      <c r="AA152" s="41">
        <f>+PROJ!AA29</f>
        <v>4382.5255339295836</v>
      </c>
      <c r="AB152" s="41">
        <f>+PROJ!AB29</f>
        <v>8907.5499424531299</v>
      </c>
      <c r="AC152" s="41">
        <f>+PROJ!AC29</f>
        <v>13671.76227962572</v>
      </c>
      <c r="AD152" s="41">
        <f>+PROJ!AD29</f>
        <v>11889.419253749249</v>
      </c>
      <c r="AE152" s="41">
        <f>+PROJ!AE29</f>
        <v>12247.350089860869</v>
      </c>
      <c r="AF152" s="41">
        <f>+PROJ!AF29</f>
        <v>12306.629102889572</v>
      </c>
      <c r="AG152" s="41">
        <f>+PROJ!AG29</f>
        <v>12815.073149145894</v>
      </c>
      <c r="AH152" s="46"/>
      <c r="AI152" s="41">
        <v>7656.4299811657402</v>
      </c>
      <c r="AJ152" s="46"/>
      <c r="AL152" s="41">
        <f>+PROJ!AL29</f>
        <v>9132</v>
      </c>
      <c r="AM152" s="41">
        <f>+PROJ!AM29</f>
        <v>11648</v>
      </c>
      <c r="AN152" s="41">
        <f>+PROJ!AN29</f>
        <v>12144</v>
      </c>
      <c r="AO152" s="41">
        <f>+PROJ!AO29</f>
        <v>12060</v>
      </c>
      <c r="AP152" s="41">
        <f>+PROJ!AP29</f>
        <v>13805</v>
      </c>
      <c r="AQ152" s="41">
        <f>+PROJ!AQ29</f>
        <v>13001</v>
      </c>
      <c r="AR152" s="41">
        <f>+PROJ!AR29</f>
        <v>13671.76227962572</v>
      </c>
      <c r="AS152" s="41">
        <f>+PROJ!AS29</f>
        <v>12815.073149145894</v>
      </c>
      <c r="AT152" s="41">
        <f>+PROJ!AT29</f>
        <v>13601.675675392216</v>
      </c>
      <c r="AU152" s="41">
        <f>+PROJ!AU29</f>
        <v>14857.312254522731</v>
      </c>
      <c r="AV152" s="41">
        <f>+PROJ!AV29</f>
        <v>16044.922743689138</v>
      </c>
      <c r="AW152" s="41">
        <f>+PROJ!AW29</f>
        <v>17426.115202063855</v>
      </c>
      <c r="AX152" s="41">
        <f>+PROJ!AX29</f>
        <v>18828.856943821229</v>
      </c>
      <c r="AY152" s="41">
        <f>+PROJ!AY29</f>
        <v>20270.096179227621</v>
      </c>
      <c r="AZ152" s="41">
        <f>+PROJ!AZ29</f>
        <v>21715.79136035293</v>
      </c>
      <c r="BA152" s="41">
        <f>+PROJ!BA29</f>
        <v>23224.148634193902</v>
      </c>
      <c r="BB152" s="41">
        <f>+PROJ!BB29</f>
        <v>24764.871708626742</v>
      </c>
    </row>
    <row r="154" spans="1:54" x14ac:dyDescent="0.25">
      <c r="A154" t="s">
        <v>110</v>
      </c>
      <c r="B154" s="332">
        <f>+B150/B149</f>
        <v>0.80498970200167341</v>
      </c>
      <c r="C154" s="332">
        <f t="shared" ref="C154:V154" si="451">+C150/C149</f>
        <v>0.82938010763404424</v>
      </c>
      <c r="D154" s="332">
        <f t="shared" si="451"/>
        <v>0.84722077547455554</v>
      </c>
      <c r="E154" s="332">
        <f t="shared" si="451"/>
        <v>0.8325593130800224</v>
      </c>
      <c r="F154" s="332">
        <f t="shared" si="451"/>
        <v>0.8313485074459076</v>
      </c>
      <c r="G154" s="332">
        <f t="shared" si="451"/>
        <v>0.83379782693350235</v>
      </c>
      <c r="H154" s="332">
        <f t="shared" si="451"/>
        <v>0.83218264253656593</v>
      </c>
      <c r="I154" s="332">
        <f t="shared" si="451"/>
        <v>0.80991524404905024</v>
      </c>
      <c r="J154" s="332">
        <f t="shared" si="451"/>
        <v>0.79535875655159949</v>
      </c>
      <c r="K154" s="332">
        <f t="shared" si="451"/>
        <v>0.77738461859310803</v>
      </c>
      <c r="L154" s="332">
        <f t="shared" si="451"/>
        <v>0.76648933633954786</v>
      </c>
      <c r="M154" s="332">
        <f t="shared" si="451"/>
        <v>0.76164548503833862</v>
      </c>
      <c r="N154" s="332">
        <f t="shared" si="451"/>
        <v>0.74302403078354695</v>
      </c>
      <c r="O154" s="332">
        <f t="shared" si="451"/>
        <v>0.74892223331865293</v>
      </c>
      <c r="P154" s="332">
        <f t="shared" si="451"/>
        <v>0.69592671245255733</v>
      </c>
      <c r="Q154" s="332">
        <f t="shared" si="451"/>
        <v>0.69938347590777594</v>
      </c>
      <c r="R154" s="332">
        <f t="shared" si="451"/>
        <v>0.69069760561713545</v>
      </c>
      <c r="S154" s="332">
        <f t="shared" si="451"/>
        <v>0.66697431022468745</v>
      </c>
      <c r="T154" s="332">
        <f t="shared" si="451"/>
        <v>0.6770463892350318</v>
      </c>
      <c r="U154" s="332">
        <f t="shared" si="451"/>
        <v>0.7230559020405054</v>
      </c>
      <c r="V154" s="332">
        <f t="shared" si="451"/>
        <v>0.76459119374538098</v>
      </c>
      <c r="W154" s="332">
        <f t="shared" ref="W154:AG154" si="452">+W150/W149</f>
        <v>0.76632987116983442</v>
      </c>
      <c r="X154" s="332">
        <f t="shared" si="452"/>
        <v>0.74168804742103867</v>
      </c>
      <c r="Y154" s="332">
        <f t="shared" ref="Y154:Z154" si="453">+Y150/Y149</f>
        <v>0.75286186223991458</v>
      </c>
      <c r="Z154" s="332">
        <f t="shared" si="453"/>
        <v>0.75123334350523852</v>
      </c>
      <c r="AA154" s="332">
        <f t="shared" ref="AA154" si="454">+AA150/AA149</f>
        <v>0.78054700747625383</v>
      </c>
      <c r="AB154" s="332">
        <f t="shared" si="452"/>
        <v>0.76482796685626442</v>
      </c>
      <c r="AC154" s="332">
        <f t="shared" ref="AC154" si="455">+AC150/AC149</f>
        <v>0.74753794728993983</v>
      </c>
      <c r="AD154" s="332">
        <f t="shared" si="452"/>
        <v>0.74797958600016845</v>
      </c>
      <c r="AE154" s="332">
        <f t="shared" si="452"/>
        <v>0.75086148258082652</v>
      </c>
      <c r="AF154" s="332">
        <f t="shared" si="452"/>
        <v>0.75468055580306836</v>
      </c>
      <c r="AG154" s="332">
        <f t="shared" si="452"/>
        <v>0.7491396589094661</v>
      </c>
      <c r="AH154" s="438"/>
      <c r="AI154" s="332">
        <v>0.76457049802898858</v>
      </c>
      <c r="AJ154" s="438"/>
      <c r="AL154" s="332">
        <f t="shared" ref="AL154:BB154" si="456">+AL150/AL149</f>
        <v>0.8325593130800224</v>
      </c>
      <c r="AM154" s="332">
        <f t="shared" si="456"/>
        <v>0.80991524404905024</v>
      </c>
      <c r="AN154" s="332">
        <f t="shared" si="456"/>
        <v>0.76164548503833862</v>
      </c>
      <c r="AO154" s="332">
        <f t="shared" si="456"/>
        <v>0.69938347590777594</v>
      </c>
      <c r="AP154" s="332">
        <f t="shared" si="456"/>
        <v>0.7230559020405054</v>
      </c>
      <c r="AQ154" s="332">
        <f t="shared" si="456"/>
        <v>0.75286186223991458</v>
      </c>
      <c r="AR154" s="332">
        <f t="shared" si="456"/>
        <v>0.74753794728993983</v>
      </c>
      <c r="AS154" s="332">
        <f t="shared" si="456"/>
        <v>0.7491396589094661</v>
      </c>
      <c r="AT154" s="332">
        <f t="shared" si="456"/>
        <v>0.74995390583916122</v>
      </c>
      <c r="AU154" s="332">
        <f t="shared" si="456"/>
        <v>0.74368979928173851</v>
      </c>
      <c r="AV154" s="332">
        <f t="shared" si="456"/>
        <v>0.73808096573923498</v>
      </c>
      <c r="AW154" s="332">
        <f t="shared" si="456"/>
        <v>0.73224696878506712</v>
      </c>
      <c r="AX154" s="332">
        <f t="shared" si="456"/>
        <v>0.7267490038158525</v>
      </c>
      <c r="AY154" s="332">
        <f t="shared" si="456"/>
        <v>0.7191414500571599</v>
      </c>
      <c r="AZ154" s="332">
        <f t="shared" si="456"/>
        <v>0.7121043010865945</v>
      </c>
      <c r="BA154" s="332">
        <f t="shared" si="456"/>
        <v>0.7054237670647362</v>
      </c>
      <c r="BB154" s="332">
        <f t="shared" si="456"/>
        <v>0.69914041434621288</v>
      </c>
    </row>
    <row r="156" spans="1:54" s="66" customFormat="1" ht="15.75" thickBot="1" x14ac:dyDescent="0.3">
      <c r="A156" s="21"/>
    </row>
    <row r="157" spans="1:54" ht="15.75" thickTop="1" x14ac:dyDescent="0.25"/>
    <row r="158" spans="1:54" s="116" customFormat="1" x14ac:dyDescent="0.25">
      <c r="A158" s="18" t="s">
        <v>111</v>
      </c>
      <c r="B158" s="118">
        <f>+B137</f>
        <v>1876</v>
      </c>
      <c r="C158" s="118">
        <f>+C137</f>
        <v>1905</v>
      </c>
      <c r="D158" s="118">
        <f>+D137</f>
        <v>1986</v>
      </c>
      <c r="E158" s="118">
        <f>+E137</f>
        <v>1934</v>
      </c>
      <c r="F158" s="118">
        <f>+F137</f>
        <v>1963</v>
      </c>
      <c r="G158" s="118">
        <f>+G137</f>
        <v>1856</v>
      </c>
      <c r="H158" s="118">
        <f>+H137</f>
        <v>1818</v>
      </c>
      <c r="I158" s="118">
        <f>+I137</f>
        <v>1875</v>
      </c>
      <c r="J158" s="118">
        <f>+J137</f>
        <v>1818</v>
      </c>
      <c r="K158" s="118">
        <f>+K137</f>
        <v>1841</v>
      </c>
      <c r="L158" s="118">
        <f>+L137</f>
        <v>1887</v>
      </c>
      <c r="M158" s="118">
        <f>+M137</f>
        <v>2022</v>
      </c>
      <c r="N158" s="118">
        <f>+N137</f>
        <v>2090</v>
      </c>
      <c r="O158" s="118">
        <f>+O137</f>
        <v>2256</v>
      </c>
      <c r="P158" s="118">
        <f>+P137</f>
        <v>2522</v>
      </c>
      <c r="Q158" s="118">
        <f>+Q137</f>
        <v>3493</v>
      </c>
      <c r="R158" s="118">
        <f>+R137</f>
        <v>2821</v>
      </c>
      <c r="S158" s="118">
        <f>+S137</f>
        <v>2930</v>
      </c>
      <c r="T158" s="118">
        <f>+T137</f>
        <v>3258</v>
      </c>
      <c r="U158" s="118">
        <f>+U137</f>
        <v>3377</v>
      </c>
      <c r="V158" s="118">
        <f>+V137</f>
        <v>3433</v>
      </c>
      <c r="W158" s="118">
        <f>+W137</f>
        <v>3524</v>
      </c>
      <c r="X158" s="118">
        <f>+X137</f>
        <v>3652</v>
      </c>
      <c r="Y158" s="118">
        <f>+Y137</f>
        <v>3768</v>
      </c>
      <c r="Z158" s="118">
        <f>+Z137</f>
        <v>3723</v>
      </c>
      <c r="AA158" s="118">
        <f>+AA137</f>
        <v>3815</v>
      </c>
      <c r="AB158" s="118">
        <f>+AB137</f>
        <v>3905</v>
      </c>
      <c r="AC158" s="118">
        <f>+AC137</f>
        <v>4022</v>
      </c>
      <c r="AD158" s="118">
        <f>+AD137</f>
        <v>4011.9907074512885</v>
      </c>
      <c r="AE158" s="118">
        <f>+AE137</f>
        <v>3833.5224649684242</v>
      </c>
      <c r="AF158" s="118">
        <f>+AF137</f>
        <v>3919.5087120697476</v>
      </c>
      <c r="AG158" s="118">
        <f>+AG137</f>
        <v>4027.237953267012</v>
      </c>
      <c r="AH158" s="439"/>
      <c r="AI158" s="118">
        <v>3912.7467341767674</v>
      </c>
      <c r="AJ158" s="486">
        <f>+AB158/AI158-1</f>
        <v>-1.9798710990164281E-3</v>
      </c>
      <c r="AL158" s="118">
        <f>+AL137</f>
        <v>0</v>
      </c>
      <c r="AM158" s="118">
        <f>+AM137</f>
        <v>7512</v>
      </c>
      <c r="AN158" s="118">
        <f>+AN137</f>
        <v>7568</v>
      </c>
      <c r="AO158" s="118">
        <f>+AO137</f>
        <v>10361</v>
      </c>
      <c r="AP158" s="118">
        <f>+AP137</f>
        <v>12386</v>
      </c>
      <c r="AQ158" s="118">
        <f>+AQ137</f>
        <v>14377</v>
      </c>
      <c r="AR158" s="118">
        <f>+AR137</f>
        <v>15465</v>
      </c>
      <c r="AS158" s="118">
        <f>+AS137</f>
        <v>15792.259837756474</v>
      </c>
      <c r="AT158" s="118">
        <f>+AT137</f>
        <v>16840.707497223277</v>
      </c>
      <c r="AU158" s="118">
        <f>+AU137</f>
        <v>18299.335592860538</v>
      </c>
      <c r="AV158" s="118">
        <f>+AV137</f>
        <v>19547.388961657376</v>
      </c>
      <c r="AW158" s="118">
        <f>+AW137</f>
        <v>20885.029446184311</v>
      </c>
      <c r="AX158" s="118">
        <f>+AX137</f>
        <v>22325.93781679092</v>
      </c>
      <c r="AY158" s="118">
        <f>+AY137</f>
        <v>23687.243950586591</v>
      </c>
      <c r="AZ158" s="118">
        <f>+AZ137</f>
        <v>24951.936897671691</v>
      </c>
      <c r="BA158" s="118">
        <f>+BA137</f>
        <v>26294.749423402027</v>
      </c>
      <c r="BB158" s="118">
        <f>+BB137</f>
        <v>27721.717202049134</v>
      </c>
    </row>
    <row r="159" spans="1:54" x14ac:dyDescent="0.25">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L159" s="42"/>
      <c r="AM159" s="42"/>
      <c r="AN159" s="42"/>
      <c r="AO159" s="42"/>
      <c r="AP159" s="42"/>
      <c r="AQ159" s="42"/>
      <c r="AR159" s="42"/>
      <c r="AS159" s="42"/>
      <c r="AT159" s="42"/>
      <c r="AU159" s="42"/>
      <c r="AV159" s="42"/>
      <c r="AW159" s="42"/>
      <c r="AX159" s="42"/>
      <c r="AY159" s="42"/>
      <c r="AZ159" s="42"/>
      <c r="BA159" s="42"/>
      <c r="BB159" s="42"/>
    </row>
    <row r="160" spans="1:54" s="27" customFormat="1" x14ac:dyDescent="0.25">
      <c r="A160" s="301" t="s">
        <v>112</v>
      </c>
      <c r="B160" s="302">
        <f>-B67</f>
        <v>-154</v>
      </c>
      <c r="C160" s="302">
        <f>-C67</f>
        <v>-218</v>
      </c>
      <c r="D160" s="302">
        <f>-D67</f>
        <v>-130</v>
      </c>
      <c r="E160" s="302">
        <f>-E67</f>
        <v>-229</v>
      </c>
      <c r="F160" s="302">
        <f>-F67</f>
        <v>-175</v>
      </c>
      <c r="G160" s="302">
        <f>-G67</f>
        <v>-157</v>
      </c>
      <c r="H160" s="302">
        <f>-H67</f>
        <v>-260</v>
      </c>
      <c r="I160" s="302">
        <f>-I67</f>
        <v>-472</v>
      </c>
      <c r="J160" s="302">
        <f>-J67</f>
        <v>-237</v>
      </c>
      <c r="K160" s="302">
        <f>-K67</f>
        <v>-118</v>
      </c>
      <c r="L160" s="302">
        <f>-L67</f>
        <v>-238</v>
      </c>
      <c r="M160" s="302">
        <f>-M67</f>
        <v>-260</v>
      </c>
      <c r="N160" s="302">
        <f>-N67</f>
        <v>49</v>
      </c>
      <c r="O160" s="302">
        <f>-O67</f>
        <v>-66</v>
      </c>
      <c r="P160" s="302">
        <f>-P67</f>
        <v>-207</v>
      </c>
      <c r="Q160" s="302">
        <f>-Q67</f>
        <v>-220</v>
      </c>
      <c r="R160" s="302">
        <f>-R67</f>
        <v>-290</v>
      </c>
      <c r="S160" s="302">
        <f>-S67</f>
        <v>-339</v>
      </c>
      <c r="T160" s="302">
        <f>-T67</f>
        <v>-336</v>
      </c>
      <c r="U160" s="302">
        <f>-U67</f>
        <v>-305</v>
      </c>
      <c r="V160" s="302">
        <f>-V67</f>
        <v>-375</v>
      </c>
      <c r="W160" s="302">
        <f>-W67</f>
        <v>-410</v>
      </c>
      <c r="X160" s="302">
        <f>-X67</f>
        <v>-419</v>
      </c>
      <c r="Y160" s="302">
        <f>-Y67</f>
        <v>-444</v>
      </c>
      <c r="Z160" s="302">
        <f>-Z67</f>
        <v>-413</v>
      </c>
      <c r="AA160" s="302">
        <f>-AA67</f>
        <v>-415</v>
      </c>
      <c r="AB160" s="302">
        <f>-AB67</f>
        <v>-458</v>
      </c>
      <c r="AC160" s="302">
        <f>-AC67</f>
        <v>-471</v>
      </c>
      <c r="AD160" s="302">
        <f>-AD67</f>
        <v>-475.42917162065766</v>
      </c>
      <c r="AE160" s="302">
        <f>-AE67</f>
        <v>-482.52162014689037</v>
      </c>
      <c r="AF160" s="302">
        <f>-AF67</f>
        <v>-489.34253329622351</v>
      </c>
      <c r="AG160" s="302">
        <f>-AG67</f>
        <v>-512.26148183056284</v>
      </c>
      <c r="AH160" s="302"/>
      <c r="AI160" s="302">
        <v>-453.33819999999997</v>
      </c>
      <c r="AJ160" s="486">
        <f>+AB160/AI160-1</f>
        <v>1.0283271958992257E-2</v>
      </c>
      <c r="AL160" s="302">
        <f>-AL67</f>
        <v>0</v>
      </c>
      <c r="AM160" s="302">
        <f>-AM67</f>
        <v>-1064</v>
      </c>
      <c r="AN160" s="302">
        <f>-AN67</f>
        <v>-853</v>
      </c>
      <c r="AO160" s="302">
        <f>-AO67</f>
        <v>-444</v>
      </c>
      <c r="AP160" s="302">
        <f>-AP67</f>
        <v>-1270</v>
      </c>
      <c r="AQ160" s="302">
        <f>-AQ67</f>
        <v>-1648</v>
      </c>
      <c r="AR160" s="302">
        <f>-AR67</f>
        <v>-1757</v>
      </c>
      <c r="AS160" s="302">
        <f>-AS67</f>
        <v>-1959.5548068943344</v>
      </c>
      <c r="AT160" s="302">
        <f>-AT67</f>
        <v>-2014.9948405811872</v>
      </c>
      <c r="AU160" s="302">
        <f>-AU67</f>
        <v>-2207.6622227424964</v>
      </c>
      <c r="AV160" s="302">
        <f>-AV67</f>
        <v>-2344.9408809064807</v>
      </c>
      <c r="AW160" s="302">
        <f>-AW67</f>
        <v>-2491.1185192622697</v>
      </c>
      <c r="AX160" s="302">
        <f>-AX67</f>
        <v>-2646.7953026915684</v>
      </c>
      <c r="AY160" s="302">
        <f>-AY67</f>
        <v>-2812.6140285760025</v>
      </c>
      <c r="AZ160" s="302">
        <f>-AZ67</f>
        <v>-2951.1611167357892</v>
      </c>
      <c r="BA160" s="302">
        <f>-BA67</f>
        <v>-3097.2760457166701</v>
      </c>
      <c r="BB160" s="302">
        <f>-BB67</f>
        <v>-3251.4326905409844</v>
      </c>
    </row>
    <row r="161" spans="1:54" s="27" customFormat="1" x14ac:dyDescent="0.25">
      <c r="A161" s="302" t="s">
        <v>113</v>
      </c>
      <c r="B161" s="472">
        <f>+SUM(B160)/B9*4</f>
        <v>-6.1331368605507877E-3</v>
      </c>
      <c r="C161" s="472">
        <f>+SUM(C160)/C9*4</f>
        <v>-8.3386725062874738E-3</v>
      </c>
      <c r="D161" s="472">
        <f>+SUM(D160)/D9*4</f>
        <v>-4.8944401042892239E-3</v>
      </c>
      <c r="E161" s="472">
        <f>+SUM(B160:E160)/E9</f>
        <v>-6.8952506720747061E-3</v>
      </c>
      <c r="F161" s="472">
        <f>+SUM(C160:F160)/F9</f>
        <v>-6.7561497134026914E-3</v>
      </c>
      <c r="G161" s="472">
        <f>+SUM(D160:G160)/G9</f>
        <v>-6.2903959945380065E-3</v>
      </c>
      <c r="H161" s="472">
        <f>+SUM(E160:H160)/H9</f>
        <v>-7.4781167169154818E-3</v>
      </c>
      <c r="I161" s="472">
        <f>+SUM(F160:I160)/I9</f>
        <v>-9.7736625514403298E-3</v>
      </c>
      <c r="J161" s="472">
        <f>+SUM(G160:J160)/J9</f>
        <v>-1.0158145912834808E-2</v>
      </c>
      <c r="K161" s="472">
        <f>+SUM(H160:K160)/K9</f>
        <v>-9.6508128168476381E-3</v>
      </c>
      <c r="L161" s="472">
        <f>+SUM(I160:L160)/L9</f>
        <v>-9.3955113275460515E-3</v>
      </c>
      <c r="M161" s="472">
        <f>+SUM(J160:M160)/M9</f>
        <v>-7.3650673044544411E-3</v>
      </c>
      <c r="N161" s="472">
        <f>+SUM(K160:N160)/N9</f>
        <v>-4.750494319514729E-3</v>
      </c>
      <c r="O161" s="472">
        <f>+SUM(L160:O160)/O9</f>
        <v>-4.224462508920588E-3</v>
      </c>
      <c r="P161" s="472">
        <f>+SUM(M160:P160)/P9</f>
        <v>-3.8921770458054555E-3</v>
      </c>
      <c r="Q161" s="472">
        <f>+SUM(N160:Q160)/Q9</f>
        <v>-3.2864544781643227E-3</v>
      </c>
      <c r="R161" s="472">
        <f>+SUM(O160:R160)/R9</f>
        <v>-5.5323177797247268E-3</v>
      </c>
      <c r="S161" s="472">
        <f>+SUM(P160:S160)/S9</f>
        <v>-7.2869297597935373E-3</v>
      </c>
      <c r="T161" s="472">
        <f>+SUM(Q160:T160)/T9</f>
        <v>-7.9132414907612074E-3</v>
      </c>
      <c r="U161" s="472">
        <f>+SUM(R160:U160)/U9</f>
        <v>-8.2872207141365638E-3</v>
      </c>
      <c r="V161" s="472">
        <f>+SUM(S160:V160)/V9</f>
        <v>-8.5430208878436911E-3</v>
      </c>
      <c r="W161" s="472">
        <f>+SUM(T160:W160)/W9</f>
        <v>-8.6883937438690766E-3</v>
      </c>
      <c r="X161" s="472">
        <f>+SUM(U160:X160)/X9</f>
        <v>-8.9228695096856599E-3</v>
      </c>
      <c r="Y161" s="472">
        <f>+SUM(V160:Y160)/Y9</f>
        <v>-9.4197803956536409E-3</v>
      </c>
      <c r="Z161" s="472">
        <f>+SUM(W160:Z160)/Z9</f>
        <v>-9.4450606702295714E-3</v>
      </c>
      <c r="AA161" s="472">
        <f>+SUM(X160:AA160)/AA9</f>
        <v>-9.3460526606680971E-3</v>
      </c>
      <c r="AB161" s="472">
        <f>+SUM(Y160:AB160)/AB9</f>
        <v>-9.3495319829654776E-3</v>
      </c>
      <c r="AC161" s="472">
        <f>+SUM(Z160:AC160)/AC9</f>
        <v>-9.3261003418331594E-3</v>
      </c>
      <c r="AD161" s="472">
        <f>+SUM(AA160:AD160)/AD9</f>
        <v>-9.5155199576157558E-3</v>
      </c>
      <c r="AE161" s="472">
        <f>+SUM(AB160:AE160)/AE9</f>
        <v>-9.7310959983861953E-3</v>
      </c>
      <c r="AF161" s="472">
        <f>+SUM(AC160:AF160)/AF9</f>
        <v>-9.4501230252547266E-3</v>
      </c>
      <c r="AG161" s="472">
        <f>+SUM(AD160:AG160)/AG9</f>
        <v>-9.6292061151406327E-3</v>
      </c>
      <c r="AH161" s="302"/>
      <c r="AI161" s="472">
        <v>-9.1756135242397185E-3</v>
      </c>
      <c r="AJ161" s="486"/>
      <c r="AL161" s="302"/>
      <c r="AM161" s="472">
        <f t="shared" ref="AM161:AQ161" si="457">+AM160/AVERAGEIFS($B$9:$AG$9,$B$4:$AG$4,"&gt;"&amp;AL$3,$B$4:$AG$4,"&lt;="&amp;AM$3)</f>
        <v>-9.6769719445120254E-3</v>
      </c>
      <c r="AN161" s="472">
        <f t="shared" si="457"/>
        <v>-7.5378494153306424E-3</v>
      </c>
      <c r="AO161" s="472">
        <f t="shared" si="457"/>
        <v>-3.5469137257173214E-3</v>
      </c>
      <c r="AP161" s="472">
        <f t="shared" si="457"/>
        <v>-8.6182618933710632E-3</v>
      </c>
      <c r="AQ161" s="472">
        <f t="shared" si="457"/>
        <v>-9.8859783174340844E-3</v>
      </c>
      <c r="AR161" s="472">
        <f>+AR160/AVERAGEIFS($B$9:$AG$9,$B$4:$AG$4,"&gt;"&amp;AQ$3,$B$4:$AG$4,"&lt;="&amp;AR$3)</f>
        <v>-9.5896953074897321E-3</v>
      </c>
      <c r="AS161" s="472">
        <f t="shared" ref="AS161" si="458">+AS160/AVERAGEIFS($B$9:$AG$9,$B$4:$AG$4,"&gt;"&amp;AR$3,$B$4:$AG$4,"&lt;="&amp;AS$3)</f>
        <v>-9.9016371334121351E-3</v>
      </c>
      <c r="AT161" s="472">
        <f>+SUM(AT160)/AT9</f>
        <v>-9.0375001807782157E-3</v>
      </c>
      <c r="AU161" s="472">
        <f>+SUM(AU160)/AU9</f>
        <v>-9.3219707246044031E-3</v>
      </c>
      <c r="AV161" s="472">
        <f>+SUM(AV160)/AV9</f>
        <v>-9.3206138216642836E-3</v>
      </c>
      <c r="AW161" s="472">
        <f>+SUM(AW160)/AW9</f>
        <v>-9.3192517037394423E-3</v>
      </c>
      <c r="AX161" s="472">
        <f>+SUM(AX160)/AX9</f>
        <v>-9.3178823640228704E-3</v>
      </c>
      <c r="AY161" s="472">
        <f>+SUM(AY160)/AY9</f>
        <v>-9.4367885742909618E-3</v>
      </c>
      <c r="AZ161" s="472">
        <f>+SUM(AZ160)/AZ9</f>
        <v>-9.4345244236671445E-3</v>
      </c>
      <c r="BA161" s="472">
        <f>+SUM(BA160)/BA9</f>
        <v>-9.4321815721159601E-3</v>
      </c>
      <c r="BB161" s="472">
        <f>+SUM(BB160)/BB9</f>
        <v>-9.4297570103463301E-3</v>
      </c>
    </row>
    <row r="162" spans="1:54" x14ac:dyDescent="0.25">
      <c r="A162" s="22" t="s">
        <v>114</v>
      </c>
      <c r="B162" s="303">
        <f t="shared" ref="B162:AG162" si="459">+B160/B158</f>
        <v>-8.2089552238805971E-2</v>
      </c>
      <c r="C162" s="303">
        <f t="shared" si="459"/>
        <v>-0.11443569553805774</v>
      </c>
      <c r="D162" s="303">
        <f t="shared" si="459"/>
        <v>-6.5458207452165157E-2</v>
      </c>
      <c r="E162" s="303">
        <f t="shared" si="459"/>
        <v>-0.11840744570837643</v>
      </c>
      <c r="F162" s="303">
        <f t="shared" si="459"/>
        <v>-8.9149261334691796E-2</v>
      </c>
      <c r="G162" s="303">
        <f t="shared" si="459"/>
        <v>-8.4590517241379309E-2</v>
      </c>
      <c r="H162" s="303">
        <f t="shared" si="459"/>
        <v>-0.14301430143014301</v>
      </c>
      <c r="I162" s="303">
        <f t="shared" si="459"/>
        <v>-0.25173333333333331</v>
      </c>
      <c r="J162" s="303">
        <f t="shared" si="459"/>
        <v>-0.13036303630363036</v>
      </c>
      <c r="K162" s="303">
        <f t="shared" si="459"/>
        <v>-6.4095600217273216E-2</v>
      </c>
      <c r="L162" s="303">
        <f t="shared" si="459"/>
        <v>-0.12612612612612611</v>
      </c>
      <c r="M162" s="303">
        <f t="shared" si="459"/>
        <v>-0.12858555885262116</v>
      </c>
      <c r="N162" s="303">
        <f t="shared" si="459"/>
        <v>2.3444976076555026E-2</v>
      </c>
      <c r="O162" s="303">
        <f t="shared" si="459"/>
        <v>-2.9255319148936171E-2</v>
      </c>
      <c r="P162" s="303">
        <f t="shared" si="459"/>
        <v>-8.2077716098334655E-2</v>
      </c>
      <c r="Q162" s="303">
        <f t="shared" si="459"/>
        <v>-6.2983109075293447E-2</v>
      </c>
      <c r="R162" s="303">
        <f t="shared" si="459"/>
        <v>-0.10280042538107054</v>
      </c>
      <c r="S162" s="303">
        <f t="shared" si="459"/>
        <v>-0.11569965870307167</v>
      </c>
      <c r="T162" s="303">
        <f t="shared" si="459"/>
        <v>-0.10313075506445672</v>
      </c>
      <c r="U162" s="303">
        <f t="shared" si="459"/>
        <v>-9.0316849274503994E-2</v>
      </c>
      <c r="V162" s="303">
        <f t="shared" si="459"/>
        <v>-0.10923390620448588</v>
      </c>
      <c r="W162" s="303">
        <f t="shared" si="459"/>
        <v>-0.11634506242905789</v>
      </c>
      <c r="X162" s="303">
        <f t="shared" si="459"/>
        <v>-0.1147316538882804</v>
      </c>
      <c r="Y162" s="303">
        <f t="shared" si="459"/>
        <v>-0.1178343949044586</v>
      </c>
      <c r="Z162" s="303">
        <f t="shared" si="459"/>
        <v>-0.11093204405049691</v>
      </c>
      <c r="AA162" s="303">
        <f t="shared" si="459"/>
        <v>-0.10878112712975098</v>
      </c>
      <c r="AB162" s="303">
        <f t="shared" si="459"/>
        <v>-0.11728553137003841</v>
      </c>
      <c r="AC162" s="303">
        <f t="shared" si="459"/>
        <v>-0.11710591745400298</v>
      </c>
      <c r="AD162" s="303">
        <f t="shared" si="459"/>
        <v>-0.11850206201566335</v>
      </c>
      <c r="AE162" s="303">
        <f t="shared" si="459"/>
        <v>-0.12586899504470878</v>
      </c>
      <c r="AF162" s="303">
        <f t="shared" si="459"/>
        <v>-0.12484792591207683</v>
      </c>
      <c r="AG162" s="303">
        <f t="shared" si="459"/>
        <v>-0.12719920893052805</v>
      </c>
      <c r="AI162" s="303">
        <v>-0.11586188189493979</v>
      </c>
      <c r="AM162" s="303">
        <f t="shared" ref="AM162:AR162" si="460">+AM160/AM158</f>
        <v>-0.14164004259850904</v>
      </c>
      <c r="AN162" s="303">
        <f t="shared" si="460"/>
        <v>-0.11271141649048626</v>
      </c>
      <c r="AO162" s="303">
        <f t="shared" si="460"/>
        <v>-4.2853006466557285E-2</v>
      </c>
      <c r="AP162" s="303">
        <f t="shared" si="460"/>
        <v>-0.10253512029710964</v>
      </c>
      <c r="AQ162" s="303">
        <f t="shared" si="460"/>
        <v>-0.11462753008277109</v>
      </c>
      <c r="AR162" s="303">
        <f t="shared" si="460"/>
        <v>-0.11361138053669577</v>
      </c>
      <c r="AS162" s="303">
        <f>+AS160/AS158</f>
        <v>-0.12408324248879117</v>
      </c>
      <c r="AT162" s="303">
        <f t="shared" ref="AT162:BB162" si="461">+AT160/AT158</f>
        <v>-0.11965024871511026</v>
      </c>
      <c r="AU162" s="303">
        <f t="shared" si="461"/>
        <v>-0.12064165999577672</v>
      </c>
      <c r="AV162" s="303">
        <f t="shared" si="461"/>
        <v>-0.11996184684850406</v>
      </c>
      <c r="AW162" s="303">
        <f t="shared" si="461"/>
        <v>-0.11927771161066744</v>
      </c>
      <c r="AX162" s="303">
        <f t="shared" si="461"/>
        <v>-0.11855248027704185</v>
      </c>
      <c r="AY162" s="303">
        <f t="shared" si="461"/>
        <v>-0.11873960661879158</v>
      </c>
      <c r="AZ162" s="303">
        <f t="shared" si="461"/>
        <v>-0.11827382895518493</v>
      </c>
      <c r="BA162" s="303">
        <f t="shared" si="461"/>
        <v>-0.11779066595554358</v>
      </c>
      <c r="BB162" s="303">
        <f t="shared" si="461"/>
        <v>-0.11728828581732466</v>
      </c>
    </row>
    <row r="163" spans="1:54" x14ac:dyDescent="0.25">
      <c r="W163" s="22">
        <f>147+146+132</f>
        <v>425</v>
      </c>
      <c r="Z163" s="527">
        <f>151+144+157</f>
        <v>452</v>
      </c>
      <c r="AA163" s="527"/>
      <c r="AB163" s="527"/>
      <c r="AC163" s="527"/>
      <c r="AM163" s="73"/>
      <c r="AN163" s="73"/>
      <c r="AO163" s="73"/>
      <c r="AP163" s="73"/>
      <c r="AQ163" s="73"/>
      <c r="AR163" s="73"/>
    </row>
    <row r="164" spans="1:54" s="117" customFormat="1" x14ac:dyDescent="0.25">
      <c r="A164" s="169" t="s">
        <v>115</v>
      </c>
      <c r="B164" s="170">
        <f t="shared" ref="B164:AG164" si="462">+SUM(B168:B172)</f>
        <v>521</v>
      </c>
      <c r="C164" s="170">
        <f t="shared" si="462"/>
        <v>590</v>
      </c>
      <c r="D164" s="170">
        <f t="shared" si="462"/>
        <v>679</v>
      </c>
      <c r="E164" s="170">
        <f t="shared" si="462"/>
        <v>679</v>
      </c>
      <c r="F164" s="170">
        <f t="shared" si="462"/>
        <v>673</v>
      </c>
      <c r="G164" s="170">
        <f t="shared" si="462"/>
        <v>625</v>
      </c>
      <c r="H164" s="170">
        <f t="shared" si="462"/>
        <v>652</v>
      </c>
      <c r="I164" s="170">
        <f t="shared" si="462"/>
        <v>699</v>
      </c>
      <c r="J164" s="170">
        <f t="shared" si="462"/>
        <v>709</v>
      </c>
      <c r="K164" s="170">
        <f t="shared" si="462"/>
        <v>803</v>
      </c>
      <c r="L164" s="170">
        <f t="shared" si="462"/>
        <v>717</v>
      </c>
      <c r="M164" s="170">
        <f t="shared" si="462"/>
        <v>863</v>
      </c>
      <c r="N164" s="170">
        <f t="shared" si="462"/>
        <v>850</v>
      </c>
      <c r="O164" s="170">
        <f t="shared" si="462"/>
        <v>905</v>
      </c>
      <c r="P164" s="170">
        <f t="shared" si="462"/>
        <v>902</v>
      </c>
      <c r="Q164" s="170">
        <f t="shared" si="462"/>
        <v>194</v>
      </c>
      <c r="R164" s="170">
        <f t="shared" si="462"/>
        <v>553</v>
      </c>
      <c r="S164" s="170">
        <f t="shared" si="462"/>
        <v>656</v>
      </c>
      <c r="T164" s="170">
        <f t="shared" si="462"/>
        <v>604</v>
      </c>
      <c r="U164" s="170">
        <f t="shared" si="462"/>
        <v>800</v>
      </c>
      <c r="V164" s="170">
        <f t="shared" si="462"/>
        <v>655</v>
      </c>
      <c r="W164" s="170">
        <f t="shared" si="462"/>
        <v>810</v>
      </c>
      <c r="X164" s="170">
        <f t="shared" si="462"/>
        <v>706</v>
      </c>
      <c r="Y164" s="170">
        <f t="shared" si="462"/>
        <v>870</v>
      </c>
      <c r="Z164" s="170">
        <f t="shared" si="462"/>
        <v>732</v>
      </c>
      <c r="AA164" s="170">
        <f t="shared" si="462"/>
        <v>779</v>
      </c>
      <c r="AB164" s="170">
        <f t="shared" ref="AB164:AC164" si="463">+SUM(AB168:AB172)</f>
        <v>605</v>
      </c>
      <c r="AC164" s="170">
        <f t="shared" si="463"/>
        <v>1115</v>
      </c>
      <c r="AD164" s="119">
        <f t="shared" si="462"/>
        <v>876.78041732361498</v>
      </c>
      <c r="AE164" s="119">
        <f t="shared" si="462"/>
        <v>860.43567889518044</v>
      </c>
      <c r="AF164" s="119">
        <f t="shared" si="462"/>
        <v>907.33057271882581</v>
      </c>
      <c r="AG164" s="119">
        <f t="shared" si="462"/>
        <v>918.46209067297082</v>
      </c>
      <c r="AH164" s="432"/>
      <c r="AI164" s="119">
        <v>919.35426628635264</v>
      </c>
      <c r="AJ164" s="486">
        <f>+AB164/AI164-1</f>
        <v>-0.34192941482303429</v>
      </c>
      <c r="AL164" s="170">
        <f t="shared" ref="AL164:BB164" si="464">+SUM(AL168:AL172)</f>
        <v>0</v>
      </c>
      <c r="AM164" s="170">
        <f t="shared" si="464"/>
        <v>2649</v>
      </c>
      <c r="AN164" s="170">
        <f t="shared" si="464"/>
        <v>3092</v>
      </c>
      <c r="AO164" s="170">
        <f t="shared" si="464"/>
        <v>2851</v>
      </c>
      <c r="AP164" s="170">
        <f t="shared" si="464"/>
        <v>2613</v>
      </c>
      <c r="AQ164" s="170">
        <f t="shared" si="464"/>
        <v>3041</v>
      </c>
      <c r="AR164" s="170">
        <f t="shared" si="464"/>
        <v>3231</v>
      </c>
      <c r="AS164" s="170">
        <f t="shared" si="464"/>
        <v>3563.0087596105923</v>
      </c>
      <c r="AT164" s="119">
        <f t="shared" si="464"/>
        <v>3869.2194626501841</v>
      </c>
      <c r="AU164" s="119">
        <f t="shared" si="464"/>
        <v>4099.2171368616864</v>
      </c>
      <c r="AV164" s="119">
        <f t="shared" si="464"/>
        <v>4303.9385596467409</v>
      </c>
      <c r="AW164" s="119">
        <f t="shared" si="464"/>
        <v>4546.31232803276</v>
      </c>
      <c r="AX164" s="119">
        <f t="shared" si="464"/>
        <v>4796.6892312470982</v>
      </c>
      <c r="AY164" s="119">
        <f t="shared" si="464"/>
        <v>5032.9686308351174</v>
      </c>
      <c r="AZ164" s="119">
        <f t="shared" si="464"/>
        <v>5283.1972875695901</v>
      </c>
      <c r="BA164" s="119">
        <f t="shared" si="464"/>
        <v>5552.7368093195555</v>
      </c>
      <c r="BB164" s="119">
        <f t="shared" si="464"/>
        <v>5841.1514708315553</v>
      </c>
    </row>
    <row r="165" spans="1:54" s="117" customFormat="1" x14ac:dyDescent="0.25">
      <c r="A165" s="169"/>
      <c r="B165" s="170"/>
      <c r="C165" s="170"/>
      <c r="D165" s="170"/>
      <c r="E165" s="170"/>
      <c r="F165" s="170"/>
      <c r="G165" s="170"/>
      <c r="H165" s="170"/>
      <c r="I165" s="170"/>
      <c r="J165" s="170"/>
      <c r="K165" s="170"/>
      <c r="L165" s="170"/>
      <c r="M165" s="170"/>
      <c r="N165" s="170"/>
      <c r="O165" s="170"/>
      <c r="P165" s="170"/>
      <c r="Q165" s="170"/>
      <c r="R165" s="170"/>
      <c r="S165" s="170"/>
      <c r="T165" s="170">
        <f t="shared" ref="T165:Y165" si="465">+SUM(T168:T171)</f>
        <v>852</v>
      </c>
      <c r="U165" s="170">
        <f t="shared" si="465"/>
        <v>927</v>
      </c>
      <c r="V165" s="170">
        <f t="shared" si="465"/>
        <v>895</v>
      </c>
      <c r="W165" s="170">
        <f t="shared" si="465"/>
        <v>953</v>
      </c>
      <c r="X165" s="170">
        <f t="shared" si="465"/>
        <v>972</v>
      </c>
      <c r="Y165" s="170">
        <f t="shared" si="465"/>
        <v>1111</v>
      </c>
      <c r="Z165" s="170">
        <f>+SUM(Z168:Z171)</f>
        <v>1041</v>
      </c>
      <c r="AA165" s="170">
        <f>+SUM(AA168:AA171)</f>
        <v>1027</v>
      </c>
      <c r="AB165" s="170">
        <f>+SUM(AB168:AB171)</f>
        <v>1015</v>
      </c>
      <c r="AC165" s="170">
        <f t="shared" ref="AC165" si="466">+SUM(AC168:AC171)</f>
        <v>1131</v>
      </c>
      <c r="AD165" s="119"/>
      <c r="AE165" s="119"/>
      <c r="AF165" s="119"/>
      <c r="AG165" s="119"/>
      <c r="AH165" s="432"/>
      <c r="AI165" s="119">
        <v>1221.3542662863526</v>
      </c>
      <c r="AJ165" s="486"/>
      <c r="AL165" s="170"/>
      <c r="AM165" s="170"/>
      <c r="AN165" s="170"/>
      <c r="AO165" s="170"/>
      <c r="AP165" s="170"/>
      <c r="AQ165" s="170"/>
      <c r="AR165" s="170"/>
      <c r="AS165" s="170"/>
      <c r="AT165" s="119"/>
      <c r="AU165" s="119"/>
      <c r="AV165" s="119"/>
      <c r="AW165" s="119"/>
      <c r="AX165" s="119"/>
      <c r="AY165" s="119"/>
      <c r="AZ165" s="119"/>
      <c r="BA165" s="119"/>
      <c r="BB165" s="119"/>
    </row>
    <row r="166" spans="1:54" s="117" customFormat="1" x14ac:dyDescent="0.25">
      <c r="A166" s="169"/>
      <c r="B166" s="170"/>
      <c r="C166" s="170"/>
      <c r="D166" s="170"/>
      <c r="E166" s="170"/>
      <c r="F166" s="170"/>
      <c r="G166" s="170"/>
      <c r="H166" s="170"/>
      <c r="I166" s="170"/>
      <c r="J166" s="170"/>
      <c r="K166" s="170"/>
      <c r="L166" s="170"/>
      <c r="M166" s="170"/>
      <c r="N166" s="170"/>
      <c r="O166" s="170"/>
      <c r="P166" s="170"/>
      <c r="Q166" s="170"/>
      <c r="R166" s="170"/>
      <c r="S166" s="170"/>
      <c r="T166" s="170"/>
      <c r="U166" s="170"/>
      <c r="V166" s="170"/>
      <c r="W166" s="170"/>
      <c r="X166" s="170"/>
      <c r="Y166" s="170"/>
      <c r="Z166" s="551">
        <f>+Z165/V165-1</f>
        <v>0.16312849162011167</v>
      </c>
      <c r="AA166" s="551">
        <f t="shared" ref="AA166:AC166" si="467">+AA165/W165-1</f>
        <v>7.7649527806925578E-2</v>
      </c>
      <c r="AB166" s="551">
        <f t="shared" si="467"/>
        <v>4.4238683127572065E-2</v>
      </c>
      <c r="AC166" s="551">
        <f t="shared" si="467"/>
        <v>1.8001800180017957E-2</v>
      </c>
      <c r="AD166" s="119"/>
      <c r="AE166" s="119"/>
      <c r="AF166" s="119"/>
      <c r="AG166" s="119"/>
      <c r="AH166" s="432"/>
      <c r="AI166" s="119">
        <v>9.9328772534970966E-2</v>
      </c>
      <c r="AJ166" s="486"/>
      <c r="AL166" s="170"/>
      <c r="AM166" s="170"/>
      <c r="AN166" s="170"/>
      <c r="AO166" s="170"/>
      <c r="AP166" s="170"/>
      <c r="AQ166" s="170"/>
      <c r="AR166" s="170"/>
      <c r="AS166" s="170"/>
      <c r="AT166" s="119"/>
      <c r="AU166" s="119"/>
      <c r="AV166" s="119"/>
      <c r="AW166" s="119"/>
      <c r="AX166" s="119"/>
      <c r="AY166" s="119"/>
      <c r="AZ166" s="119"/>
      <c r="BA166" s="119"/>
      <c r="BB166" s="119"/>
    </row>
    <row r="167" spans="1:54" s="329" customFormat="1" ht="12.75" x14ac:dyDescent="0.2">
      <c r="A167" s="331" t="s">
        <v>2</v>
      </c>
      <c r="B167" s="328" t="e">
        <f>+B164/#REF!-1</f>
        <v>#REF!</v>
      </c>
      <c r="C167" s="328" t="e">
        <f>+C164/#REF!-1</f>
        <v>#REF!</v>
      </c>
      <c r="D167" s="328" t="e">
        <f>+D164/#REF!-1</f>
        <v>#REF!</v>
      </c>
      <c r="E167" s="328" t="e">
        <f t="shared" ref="E167" si="468">+E164/A164-1</f>
        <v>#VALUE!</v>
      </c>
      <c r="F167" s="328">
        <f t="shared" ref="F167" si="469">+F164/B164-1</f>
        <v>0.29174664107485615</v>
      </c>
      <c r="G167" s="328">
        <f t="shared" ref="G167" si="470">+G164/C164-1</f>
        <v>5.9322033898305149E-2</v>
      </c>
      <c r="H167" s="328">
        <f t="shared" ref="H167" si="471">+H164/D164-1</f>
        <v>-3.9764359351988188E-2</v>
      </c>
      <c r="I167" s="328">
        <f t="shared" ref="I167" si="472">+I164/E164-1</f>
        <v>2.9455081001472649E-2</v>
      </c>
      <c r="J167" s="328">
        <f t="shared" ref="J167" si="473">+J164/F164-1</f>
        <v>5.3491827637444311E-2</v>
      </c>
      <c r="K167" s="328">
        <f t="shared" ref="K167" si="474">+K164/G164-1</f>
        <v>0.28479999999999994</v>
      </c>
      <c r="L167" s="328">
        <f t="shared" ref="L167" si="475">+L164/H164-1</f>
        <v>9.9693251533742311E-2</v>
      </c>
      <c r="M167" s="328">
        <f t="shared" ref="M167" si="476">+M164/I164-1</f>
        <v>0.23462088698140193</v>
      </c>
      <c r="N167" s="328">
        <f t="shared" ref="N167" si="477">+N164/J164-1</f>
        <v>0.1988716502115655</v>
      </c>
      <c r="O167" s="328">
        <f t="shared" ref="O167" si="478">+O164/K164-1</f>
        <v>0.12702366127023668</v>
      </c>
      <c r="P167" s="328">
        <f t="shared" ref="P167" si="479">+P164/L164-1</f>
        <v>0.25801952580195264</v>
      </c>
      <c r="Q167" s="328">
        <f t="shared" ref="Q167" si="480">+Q164/M164-1</f>
        <v>-0.77520278099652373</v>
      </c>
      <c r="R167" s="328">
        <f t="shared" ref="R167" si="481">+R164/N164-1</f>
        <v>-0.34941176470588231</v>
      </c>
      <c r="S167" s="328">
        <f t="shared" ref="S167" si="482">+S164/O164-1</f>
        <v>-0.27513812154696138</v>
      </c>
      <c r="T167" s="328">
        <f t="shared" ref="T167" si="483">+T164/P164-1</f>
        <v>-0.33037694013303764</v>
      </c>
      <c r="U167" s="328">
        <f t="shared" ref="U167" si="484">+U164/Q164-1</f>
        <v>3.1237113402061851</v>
      </c>
      <c r="V167" s="328">
        <f t="shared" ref="V167" si="485">+V164/R164-1</f>
        <v>0.18444846292947559</v>
      </c>
      <c r="W167" s="328">
        <f t="shared" ref="W167" si="486">+W164/S164-1</f>
        <v>0.23475609756097571</v>
      </c>
      <c r="X167" s="328">
        <f t="shared" ref="X167" si="487">+X164/T164-1</f>
        <v>0.16887417218543055</v>
      </c>
      <c r="Y167" s="328">
        <f t="shared" ref="Y167" si="488">+Y164/U164-1</f>
        <v>8.7499999999999911E-2</v>
      </c>
      <c r="Z167" s="328">
        <f t="shared" ref="Z167" si="489">+Z164/V164-1</f>
        <v>0.11755725190839694</v>
      </c>
      <c r="AA167" s="328">
        <f t="shared" ref="AA167:AB167" si="490">+AA164/W164-1</f>
        <v>-3.8271604938271642E-2</v>
      </c>
      <c r="AB167" s="328">
        <f t="shared" si="490"/>
        <v>-0.14305949008498586</v>
      </c>
      <c r="AC167" s="328">
        <f t="shared" ref="AC167" si="491">+AC164/Y164-1</f>
        <v>0.28160919540229878</v>
      </c>
      <c r="AD167" s="328">
        <f t="shared" ref="AD167" si="492">+AD164/Z164-1</f>
        <v>0.19778745536012976</v>
      </c>
      <c r="AE167" s="328">
        <f t="shared" ref="AE167" si="493">+AE164/AA164-1</f>
        <v>0.10453874055863976</v>
      </c>
      <c r="AF167" s="328">
        <f t="shared" ref="AF167" si="494">+AF164/AB164-1</f>
        <v>0.49971995490715004</v>
      </c>
      <c r="AG167" s="328">
        <f>+AG164/AC164-1</f>
        <v>-0.176267183252941</v>
      </c>
      <c r="AH167" s="442"/>
      <c r="AI167" s="328">
        <v>5.6729041708451389E-2</v>
      </c>
      <c r="AJ167" s="442"/>
      <c r="AL167" s="330"/>
      <c r="AM167" s="328" t="e">
        <f>+AM164/AL164-1</f>
        <v>#DIV/0!</v>
      </c>
      <c r="AN167" s="328">
        <f t="shared" ref="AN167" si="495">+AN164/AM164-1</f>
        <v>0.16723291808229512</v>
      </c>
      <c r="AO167" s="328">
        <f t="shared" ref="AO167" si="496">+AO164/AN164-1</f>
        <v>-7.7943078913324748E-2</v>
      </c>
      <c r="AP167" s="328">
        <f t="shared" ref="AP167" si="497">+AP164/AO164-1</f>
        <v>-8.3479480883900337E-2</v>
      </c>
      <c r="AQ167" s="328">
        <f t="shared" ref="AQ167" si="498">+AQ164/AP164-1</f>
        <v>0.16379640260237283</v>
      </c>
      <c r="AR167" s="328">
        <f t="shared" ref="AR167" si="499">+AR164/AQ164-1</f>
        <v>6.2479447550148004E-2</v>
      </c>
      <c r="AS167" s="328">
        <f t="shared" ref="AS167" si="500">+AS164/AR164-1</f>
        <v>0.10275727626449771</v>
      </c>
      <c r="AT167" s="328">
        <f t="shared" ref="AT167" si="501">+AT164/AS164-1</f>
        <v>8.5941608258369273E-2</v>
      </c>
      <c r="AU167" s="328">
        <f t="shared" ref="AU167" si="502">+AU164/AT164-1</f>
        <v>5.9442912564584116E-2</v>
      </c>
      <c r="AV167" s="328">
        <f t="shared" ref="AV167" si="503">+AV164/AU164-1</f>
        <v>4.994159029638201E-2</v>
      </c>
      <c r="AW167" s="328">
        <f t="shared" ref="AW167" si="504">+AW164/AV164-1</f>
        <v>5.6314411794464059E-2</v>
      </c>
      <c r="AX167" s="328">
        <f t="shared" ref="AX167" si="505">+AX164/AW164-1</f>
        <v>5.5072525851447507E-2</v>
      </c>
      <c r="AY167" s="328">
        <f t="shared" ref="AY167" si="506">+AY164/AX164-1</f>
        <v>4.9258850885903316E-2</v>
      </c>
      <c r="AZ167" s="328">
        <f t="shared" ref="AZ167" si="507">+AZ164/AY164-1</f>
        <v>4.9717905095099324E-2</v>
      </c>
      <c r="BA167" s="328">
        <f t="shared" ref="BA167" si="508">+BA164/AZ164-1</f>
        <v>5.1018257899273056E-2</v>
      </c>
      <c r="BB167" s="328">
        <f t="shared" ref="BB167" si="509">+BB164/BA164-1</f>
        <v>5.1940992598088265E-2</v>
      </c>
    </row>
    <row r="168" spans="1:54" s="41" customFormat="1" x14ac:dyDescent="0.25">
      <c r="A168" s="171" t="s">
        <v>116</v>
      </c>
      <c r="B168" s="72">
        <v>175</v>
      </c>
      <c r="C168" s="72">
        <v>217</v>
      </c>
      <c r="D168" s="72">
        <v>226</v>
      </c>
      <c r="E168" s="72">
        <v>236</v>
      </c>
      <c r="F168" s="72">
        <v>229</v>
      </c>
      <c r="G168" s="72">
        <v>209</v>
      </c>
      <c r="H168" s="72">
        <v>255</v>
      </c>
      <c r="I168" s="72">
        <v>256</v>
      </c>
      <c r="J168" s="72">
        <v>251</v>
      </c>
      <c r="K168" s="72">
        <v>266</v>
      </c>
      <c r="L168" s="72">
        <v>268</v>
      </c>
      <c r="M168" s="72">
        <v>308</v>
      </c>
      <c r="N168" s="72">
        <v>330</v>
      </c>
      <c r="O168" s="72">
        <v>373</v>
      </c>
      <c r="P168" s="72">
        <v>380</v>
      </c>
      <c r="Q168" s="72">
        <v>422</v>
      </c>
      <c r="R168" s="72">
        <v>415</v>
      </c>
      <c r="S168" s="72">
        <v>475</v>
      </c>
      <c r="T168" s="72">
        <f>437</f>
        <v>437</v>
      </c>
      <c r="U168" s="72">
        <f>478</f>
        <v>478</v>
      </c>
      <c r="V168" s="72">
        <f>470</f>
        <v>470</v>
      </c>
      <c r="W168" s="72">
        <f>501</f>
        <v>501</v>
      </c>
      <c r="X168" s="72">
        <f>502</f>
        <v>502</v>
      </c>
      <c r="Y168" s="72">
        <f>563</f>
        <v>563</v>
      </c>
      <c r="Z168" s="72">
        <f>533</f>
        <v>533</v>
      </c>
      <c r="AA168" s="72">
        <v>549</v>
      </c>
      <c r="AB168" s="72">
        <v>580</v>
      </c>
      <c r="AC168" s="72">
        <v>629</v>
      </c>
      <c r="AD168" s="95">
        <f t="shared" ref="AD168:AG168" si="510">+AD237+AD232</f>
        <v>610.43041732361485</v>
      </c>
      <c r="AE168" s="95">
        <f t="shared" si="510"/>
        <v>616.53567889518058</v>
      </c>
      <c r="AF168" s="95">
        <f t="shared" si="510"/>
        <v>665.10557271882578</v>
      </c>
      <c r="AG168" s="95">
        <f t="shared" si="510"/>
        <v>620.54334067297077</v>
      </c>
      <c r="AH168" s="440"/>
      <c r="AI168" s="95">
        <v>563.51426628635261</v>
      </c>
      <c r="AJ168" s="486"/>
      <c r="AL168" s="41">
        <f>+SUMIFS($B168:AF168,$B$4:AF$4,"&lt;="&amp;AL$3,$B$4:AF$4,"&gt;"&amp;AK$3)</f>
        <v>0</v>
      </c>
      <c r="AM168" s="41">
        <f>+SUMIFS($B168:AG168,$B$4:AG$4,"&lt;="&amp;AM$3,$B$4:AG$4,"&gt;"&amp;AL$3)</f>
        <v>949</v>
      </c>
      <c r="AN168" s="41">
        <f>+SUMIFS($B168:AG168,$B$4:AG$4,"&lt;="&amp;AN$3,$B$4:AG$4,"&gt;"&amp;AM$3)</f>
        <v>1093</v>
      </c>
      <c r="AO168" s="41">
        <f>+SUMIFS($B168:AG168,$B$4:AG$4,"&lt;="&amp;AO$3,$B$4:AG$4,"&gt;"&amp;AN$3)</f>
        <v>1505</v>
      </c>
      <c r="AP168" s="41">
        <f>+SUMIFS($B168:AG168,$B$4:AG$4,"&lt;="&amp;AP$3,$B$4:AG$4,"&gt;"&amp;AO$3)</f>
        <v>1805</v>
      </c>
      <c r="AQ168" s="41">
        <f>+SUMIFS($B168:AG168,$B$4:AG$4,"&lt;="&amp;AQ$3,$B$4:AG$4,"&gt;"&amp;AP$3)</f>
        <v>2036</v>
      </c>
      <c r="AR168" s="41">
        <f>+SUMIFS($B168:AG168,$B$4:AG$4,"&lt;="&amp;AR$3,$B$4:AG$4,"&gt;"&amp;AQ$3)</f>
        <v>2291</v>
      </c>
      <c r="AS168" s="41">
        <f>+SUMIFS($B168:$AG168,$B$4:$AG$4,"&lt;="&amp;AS$3,$B$4:$AG$4,"&gt;"&amp;AR$3)</f>
        <v>2512.6150096105921</v>
      </c>
      <c r="AT168" s="95">
        <f>+AT237+AT232</f>
        <v>2874.0225876501836</v>
      </c>
      <c r="AU168" s="95">
        <f t="shared" ref="AU168:BB168" si="511">+AU237+AU232</f>
        <v>3076.4218243616865</v>
      </c>
      <c r="AV168" s="95">
        <f t="shared" si="511"/>
        <v>3294.9424658967409</v>
      </c>
      <c r="AW168" s="95">
        <f t="shared" si="511"/>
        <v>3530.4166249077598</v>
      </c>
      <c r="AX168" s="95">
        <f t="shared" si="511"/>
        <v>3784.2433328095981</v>
      </c>
      <c r="AY168" s="95">
        <f t="shared" si="511"/>
        <v>4018.7978300538666</v>
      </c>
      <c r="AZ168" s="95">
        <f t="shared" si="511"/>
        <v>4269.8889379602151</v>
      </c>
      <c r="BA168" s="95">
        <f t="shared" si="511"/>
        <v>4538.9972341242428</v>
      </c>
      <c r="BB168" s="95">
        <f t="shared" si="511"/>
        <v>4827.627508429212</v>
      </c>
    </row>
    <row r="169" spans="1:54" s="41" customFormat="1" x14ac:dyDescent="0.25">
      <c r="A169" s="171" t="s">
        <v>117</v>
      </c>
      <c r="B169" s="72"/>
      <c r="C169" s="72"/>
      <c r="D169" s="72"/>
      <c r="E169" s="72"/>
      <c r="F169" s="72"/>
      <c r="G169" s="72"/>
      <c r="H169" s="72"/>
      <c r="I169" s="72"/>
      <c r="J169" s="72"/>
      <c r="K169" s="72"/>
      <c r="L169" s="72"/>
      <c r="M169" s="72"/>
      <c r="N169" s="72"/>
      <c r="O169" s="72"/>
      <c r="P169" s="72"/>
      <c r="Q169" s="72"/>
      <c r="R169" s="72">
        <v>50</v>
      </c>
      <c r="S169" s="72">
        <v>56</v>
      </c>
      <c r="T169" s="72">
        <v>81</v>
      </c>
      <c r="U169" s="72">
        <v>66</v>
      </c>
      <c r="V169" s="72">
        <v>51</v>
      </c>
      <c r="W169" s="72">
        <v>43</v>
      </c>
      <c r="X169" s="72">
        <v>48</v>
      </c>
      <c r="Y169" s="72">
        <v>41</v>
      </c>
      <c r="Z169" s="72">
        <v>60</v>
      </c>
      <c r="AA169" s="72">
        <v>56</v>
      </c>
      <c r="AB169" s="72">
        <v>47</v>
      </c>
      <c r="AC169" s="72">
        <v>60</v>
      </c>
      <c r="AD169" s="490">
        <f t="shared" ref="AD169:AG169" si="512">+AVERAGE(Z169:AC169)</f>
        <v>55.75</v>
      </c>
      <c r="AE169" s="490">
        <f t="shared" si="512"/>
        <v>54.6875</v>
      </c>
      <c r="AF169" s="490">
        <f t="shared" si="512"/>
        <v>54.359375</v>
      </c>
      <c r="AG169" s="490">
        <f t="shared" si="512"/>
        <v>56.19921875</v>
      </c>
      <c r="AH169" s="440"/>
      <c r="AI169" s="490">
        <v>51</v>
      </c>
      <c r="AJ169" s="486"/>
      <c r="AM169" s="41">
        <f>+SUMIFS($B169:AG169,$B$4:AG$4,"&lt;="&amp;AM$3,$B$4:AG$4,"&gt;"&amp;AL$3)</f>
        <v>0</v>
      </c>
      <c r="AN169" s="41">
        <f>+SUMIFS($B169:AG169,$B$4:AG$4,"&lt;="&amp;AN$3,$B$4:AG$4,"&gt;"&amp;AM$3)</f>
        <v>0</v>
      </c>
      <c r="AO169" s="41">
        <f>+SUMIFS($B169:AG169,$B$4:AG$4,"&lt;="&amp;AO$3,$B$4:AG$4,"&gt;"&amp;AN$3)</f>
        <v>0</v>
      </c>
      <c r="AP169" s="41">
        <f>+SUMIFS($B169:AG169,$B$4:AG$4,"&lt;="&amp;AP$3,$B$4:AG$4,"&gt;"&amp;AO$3)</f>
        <v>253</v>
      </c>
      <c r="AQ169" s="41">
        <f>+SUMIFS($B169:AG169,$B$4:AG$4,"&lt;="&amp;AQ$3,$B$4:AG$4,"&gt;"&amp;AP$3)</f>
        <v>183</v>
      </c>
      <c r="AR169" s="41">
        <f>+SUMIFS($B169:AG169,$B$4:AG$4,"&lt;="&amp;AR$3,$B$4:AG$4,"&gt;"&amp;AQ$3)</f>
        <v>223</v>
      </c>
      <c r="AS169" s="41">
        <f t="shared" ref="AS169:AS172" si="513">+SUMIFS($B169:$AG169,$B$4:$AG$4,"&lt;="&amp;AS$3,$B$4:$AG$4,"&gt;"&amp;AR$3)</f>
        <v>220.99609375</v>
      </c>
      <c r="AT169" s="490">
        <f t="shared" ref="AT169:AT170" si="514">+AVERAGE(AR169:AS169)</f>
        <v>221.998046875</v>
      </c>
      <c r="AU169" s="490">
        <f t="shared" ref="AU169:AU172" si="515">+AVERAGE(AS169:AT169)</f>
        <v>221.4970703125</v>
      </c>
      <c r="AV169" s="490">
        <f t="shared" ref="AV169:AV172" si="516">+AVERAGE(AT169:AU169)</f>
        <v>221.74755859375</v>
      </c>
      <c r="AW169" s="490">
        <f t="shared" ref="AW169:AW172" si="517">+AVERAGE(AU169:AV169)</f>
        <v>221.622314453125</v>
      </c>
      <c r="AX169" s="490">
        <f t="shared" ref="AX169:AX172" si="518">+AVERAGE(AV169:AW169)</f>
        <v>221.6849365234375</v>
      </c>
      <c r="AY169" s="490">
        <f t="shared" ref="AY169:AY172" si="519">+AVERAGE(AW169:AX169)</f>
        <v>221.65362548828125</v>
      </c>
      <c r="AZ169" s="490">
        <f t="shared" ref="AZ169:AZ172" si="520">+AVERAGE(AX169:AY169)</f>
        <v>221.66928100585938</v>
      </c>
      <c r="BA169" s="490">
        <f t="shared" ref="BA169:BA172" si="521">+AVERAGE(AY169:AZ169)</f>
        <v>221.66145324707031</v>
      </c>
      <c r="BB169" s="490">
        <f t="shared" ref="BB169:BB172" si="522">+AVERAGE(AZ169:BA169)</f>
        <v>221.66536712646484</v>
      </c>
    </row>
    <row r="170" spans="1:54" s="41" customFormat="1" x14ac:dyDescent="0.25">
      <c r="A170" s="171" t="s">
        <v>118</v>
      </c>
      <c r="B170" s="72">
        <v>167</v>
      </c>
      <c r="C170" s="72">
        <v>181</v>
      </c>
      <c r="D170" s="72">
        <v>185</v>
      </c>
      <c r="E170" s="72">
        <v>207</v>
      </c>
      <c r="F170" s="72">
        <v>224</v>
      </c>
      <c r="G170" s="72">
        <v>203</v>
      </c>
      <c r="H170" s="72">
        <v>190</v>
      </c>
      <c r="I170" s="72">
        <v>228</v>
      </c>
      <c r="J170" s="72">
        <v>252</v>
      </c>
      <c r="K170" s="72">
        <v>261</v>
      </c>
      <c r="L170" s="72">
        <v>221</v>
      </c>
      <c r="M170" s="72">
        <v>286</v>
      </c>
      <c r="N170" s="72">
        <v>309</v>
      </c>
      <c r="O170" s="72">
        <v>283</v>
      </c>
      <c r="P170" s="72">
        <v>287</v>
      </c>
      <c r="Q170" s="72">
        <v>291</v>
      </c>
      <c r="R170" s="72">
        <v>320</v>
      </c>
      <c r="S170" s="72">
        <v>316</v>
      </c>
      <c r="T170" s="72">
        <v>136</v>
      </c>
      <c r="U170" s="72">
        <v>164</v>
      </c>
      <c r="V170" s="72">
        <v>147</v>
      </c>
      <c r="W170" s="72">
        <v>140</v>
      </c>
      <c r="X170" s="72">
        <v>151</v>
      </c>
      <c r="Y170" s="72">
        <v>221</v>
      </c>
      <c r="Z170" s="72">
        <v>189</v>
      </c>
      <c r="AA170" s="72">
        <v>176</v>
      </c>
      <c r="AB170" s="72">
        <v>179</v>
      </c>
      <c r="AC170" s="72">
        <v>223</v>
      </c>
      <c r="AD170" s="490">
        <f>+Z170*1.15</f>
        <v>217.35</v>
      </c>
      <c r="AE170" s="490">
        <f t="shared" ref="AE170:AG170" si="523">+AA170*1.15</f>
        <v>202.39999999999998</v>
      </c>
      <c r="AF170" s="490">
        <f t="shared" si="523"/>
        <v>205.85</v>
      </c>
      <c r="AG170" s="490">
        <f t="shared" si="523"/>
        <v>256.45</v>
      </c>
      <c r="AH170" s="440"/>
      <c r="AI170" s="490">
        <v>309.39999999999998</v>
      </c>
      <c r="AJ170" s="486"/>
      <c r="AM170" s="41">
        <f>+SUMIFS($B170:AG170,$B$4:AG$4,"&lt;="&amp;AM$3,$B$4:AG$4,"&gt;"&amp;AL$3)</f>
        <v>845</v>
      </c>
      <c r="AN170" s="41">
        <f>+SUMIFS($B170:AG170,$B$4:AG$4,"&lt;="&amp;AN$3,$B$4:AG$4,"&gt;"&amp;AM$3)</f>
        <v>1020</v>
      </c>
      <c r="AO170" s="41">
        <f>+SUMIFS($B170:AG170,$B$4:AG$4,"&lt;="&amp;AO$3,$B$4:AG$4,"&gt;"&amp;AN$3)</f>
        <v>1170</v>
      </c>
      <c r="AP170" s="41">
        <f>+SUMIFS($B170:AG170,$B$4:AG$4,"&lt;="&amp;AP$3,$B$4:AG$4,"&gt;"&amp;AO$3)</f>
        <v>936</v>
      </c>
      <c r="AQ170" s="41">
        <f>+SUMIFS($B170:AG170,$B$4:AG$4,"&lt;="&amp;AQ$3,$B$4:AG$4,"&gt;"&amp;AP$3)</f>
        <v>659</v>
      </c>
      <c r="AR170" s="41">
        <f>+SUMIFS($B170:AG170,$B$4:AG$4,"&lt;="&amp;AR$3,$B$4:AG$4,"&gt;"&amp;AQ$3)</f>
        <v>767</v>
      </c>
      <c r="AS170" s="41">
        <f t="shared" si="513"/>
        <v>882.05</v>
      </c>
      <c r="AT170" s="490">
        <f t="shared" si="514"/>
        <v>824.52499999999998</v>
      </c>
      <c r="AU170" s="490">
        <f t="shared" si="515"/>
        <v>853.28749999999991</v>
      </c>
      <c r="AV170" s="490">
        <f t="shared" si="516"/>
        <v>838.90625</v>
      </c>
      <c r="AW170" s="490">
        <f t="shared" si="517"/>
        <v>846.09687499999995</v>
      </c>
      <c r="AX170" s="490">
        <f t="shared" si="518"/>
        <v>842.50156249999998</v>
      </c>
      <c r="AY170" s="490">
        <f t="shared" si="519"/>
        <v>844.29921874999991</v>
      </c>
      <c r="AZ170" s="490">
        <f t="shared" si="520"/>
        <v>843.400390625</v>
      </c>
      <c r="BA170" s="490">
        <f t="shared" si="521"/>
        <v>843.84980468749995</v>
      </c>
      <c r="BB170" s="490">
        <f t="shared" si="522"/>
        <v>843.62509765624998</v>
      </c>
    </row>
    <row r="171" spans="1:54" s="41" customFormat="1" x14ac:dyDescent="0.25">
      <c r="A171" s="171" t="s">
        <v>312</v>
      </c>
      <c r="B171" s="72"/>
      <c r="C171" s="72"/>
      <c r="D171" s="72"/>
      <c r="E171" s="72"/>
      <c r="F171" s="72"/>
      <c r="G171" s="72"/>
      <c r="H171" s="72"/>
      <c r="I171" s="72"/>
      <c r="J171" s="72"/>
      <c r="K171" s="72"/>
      <c r="L171" s="72"/>
      <c r="M171" s="72"/>
      <c r="N171" s="72"/>
      <c r="O171" s="72"/>
      <c r="P171" s="72"/>
      <c r="Q171" s="72"/>
      <c r="R171" s="72"/>
      <c r="S171" s="72"/>
      <c r="T171" s="72">
        <v>198</v>
      </c>
      <c r="U171" s="72">
        <v>219</v>
      </c>
      <c r="V171" s="72">
        <v>227</v>
      </c>
      <c r="W171" s="72">
        <v>269</v>
      </c>
      <c r="X171" s="72">
        <v>271</v>
      </c>
      <c r="Y171" s="72">
        <v>286</v>
      </c>
      <c r="Z171" s="72">
        <v>259</v>
      </c>
      <c r="AA171" s="72">
        <v>246</v>
      </c>
      <c r="AB171" s="72">
        <v>209</v>
      </c>
      <c r="AC171" s="72">
        <v>219</v>
      </c>
      <c r="AD171" s="490">
        <f t="shared" ref="AD171" si="524">+AVERAGE(Z171:AC171)</f>
        <v>233.25</v>
      </c>
      <c r="AE171" s="490">
        <f t="shared" ref="AE171" si="525">+AVERAGE(AA171:AD171)</f>
        <v>226.8125</v>
      </c>
      <c r="AF171" s="490">
        <f t="shared" ref="AF171" si="526">+AVERAGE(AB171:AE171)</f>
        <v>222.015625</v>
      </c>
      <c r="AG171" s="490">
        <f t="shared" ref="AG171" si="527">+AVERAGE(AC171:AF171)</f>
        <v>225.26953125</v>
      </c>
      <c r="AH171" s="440"/>
      <c r="AI171" s="490">
        <v>297.44</v>
      </c>
      <c r="AJ171" s="486"/>
      <c r="AM171" s="41">
        <f>+SUMIFS($B171:AG171,$B$4:AG$4,"&lt;="&amp;AM$3,$B$4:AG$4,"&gt;"&amp;AL$3)</f>
        <v>0</v>
      </c>
      <c r="AN171" s="41">
        <f>+SUMIFS($B171:AG171,$B$4:AG$4,"&lt;="&amp;AN$3,$B$4:AG$4,"&gt;"&amp;AM$3)</f>
        <v>0</v>
      </c>
      <c r="AO171" s="41">
        <f>+SUMIFS($B171:AG171,$B$4:AG$4,"&lt;="&amp;AO$3,$B$4:AG$4,"&gt;"&amp;AN$3)</f>
        <v>0</v>
      </c>
      <c r="AP171" s="41">
        <f>+SUMIFS($B171:AG171,$B$4:AG$4,"&lt;="&amp;AP$3,$B$4:AG$4,"&gt;"&amp;AO$3)</f>
        <v>417</v>
      </c>
      <c r="AQ171" s="41">
        <f>+SUMIFS($B171:AG171,$B$4:AG$4,"&lt;="&amp;AQ$3,$B$4:AG$4,"&gt;"&amp;AP$3)</f>
        <v>1053</v>
      </c>
      <c r="AR171" s="41">
        <f>+SUMIFS($B171:AG171,$B$4:AG$4,"&lt;="&amp;AR$3,$B$4:AG$4,"&gt;"&amp;AQ$3)</f>
        <v>933</v>
      </c>
      <c r="AS171" s="41">
        <f t="shared" ref="AS171" si="528">+SUMIFS($B171:$AG171,$B$4:$AG$4,"&lt;="&amp;AS$3,$B$4:$AG$4,"&gt;"&amp;AR$3)</f>
        <v>907.34765625</v>
      </c>
      <c r="AT171" s="490">
        <f t="shared" ref="AT171" si="529">+AVERAGE(AR171:AS171)</f>
        <v>920.173828125</v>
      </c>
      <c r="AU171" s="490">
        <f t="shared" ref="AU171" si="530">+AVERAGE(AS171:AT171)</f>
        <v>913.7607421875</v>
      </c>
      <c r="AV171" s="490">
        <f t="shared" ref="AV171" si="531">+AVERAGE(AT171:AU171)</f>
        <v>916.96728515625</v>
      </c>
      <c r="AW171" s="490">
        <f t="shared" ref="AW171" si="532">+AVERAGE(AU171:AV171)</f>
        <v>915.364013671875</v>
      </c>
      <c r="AX171" s="490">
        <f t="shared" ref="AX171" si="533">+AVERAGE(AV171:AW171)</f>
        <v>916.1656494140625</v>
      </c>
      <c r="AY171" s="490">
        <f t="shared" ref="AY171" si="534">+AVERAGE(AW171:AX171)</f>
        <v>915.76483154296875</v>
      </c>
      <c r="AZ171" s="490">
        <f t="shared" ref="AZ171" si="535">+AVERAGE(AX171:AY171)</f>
        <v>915.96524047851563</v>
      </c>
      <c r="BA171" s="490">
        <f t="shared" ref="BA171" si="536">+AVERAGE(AY171:AZ171)</f>
        <v>915.86503601074219</v>
      </c>
      <c r="BB171" s="490">
        <f t="shared" ref="BB171" si="537">+AVERAGE(AZ171:BA171)</f>
        <v>915.91513824462891</v>
      </c>
    </row>
    <row r="172" spans="1:54" s="41" customFormat="1" x14ac:dyDescent="0.25">
      <c r="A172" s="172" t="s">
        <v>119</v>
      </c>
      <c r="B172" s="72">
        <v>179</v>
      </c>
      <c r="C172" s="72">
        <v>192</v>
      </c>
      <c r="D172" s="72">
        <v>268</v>
      </c>
      <c r="E172" s="72">
        <v>236</v>
      </c>
      <c r="F172" s="72">
        <v>220</v>
      </c>
      <c r="G172" s="72">
        <v>213</v>
      </c>
      <c r="H172" s="72">
        <v>207</v>
      </c>
      <c r="I172" s="72">
        <v>215</v>
      </c>
      <c r="J172" s="72">
        <v>206</v>
      </c>
      <c r="K172" s="72">
        <v>276</v>
      </c>
      <c r="L172" s="72">
        <v>228</v>
      </c>
      <c r="M172" s="72">
        <v>269</v>
      </c>
      <c r="N172" s="72">
        <v>211</v>
      </c>
      <c r="O172" s="72">
        <v>249</v>
      </c>
      <c r="P172" s="72">
        <v>235</v>
      </c>
      <c r="Q172" s="72">
        <v>-519</v>
      </c>
      <c r="R172" s="72">
        <v>-232</v>
      </c>
      <c r="S172" s="72">
        <v>-191</v>
      </c>
      <c r="T172" s="72">
        <v>-248</v>
      </c>
      <c r="U172" s="72">
        <v>-127</v>
      </c>
      <c r="V172" s="72">
        <v>-240</v>
      </c>
      <c r="W172" s="72">
        <v>-143</v>
      </c>
      <c r="X172" s="72">
        <v>-266</v>
      </c>
      <c r="Y172" s="72">
        <v>-241</v>
      </c>
      <c r="Z172" s="72">
        <v>-309</v>
      </c>
      <c r="AA172" s="72">
        <v>-248</v>
      </c>
      <c r="AB172" s="72">
        <f>-410</f>
        <v>-410</v>
      </c>
      <c r="AC172" s="72">
        <v>-16</v>
      </c>
      <c r="AD172" s="490">
        <v>-240</v>
      </c>
      <c r="AE172" s="490">
        <v>-240</v>
      </c>
      <c r="AF172" s="490">
        <v>-240</v>
      </c>
      <c r="AG172" s="490">
        <v>-240</v>
      </c>
      <c r="AH172" s="440"/>
      <c r="AI172" s="490">
        <v>-302</v>
      </c>
      <c r="AJ172" s="486"/>
      <c r="AL172" s="41">
        <f>+SUMIFS($B172:AF172,$B$4:AF$4,"&lt;="&amp;AL$3,$B$4:AF$4,"&gt;"&amp;AK$3)</f>
        <v>0</v>
      </c>
      <c r="AM172" s="41">
        <f>+SUMIFS($B172:AG172,$B$4:AG$4,"&lt;="&amp;AM$3,$B$4:AG$4,"&gt;"&amp;AL$3)</f>
        <v>855</v>
      </c>
      <c r="AN172" s="41">
        <f>+SUMIFS($B172:AG172,$B$4:AG$4,"&lt;="&amp;AN$3,$B$4:AG$4,"&gt;"&amp;AM$3)</f>
        <v>979</v>
      </c>
      <c r="AO172" s="41">
        <f>+SUMIFS($B172:AG172,$B$4:AG$4,"&lt;="&amp;AO$3,$B$4:AG$4,"&gt;"&amp;AN$3)</f>
        <v>176</v>
      </c>
      <c r="AP172" s="41">
        <f>+SUMIFS($B172:AG172,$B$4:AG$4,"&lt;="&amp;AP$3,$B$4:AG$4,"&gt;"&amp;AO$3)</f>
        <v>-798</v>
      </c>
      <c r="AQ172" s="41">
        <f>+SUMIFS($B172:AG172,$B$4:AG$4,"&lt;="&amp;AQ$3,$B$4:AG$4,"&gt;"&amp;AP$3)</f>
        <v>-890</v>
      </c>
      <c r="AR172" s="41">
        <f>+SUMIFS($B172:AG172,$B$4:AG$4,"&lt;="&amp;AR$3,$B$4:AG$4,"&gt;"&amp;AQ$3)</f>
        <v>-983</v>
      </c>
      <c r="AS172" s="41">
        <f t="shared" si="513"/>
        <v>-960</v>
      </c>
      <c r="AT172" s="490">
        <f>+AVERAGE(AR172:AS172)</f>
        <v>-971.5</v>
      </c>
      <c r="AU172" s="490">
        <f t="shared" si="515"/>
        <v>-965.75</v>
      </c>
      <c r="AV172" s="490">
        <f t="shared" si="516"/>
        <v>-968.625</v>
      </c>
      <c r="AW172" s="490">
        <f t="shared" si="517"/>
        <v>-967.1875</v>
      </c>
      <c r="AX172" s="490">
        <f t="shared" si="518"/>
        <v>-967.90625</v>
      </c>
      <c r="AY172" s="490">
        <f t="shared" si="519"/>
        <v>-967.546875</v>
      </c>
      <c r="AZ172" s="490">
        <f t="shared" si="520"/>
        <v>-967.7265625</v>
      </c>
      <c r="BA172" s="490">
        <f t="shared" si="521"/>
        <v>-967.63671875</v>
      </c>
      <c r="BB172" s="490">
        <f t="shared" si="522"/>
        <v>-967.681640625</v>
      </c>
    </row>
    <row r="173" spans="1:54" s="41" customFormat="1" x14ac:dyDescent="0.25">
      <c r="A173" s="1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95"/>
      <c r="AE173" s="95"/>
      <c r="AF173" s="95"/>
      <c r="AG173" s="95"/>
      <c r="AH173" s="440"/>
      <c r="AI173" s="95"/>
      <c r="AJ173" s="440"/>
      <c r="AT173" s="95"/>
      <c r="AU173" s="95"/>
      <c r="AV173" s="95"/>
      <c r="AW173" s="95"/>
      <c r="AX173" s="95"/>
      <c r="AY173" s="95"/>
      <c r="AZ173" s="95"/>
      <c r="BA173" s="95"/>
      <c r="BB173" s="95"/>
    </row>
    <row r="174" spans="1:54" x14ac:dyDescent="0.25">
      <c r="A174" s="488" t="s">
        <v>120</v>
      </c>
      <c r="B174" s="24">
        <v>-95</v>
      </c>
      <c r="C174" s="24">
        <v>-100</v>
      </c>
      <c r="D174" s="24">
        <v>-103</v>
      </c>
      <c r="E174" s="24">
        <v>-103</v>
      </c>
      <c r="F174" s="24">
        <v>-106</v>
      </c>
      <c r="G174" s="24">
        <v>-109</v>
      </c>
      <c r="H174" s="24">
        <v>-110</v>
      </c>
      <c r="I174" s="24">
        <v>-105</v>
      </c>
      <c r="J174" s="24">
        <v>-105</v>
      </c>
      <c r="K174" s="24">
        <v>-111</v>
      </c>
      <c r="L174" s="24">
        <v>-112</v>
      </c>
      <c r="M174" s="24">
        <v>-112</v>
      </c>
      <c r="N174" s="24">
        <v>0</v>
      </c>
      <c r="O174" s="24">
        <v>0</v>
      </c>
      <c r="P174" s="24">
        <v>0</v>
      </c>
      <c r="Q174" s="24">
        <v>0</v>
      </c>
      <c r="R174" s="24">
        <v>-134</v>
      </c>
      <c r="S174" s="24">
        <v>-147</v>
      </c>
      <c r="T174" s="24">
        <v>-157</v>
      </c>
      <c r="U174" s="24">
        <v>-159</v>
      </c>
      <c r="V174" s="24">
        <v>-156</v>
      </c>
      <c r="W174" s="24">
        <v>-162</v>
      </c>
      <c r="X174" s="24">
        <v>-169</v>
      </c>
      <c r="Y174" s="24">
        <v>-176</v>
      </c>
      <c r="Z174" s="24">
        <v>-179</v>
      </c>
      <c r="AA174" s="24">
        <v>-183</v>
      </c>
      <c r="AB174" s="24">
        <v>-182</v>
      </c>
      <c r="AC174" s="24">
        <v>-186</v>
      </c>
      <c r="AD174" s="96">
        <f>+AD175*AD$179</f>
        <v>-177.0121528534421</v>
      </c>
      <c r="AE174" s="96">
        <f>+AE175*AE$179</f>
        <v>-169.95838325065807</v>
      </c>
      <c r="AF174" s="96">
        <f>+AF175*AF$179</f>
        <v>-174.76973077100928</v>
      </c>
      <c r="AG174" s="96">
        <f>+AG175*AG$179</f>
        <v>-179.07342966183313</v>
      </c>
      <c r="AH174" s="96"/>
      <c r="AI174" s="96">
        <v>-194.9983108834341</v>
      </c>
      <c r="AJ174" s="96"/>
      <c r="AL174" s="24">
        <f>+SUMIFS($B174:AF174,$B$4:AF$4,"&lt;="&amp;AL$3,$B$4:AF$4,"&gt;"&amp;AK$3)</f>
        <v>0</v>
      </c>
      <c r="AM174" s="24">
        <f>+SUMIFS($B174:AG174,$B$4:AG$4,"&lt;="&amp;AM$3,$B$4:AG$4,"&gt;"&amp;AL$3)</f>
        <v>-430</v>
      </c>
      <c r="AN174" s="24">
        <f>+SUMIFS($B174:AG174,$B$4:AG$4,"&lt;="&amp;AN$3,$B$4:AG$4,"&gt;"&amp;AM$3)</f>
        <v>-440</v>
      </c>
      <c r="AO174" s="24">
        <f>+SUMIFS($B174:AG174,$B$4:AG$4,"&lt;="&amp;AO$3,$B$4:AG$4,"&gt;"&amp;AN$3)</f>
        <v>0</v>
      </c>
      <c r="AP174" s="24">
        <f>+SUMIFS($B174:AG174,$B$4:AG$4,"&lt;="&amp;AP$3,$B$4:AG$4,"&gt;"&amp;AO$3)</f>
        <v>-597</v>
      </c>
      <c r="AQ174" s="24">
        <f>+SUMIFS($B174:AG174,$B$4:AG$4,"&lt;="&amp;AQ$3,$B$4:AG$4,"&gt;"&amp;AP$3)</f>
        <v>-663</v>
      </c>
      <c r="AR174" s="24">
        <f>+SUMIFS($B174:AG174,$B$4:AG$4,"&lt;="&amp;AR$3,$B$4:AG$4,"&gt;"&amp;AQ$3)</f>
        <v>-730</v>
      </c>
      <c r="AS174" s="24">
        <f>+SUMIFS($B174:$AG174,$B$4:$AG$4,"&lt;="&amp;AS$3,$B$4:$AG$4,"&gt;"&amp;AR$3)</f>
        <v>-700.81369653694264</v>
      </c>
      <c r="AT174" s="96">
        <f t="shared" ref="AT174:BB174" si="538">+AT175*AT$179</f>
        <v>-749.8630357283364</v>
      </c>
      <c r="AU174" s="96">
        <f t="shared" si="538"/>
        <v>-811.00463455875683</v>
      </c>
      <c r="AV174" s="96">
        <f t="shared" si="538"/>
        <v>-863.60656394054229</v>
      </c>
      <c r="AW174" s="96">
        <f t="shared" si="538"/>
        <v>-920.81556745267187</v>
      </c>
      <c r="AX174" s="96">
        <f t="shared" si="538"/>
        <v>-982.05346134613035</v>
      </c>
      <c r="AY174" s="96">
        <f t="shared" si="538"/>
        <v>-1039.8986840849598</v>
      </c>
      <c r="AZ174" s="96">
        <f t="shared" si="538"/>
        <v>-1094.7508192436983</v>
      </c>
      <c r="BA174" s="96">
        <f t="shared" si="538"/>
        <v>-1153.1307064991659</v>
      </c>
      <c r="BB174" s="96">
        <f t="shared" si="538"/>
        <v>-1215.2411082647088</v>
      </c>
    </row>
    <row r="175" spans="1:54" s="90" customFormat="1" x14ac:dyDescent="0.25">
      <c r="A175" s="489" t="s">
        <v>121</v>
      </c>
      <c r="B175" s="29">
        <f t="shared" ref="B175:Z175" si="539">+B174/B$179</f>
        <v>-3.9632874426366288E-2</v>
      </c>
      <c r="C175" s="29">
        <f t="shared" si="539"/>
        <v>-4.0080160320641281E-2</v>
      </c>
      <c r="D175" s="29">
        <f t="shared" si="539"/>
        <v>-3.8649155722326453E-2</v>
      </c>
      <c r="E175" s="29">
        <f t="shared" si="539"/>
        <v>-3.9418293149636435E-2</v>
      </c>
      <c r="F175" s="29">
        <f t="shared" si="539"/>
        <v>-4.021244309559939E-2</v>
      </c>
      <c r="G175" s="29">
        <f t="shared" si="539"/>
        <v>-4.3933897621926642E-2</v>
      </c>
      <c r="H175" s="29">
        <f t="shared" si="539"/>
        <v>-4.4534412955465584E-2</v>
      </c>
      <c r="I175" s="29">
        <f t="shared" si="539"/>
        <v>-4.0792540792540792E-2</v>
      </c>
      <c r="J175" s="29">
        <f t="shared" si="539"/>
        <v>-4.1551246537396121E-2</v>
      </c>
      <c r="K175" s="29">
        <f t="shared" si="539"/>
        <v>-4.1981845688350984E-2</v>
      </c>
      <c r="L175" s="29">
        <f t="shared" si="539"/>
        <v>-4.3010752688172046E-2</v>
      </c>
      <c r="M175" s="29">
        <f t="shared" si="539"/>
        <v>-3.8821490467937605E-2</v>
      </c>
      <c r="N175" s="29">
        <f t="shared" si="539"/>
        <v>0</v>
      </c>
      <c r="O175" s="29">
        <f t="shared" si="539"/>
        <v>0</v>
      </c>
      <c r="P175" s="29">
        <f t="shared" si="539"/>
        <v>0</v>
      </c>
      <c r="Q175" s="29">
        <f t="shared" si="539"/>
        <v>0</v>
      </c>
      <c r="R175" s="29">
        <f t="shared" si="539"/>
        <v>-3.9715471250740958E-2</v>
      </c>
      <c r="S175" s="29">
        <f t="shared" si="539"/>
        <v>-4.0992749581706636E-2</v>
      </c>
      <c r="T175" s="29">
        <f t="shared" si="539"/>
        <v>-4.0652511651993788E-2</v>
      </c>
      <c r="U175" s="29">
        <f t="shared" si="539"/>
        <v>-3.8065597318649752E-2</v>
      </c>
      <c r="V175" s="29">
        <f t="shared" si="539"/>
        <v>-3.816046966731898E-2</v>
      </c>
      <c r="W175" s="29">
        <f t="shared" si="539"/>
        <v>-3.7378864790032301E-2</v>
      </c>
      <c r="X175" s="29">
        <f t="shared" si="539"/>
        <v>-3.8779256539697111E-2</v>
      </c>
      <c r="Y175" s="29">
        <f t="shared" si="539"/>
        <v>-3.7947391116860713E-2</v>
      </c>
      <c r="Z175" s="29">
        <f t="shared" si="539"/>
        <v>-4.0179573512906845E-2</v>
      </c>
      <c r="AA175" s="29">
        <f t="shared" ref="AA175:AB175" si="540">+AA174/AA$179</f>
        <v>-3.9834566826295166E-2</v>
      </c>
      <c r="AB175" s="29">
        <f t="shared" si="540"/>
        <v>-4.0354767184035474E-2</v>
      </c>
      <c r="AC175" s="29">
        <f t="shared" ref="AC175" si="541">+AC174/AC$179</f>
        <v>-3.6207903445590814E-2</v>
      </c>
      <c r="AD175" s="85">
        <f t="shared" ref="AD175:AG175" si="542">+AC175</f>
        <v>-3.6207903445590814E-2</v>
      </c>
      <c r="AE175" s="85">
        <f t="shared" si="542"/>
        <v>-3.6207903445590814E-2</v>
      </c>
      <c r="AF175" s="85">
        <f t="shared" si="542"/>
        <v>-3.6207903445590814E-2</v>
      </c>
      <c r="AG175" s="85">
        <f t="shared" si="542"/>
        <v>-3.6207903445590814E-2</v>
      </c>
      <c r="AH175" s="85"/>
      <c r="AI175" s="85">
        <v>-4.0354767184035474E-2</v>
      </c>
      <c r="AJ175" s="85"/>
      <c r="AL175" s="29" t="e">
        <f t="shared" ref="AL175:AS175" si="543">+AL174/AL$179</f>
        <v>#DIV/0!</v>
      </c>
      <c r="AM175" s="29">
        <f t="shared" si="543"/>
        <v>-4.2318669422300954E-2</v>
      </c>
      <c r="AN175" s="29">
        <f t="shared" si="543"/>
        <v>-4.1275797373358347E-2</v>
      </c>
      <c r="AO175" s="29">
        <f t="shared" si="543"/>
        <v>0</v>
      </c>
      <c r="AP175" s="29">
        <f t="shared" si="543"/>
        <v>-3.9802653510234015E-2</v>
      </c>
      <c r="AQ175" s="29">
        <f t="shared" si="543"/>
        <v>-3.8064071650017225E-2</v>
      </c>
      <c r="AR175" s="29">
        <f t="shared" si="543"/>
        <v>-3.9045785194694052E-2</v>
      </c>
      <c r="AS175" s="29">
        <f t="shared" si="543"/>
        <v>-3.6207903445590814E-2</v>
      </c>
      <c r="AT175" s="85">
        <f t="shared" ref="AT175" si="544">+AS175</f>
        <v>-3.6207903445590814E-2</v>
      </c>
      <c r="AU175" s="85">
        <f t="shared" ref="AU175" si="545">+AT175</f>
        <v>-3.6207903445590814E-2</v>
      </c>
      <c r="AV175" s="85">
        <f t="shared" ref="AV175" si="546">+AU175</f>
        <v>-3.6207903445590814E-2</v>
      </c>
      <c r="AW175" s="85">
        <f t="shared" ref="AW175" si="547">+AV175</f>
        <v>-3.6207903445590814E-2</v>
      </c>
      <c r="AX175" s="85">
        <f t="shared" ref="AX175" si="548">+AW175</f>
        <v>-3.6207903445590814E-2</v>
      </c>
      <c r="AY175" s="85">
        <f t="shared" ref="AY175" si="549">+AX175</f>
        <v>-3.6207903445590814E-2</v>
      </c>
      <c r="AZ175" s="85">
        <f t="shared" ref="AZ175" si="550">+AY175</f>
        <v>-3.6207903445590814E-2</v>
      </c>
      <c r="BA175" s="85">
        <f t="shared" ref="BA175" si="551">+AZ175</f>
        <v>-3.6207903445590814E-2</v>
      </c>
      <c r="BB175" s="85">
        <f t="shared" ref="BB175" si="552">+BA175</f>
        <v>-3.6207903445590814E-2</v>
      </c>
    </row>
    <row r="176" spans="1:54" x14ac:dyDescent="0.25">
      <c r="A176" s="2"/>
      <c r="B176" s="26">
        <f t="shared" ref="B176:Y176" si="553">+B172-B174</f>
        <v>274</v>
      </c>
      <c r="C176" s="26">
        <f t="shared" si="553"/>
        <v>292</v>
      </c>
      <c r="D176" s="26">
        <f t="shared" si="553"/>
        <v>371</v>
      </c>
      <c r="E176" s="26">
        <f t="shared" si="553"/>
        <v>339</v>
      </c>
      <c r="F176" s="26">
        <f t="shared" si="553"/>
        <v>326</v>
      </c>
      <c r="G176" s="26">
        <f t="shared" si="553"/>
        <v>322</v>
      </c>
      <c r="H176" s="26">
        <f t="shared" si="553"/>
        <v>317</v>
      </c>
      <c r="I176" s="26">
        <f t="shared" si="553"/>
        <v>320</v>
      </c>
      <c r="J176" s="26">
        <f t="shared" si="553"/>
        <v>311</v>
      </c>
      <c r="K176" s="26">
        <f t="shared" si="553"/>
        <v>387</v>
      </c>
      <c r="L176" s="26">
        <f t="shared" si="553"/>
        <v>340</v>
      </c>
      <c r="M176" s="26">
        <f t="shared" si="553"/>
        <v>381</v>
      </c>
      <c r="N176" s="26">
        <f t="shared" si="553"/>
        <v>211</v>
      </c>
      <c r="O176" s="26">
        <f t="shared" si="553"/>
        <v>249</v>
      </c>
      <c r="P176" s="26">
        <f t="shared" si="553"/>
        <v>235</v>
      </c>
      <c r="Q176" s="26">
        <f t="shared" si="553"/>
        <v>-519</v>
      </c>
      <c r="R176" s="26">
        <f t="shared" si="553"/>
        <v>-98</v>
      </c>
      <c r="S176" s="26">
        <f t="shared" si="553"/>
        <v>-44</v>
      </c>
      <c r="T176" s="26">
        <f t="shared" si="553"/>
        <v>-91</v>
      </c>
      <c r="U176" s="26">
        <f t="shared" si="553"/>
        <v>32</v>
      </c>
      <c r="V176" s="26">
        <f t="shared" si="553"/>
        <v>-84</v>
      </c>
      <c r="W176" s="26">
        <f t="shared" si="553"/>
        <v>19</v>
      </c>
      <c r="X176" s="26">
        <f t="shared" si="553"/>
        <v>-97</v>
      </c>
      <c r="Y176" s="26">
        <f t="shared" si="553"/>
        <v>-65</v>
      </c>
      <c r="Z176" s="550">
        <f>+Z172-Z174</f>
        <v>-130</v>
      </c>
      <c r="AA176" s="550">
        <f>+AA172-AA174</f>
        <v>-65</v>
      </c>
      <c r="AB176" s="550">
        <f>+AB172-AB174</f>
        <v>-228</v>
      </c>
      <c r="AC176" s="550">
        <f>+AC172-AC174</f>
        <v>170</v>
      </c>
      <c r="AD176" s="26">
        <f t="shared" ref="AD176:AG176" si="554">+AD172-AD174</f>
        <v>-62.987847146557897</v>
      </c>
      <c r="AE176" s="26">
        <f t="shared" si="554"/>
        <v>-70.041616749341927</v>
      </c>
      <c r="AF176" s="26">
        <f t="shared" si="554"/>
        <v>-65.230269228990721</v>
      </c>
      <c r="AG176" s="26">
        <f t="shared" si="554"/>
        <v>-60.926570338166869</v>
      </c>
      <c r="AI176" s="22">
        <v>-107.0016891165659</v>
      </c>
      <c r="AM176" s="26">
        <f t="shared" ref="AM176:AS176" si="555">+AM172-AM174</f>
        <v>1285</v>
      </c>
      <c r="AN176" s="26">
        <f t="shared" si="555"/>
        <v>1419</v>
      </c>
      <c r="AO176" s="26">
        <f t="shared" si="555"/>
        <v>176</v>
      </c>
      <c r="AP176" s="26">
        <f t="shared" si="555"/>
        <v>-201</v>
      </c>
      <c r="AQ176" s="26">
        <f t="shared" si="555"/>
        <v>-227</v>
      </c>
      <c r="AR176" s="26">
        <f t="shared" si="555"/>
        <v>-253</v>
      </c>
      <c r="AS176" s="26">
        <f t="shared" si="555"/>
        <v>-259.18630346305736</v>
      </c>
    </row>
    <row r="177" spans="1:54" x14ac:dyDescent="0.25">
      <c r="A177" s="2"/>
    </row>
    <row r="178" spans="1:54" x14ac:dyDescent="0.25">
      <c r="A178" s="2"/>
    </row>
    <row r="179" spans="1:54" s="42" customFormat="1" x14ac:dyDescent="0.25">
      <c r="A179" s="2" t="s">
        <v>122</v>
      </c>
      <c r="B179" s="439">
        <f t="shared" ref="B179:AG179" si="556">+B158+B164</f>
        <v>2397</v>
      </c>
      <c r="C179" s="439">
        <f t="shared" si="556"/>
        <v>2495</v>
      </c>
      <c r="D179" s="439">
        <f t="shared" si="556"/>
        <v>2665</v>
      </c>
      <c r="E179" s="439">
        <f t="shared" si="556"/>
        <v>2613</v>
      </c>
      <c r="F179" s="439">
        <f t="shared" si="556"/>
        <v>2636</v>
      </c>
      <c r="G179" s="439">
        <f t="shared" si="556"/>
        <v>2481</v>
      </c>
      <c r="H179" s="439">
        <f t="shared" si="556"/>
        <v>2470</v>
      </c>
      <c r="I179" s="439">
        <f t="shared" si="556"/>
        <v>2574</v>
      </c>
      <c r="J179" s="439">
        <f t="shared" si="556"/>
        <v>2527</v>
      </c>
      <c r="K179" s="439">
        <f t="shared" si="556"/>
        <v>2644</v>
      </c>
      <c r="L179" s="439">
        <f t="shared" si="556"/>
        <v>2604</v>
      </c>
      <c r="M179" s="439">
        <f t="shared" si="556"/>
        <v>2885</v>
      </c>
      <c r="N179" s="439">
        <f t="shared" si="556"/>
        <v>2940</v>
      </c>
      <c r="O179" s="439">
        <f t="shared" si="556"/>
        <v>3161</v>
      </c>
      <c r="P179" s="439">
        <f t="shared" si="556"/>
        <v>3424</v>
      </c>
      <c r="Q179" s="439">
        <f t="shared" si="556"/>
        <v>3687</v>
      </c>
      <c r="R179" s="439">
        <f t="shared" si="556"/>
        <v>3374</v>
      </c>
      <c r="S179" s="439">
        <f t="shared" si="556"/>
        <v>3586</v>
      </c>
      <c r="T179" s="439">
        <f t="shared" si="556"/>
        <v>3862</v>
      </c>
      <c r="U179" s="439">
        <f t="shared" si="556"/>
        <v>4177</v>
      </c>
      <c r="V179" s="439">
        <f t="shared" si="556"/>
        <v>4088</v>
      </c>
      <c r="W179" s="439">
        <f t="shared" si="556"/>
        <v>4334</v>
      </c>
      <c r="X179" s="439">
        <f t="shared" si="556"/>
        <v>4358</v>
      </c>
      <c r="Y179" s="439">
        <f t="shared" si="556"/>
        <v>4638</v>
      </c>
      <c r="Z179" s="439">
        <f t="shared" si="556"/>
        <v>4455</v>
      </c>
      <c r="AA179" s="439">
        <f t="shared" si="556"/>
        <v>4594</v>
      </c>
      <c r="AB179" s="439">
        <f t="shared" si="556"/>
        <v>4510</v>
      </c>
      <c r="AC179" s="439">
        <f>+AC158+AC164</f>
        <v>5137</v>
      </c>
      <c r="AD179" s="439">
        <f t="shared" si="556"/>
        <v>4888.771124774903</v>
      </c>
      <c r="AE179" s="439">
        <f t="shared" si="556"/>
        <v>4693.9581438636051</v>
      </c>
      <c r="AF179" s="439">
        <f t="shared" si="556"/>
        <v>4826.8392847885734</v>
      </c>
      <c r="AG179" s="439">
        <f t="shared" si="556"/>
        <v>4945.7000439399826</v>
      </c>
      <c r="AH179" s="439"/>
      <c r="AI179" s="439">
        <v>4832.1010004631198</v>
      </c>
      <c r="AJ179" s="485">
        <f>+AB179/AI179-1</f>
        <v>-6.6658581936149264E-2</v>
      </c>
      <c r="AL179" s="439">
        <f t="shared" ref="AL179:BB179" si="557">+AL158+AL164</f>
        <v>0</v>
      </c>
      <c r="AM179" s="439">
        <f t="shared" si="557"/>
        <v>10161</v>
      </c>
      <c r="AN179" s="439">
        <f t="shared" si="557"/>
        <v>10660</v>
      </c>
      <c r="AO179" s="439">
        <f t="shared" si="557"/>
        <v>13212</v>
      </c>
      <c r="AP179" s="439">
        <f t="shared" si="557"/>
        <v>14999</v>
      </c>
      <c r="AQ179" s="439">
        <f t="shared" si="557"/>
        <v>17418</v>
      </c>
      <c r="AR179" s="439">
        <f t="shared" si="557"/>
        <v>18696</v>
      </c>
      <c r="AS179" s="439">
        <f>+AS158+AS164</f>
        <v>19355.268597367067</v>
      </c>
      <c r="AT179" s="439">
        <f t="shared" si="557"/>
        <v>20709.926959873461</v>
      </c>
      <c r="AU179" s="439">
        <f t="shared" si="557"/>
        <v>22398.552729722225</v>
      </c>
      <c r="AV179" s="439">
        <f t="shared" si="557"/>
        <v>23851.327521304116</v>
      </c>
      <c r="AW179" s="439">
        <f t="shared" si="557"/>
        <v>25431.341774217071</v>
      </c>
      <c r="AX179" s="439">
        <f t="shared" si="557"/>
        <v>27122.627048038019</v>
      </c>
      <c r="AY179" s="439">
        <f t="shared" si="557"/>
        <v>28720.212581421707</v>
      </c>
      <c r="AZ179" s="439">
        <f t="shared" si="557"/>
        <v>30235.134185241281</v>
      </c>
      <c r="BA179" s="439">
        <f t="shared" si="557"/>
        <v>31847.486232721581</v>
      </c>
      <c r="BB179" s="439">
        <f t="shared" si="557"/>
        <v>33562.868672880693</v>
      </c>
    </row>
    <row r="180" spans="1:54" x14ac:dyDescent="0.25">
      <c r="A180" s="2" t="s">
        <v>2</v>
      </c>
      <c r="B180" s="303" t="e">
        <f>+B179/#REF!-1</f>
        <v>#REF!</v>
      </c>
      <c r="C180" s="303" t="e">
        <f>+C179/#REF!-1</f>
        <v>#REF!</v>
      </c>
      <c r="D180" s="303" t="e">
        <f>+D179/#REF!-1</f>
        <v>#REF!</v>
      </c>
      <c r="E180" s="303" t="e">
        <f t="shared" ref="E180:X180" si="558">+E179/A179-1</f>
        <v>#VALUE!</v>
      </c>
      <c r="F180" s="303">
        <f t="shared" si="558"/>
        <v>9.9707968293700544E-2</v>
      </c>
      <c r="G180" s="303">
        <f t="shared" si="558"/>
        <v>-5.611222444889763E-3</v>
      </c>
      <c r="H180" s="303">
        <f t="shared" si="558"/>
        <v>-7.3170731707317027E-2</v>
      </c>
      <c r="I180" s="303">
        <f t="shared" si="558"/>
        <v>-1.4925373134328401E-2</v>
      </c>
      <c r="J180" s="303">
        <f t="shared" si="558"/>
        <v>-4.1350531107739008E-2</v>
      </c>
      <c r="K180" s="303">
        <f t="shared" si="558"/>
        <v>6.5699314792422303E-2</v>
      </c>
      <c r="L180" s="303">
        <f t="shared" si="558"/>
        <v>5.42510121457489E-2</v>
      </c>
      <c r="M180" s="303">
        <f t="shared" si="558"/>
        <v>0.12082362082362086</v>
      </c>
      <c r="N180" s="303">
        <f t="shared" si="558"/>
        <v>0.16343490304709141</v>
      </c>
      <c r="O180" s="303">
        <f t="shared" si="558"/>
        <v>0.19553706505294999</v>
      </c>
      <c r="P180" s="303">
        <f t="shared" si="558"/>
        <v>0.31490015360983103</v>
      </c>
      <c r="Q180" s="303">
        <f t="shared" si="558"/>
        <v>0.27798960138648177</v>
      </c>
      <c r="R180" s="303">
        <f t="shared" si="558"/>
        <v>0.14761904761904754</v>
      </c>
      <c r="S180" s="303">
        <f t="shared" si="558"/>
        <v>0.13445112306232199</v>
      </c>
      <c r="T180" s="303">
        <f t="shared" si="558"/>
        <v>0.12792056074766345</v>
      </c>
      <c r="U180" s="303">
        <f t="shared" si="558"/>
        <v>0.13289937618660153</v>
      </c>
      <c r="V180" s="303">
        <f t="shared" si="558"/>
        <v>0.2116182572614107</v>
      </c>
      <c r="W180" s="303">
        <f t="shared" si="558"/>
        <v>0.20858895705521463</v>
      </c>
      <c r="X180" s="303">
        <f t="shared" si="558"/>
        <v>0.12843086483687216</v>
      </c>
      <c r="Y180" s="303">
        <f>+Y179/U179-1</f>
        <v>0.11036629159683975</v>
      </c>
      <c r="Z180" s="303">
        <f t="shared" ref="Z180:AG180" si="559">+Z179/V179-1</f>
        <v>8.977495107632083E-2</v>
      </c>
      <c r="AA180" s="303">
        <f t="shared" si="559"/>
        <v>5.9990770650669045E-2</v>
      </c>
      <c r="AB180" s="303">
        <f t="shared" si="559"/>
        <v>3.4878384580082633E-2</v>
      </c>
      <c r="AC180" s="303">
        <f t="shared" si="559"/>
        <v>0.10758947822337217</v>
      </c>
      <c r="AD180" s="303">
        <f t="shared" si="559"/>
        <v>9.7367255841729117E-2</v>
      </c>
      <c r="AE180" s="303">
        <f t="shared" si="559"/>
        <v>2.1758411811842571E-2</v>
      </c>
      <c r="AF180" s="303">
        <f t="shared" si="559"/>
        <v>7.0252613035160394E-2</v>
      </c>
      <c r="AG180" s="303">
        <f t="shared" si="559"/>
        <v>-3.7239625474015492E-2</v>
      </c>
      <c r="AH180" s="92"/>
      <c r="AI180" s="303">
        <v>4.1850151026977089E-2</v>
      </c>
      <c r="AJ180" s="92"/>
      <c r="AL180" s="92"/>
      <c r="AM180" s="92"/>
      <c r="AN180" s="92"/>
      <c r="AO180" s="92"/>
      <c r="AP180" s="303">
        <f t="shared" ref="AP180" si="560">+AP179/AO179-1</f>
        <v>0.13525582803511949</v>
      </c>
      <c r="AQ180" s="303">
        <f t="shared" ref="AQ180" si="561">+AQ179/AP179-1</f>
        <v>0.16127741849456623</v>
      </c>
      <c r="AR180" s="303">
        <f t="shared" ref="AR180" si="562">+AR179/AQ179-1</f>
        <v>7.3372373406820568E-2</v>
      </c>
      <c r="AS180" s="303">
        <f t="shared" ref="AS180" si="563">+AS179/AR179-1</f>
        <v>3.5262547997810589E-2</v>
      </c>
      <c r="AT180" s="303">
        <f t="shared" ref="AT180" si="564">+AT179/AS179-1</f>
        <v>6.9989127543839347E-2</v>
      </c>
      <c r="AU180" s="303">
        <f t="shared" ref="AU180" si="565">+AU179/AT179-1</f>
        <v>8.1537021985667257E-2</v>
      </c>
      <c r="AV180" s="303">
        <f t="shared" ref="AV180" si="566">+AV179/AU179-1</f>
        <v>6.4860208117558438E-2</v>
      </c>
      <c r="AW180" s="303">
        <f t="shared" ref="AW180" si="567">+AW179/AV179-1</f>
        <v>6.6244289819997526E-2</v>
      </c>
      <c r="AX180" s="303">
        <f t="shared" ref="AX180" si="568">+AX179/AW179-1</f>
        <v>6.6503973279758766E-2</v>
      </c>
      <c r="AY180" s="303">
        <f t="shared" ref="AY180" si="569">+AY179/AX179-1</f>
        <v>5.8902315419304241E-2</v>
      </c>
      <c r="AZ180" s="303">
        <f t="shared" ref="AZ180" si="570">+AZ179/AY179-1</f>
        <v>5.274757627663007E-2</v>
      </c>
      <c r="BA180" s="303">
        <f t="shared" ref="BA180" si="571">+BA179/AZ179-1</f>
        <v>5.3327100769651636E-2</v>
      </c>
      <c r="BB180" s="303">
        <f t="shared" ref="BB180" si="572">+BB179/BA179-1</f>
        <v>5.3862412487571731E-2</v>
      </c>
    </row>
    <row r="181" spans="1:54" x14ac:dyDescent="0.25">
      <c r="A181" s="2"/>
      <c r="B181" s="303"/>
      <c r="C181" s="303"/>
      <c r="D181" s="303"/>
      <c r="E181" s="303"/>
      <c r="F181" s="303"/>
      <c r="G181" s="303"/>
      <c r="H181" s="303"/>
      <c r="I181" s="303"/>
      <c r="J181" s="303"/>
      <c r="K181" s="303"/>
      <c r="L181" s="303"/>
      <c r="M181" s="303"/>
      <c r="N181" s="303"/>
      <c r="O181" s="303"/>
      <c r="P181" s="303"/>
      <c r="Q181" s="303"/>
      <c r="R181" s="303"/>
      <c r="S181" s="303"/>
      <c r="T181" s="303"/>
      <c r="U181" s="303"/>
      <c r="V181" s="303"/>
      <c r="W181" s="303"/>
      <c r="X181" s="303"/>
      <c r="Y181" s="303"/>
      <c r="Z181" s="303"/>
      <c r="AA181" s="303"/>
      <c r="AB181" s="303"/>
      <c r="AC181" s="303"/>
      <c r="AD181" s="303"/>
      <c r="AE181" s="303"/>
      <c r="AF181" s="303"/>
      <c r="AG181" s="303"/>
      <c r="AH181" s="92"/>
      <c r="AI181" s="303"/>
      <c r="AJ181" s="92"/>
      <c r="AL181" s="92"/>
      <c r="AM181" s="92"/>
      <c r="AN181" s="92"/>
      <c r="AO181" s="92"/>
      <c r="AP181" s="92"/>
      <c r="AQ181" s="92"/>
      <c r="AR181" s="92"/>
      <c r="AS181" s="92"/>
      <c r="AT181" s="92"/>
      <c r="AU181" s="92"/>
      <c r="AV181" s="92"/>
      <c r="AW181" s="92"/>
      <c r="AX181" s="92"/>
      <c r="AY181" s="92"/>
      <c r="AZ181" s="92"/>
      <c r="BA181" s="92"/>
      <c r="BB181" s="92"/>
    </row>
    <row r="182" spans="1:54" x14ac:dyDescent="0.25">
      <c r="A182" s="2"/>
      <c r="AJ182" s="90"/>
      <c r="AP182" s="22" t="s">
        <v>123</v>
      </c>
      <c r="AQ182" s="22" t="s">
        <v>123</v>
      </c>
      <c r="AR182" s="22" t="s">
        <v>123</v>
      </c>
      <c r="AS182" s="22" t="s">
        <v>123</v>
      </c>
    </row>
    <row r="183" spans="1:54" s="116" customFormat="1" x14ac:dyDescent="0.25">
      <c r="A183" s="18" t="s">
        <v>124</v>
      </c>
      <c r="B183" s="115">
        <f t="shared" ref="B183:Y183" si="573">-B186-B195-B202-B207</f>
        <v>-926</v>
      </c>
      <c r="C183" s="115">
        <f t="shared" si="573"/>
        <v>-972</v>
      </c>
      <c r="D183" s="115">
        <f t="shared" si="573"/>
        <v>-989</v>
      </c>
      <c r="E183" s="115">
        <f t="shared" si="573"/>
        <v>-997</v>
      </c>
      <c r="F183" s="115">
        <f t="shared" si="573"/>
        <v>-1046</v>
      </c>
      <c r="G183" s="115">
        <f t="shared" si="573"/>
        <v>-1047</v>
      </c>
      <c r="H183" s="115">
        <f t="shared" si="573"/>
        <v>-1002</v>
      </c>
      <c r="I183" s="115">
        <f t="shared" si="573"/>
        <v>-1222</v>
      </c>
      <c r="J183" s="115">
        <f t="shared" si="573"/>
        <v>-1076</v>
      </c>
      <c r="K183" s="115">
        <f t="shared" si="573"/>
        <v>-1021</v>
      </c>
      <c r="L183" s="115">
        <f t="shared" si="573"/>
        <v>-1070</v>
      </c>
      <c r="M183" s="115">
        <f t="shared" si="573"/>
        <v>-1250</v>
      </c>
      <c r="N183" s="115">
        <f t="shared" si="573"/>
        <v>-1261</v>
      </c>
      <c r="O183" s="115">
        <f t="shared" si="573"/>
        <v>-1316</v>
      </c>
      <c r="P183" s="115">
        <f t="shared" si="573"/>
        <v>-1305.5</v>
      </c>
      <c r="Q183" s="115">
        <f t="shared" si="573"/>
        <v>-1487</v>
      </c>
      <c r="R183" s="115">
        <f t="shared" si="573"/>
        <v>-1499</v>
      </c>
      <c r="S183" s="115">
        <f t="shared" si="573"/>
        <v>-1521</v>
      </c>
      <c r="T183" s="115">
        <f t="shared" si="573"/>
        <v>-1455</v>
      </c>
      <c r="U183" s="115">
        <f t="shared" si="573"/>
        <v>-1664</v>
      </c>
      <c r="V183" s="115">
        <f t="shared" si="573"/>
        <v>-1563</v>
      </c>
      <c r="W183" s="115">
        <f t="shared" si="573"/>
        <v>-1732</v>
      </c>
      <c r="X183" s="115">
        <f t="shared" si="573"/>
        <v>-1733</v>
      </c>
      <c r="Y183" s="115">
        <f t="shared" si="573"/>
        <v>-1882</v>
      </c>
      <c r="Z183" s="115">
        <f t="shared" ref="Z183:AG183" si="574">-Z186-Z195-Z202-Z207</f>
        <v>-1825.5</v>
      </c>
      <c r="AA183" s="115">
        <f t="shared" si="574"/>
        <v>-1931</v>
      </c>
      <c r="AB183" s="115">
        <f t="shared" si="574"/>
        <v>-1947</v>
      </c>
      <c r="AC183" s="115">
        <f t="shared" si="574"/>
        <v>-2193</v>
      </c>
      <c r="AD183" s="115">
        <f t="shared" si="574"/>
        <v>-2023.9867193981656</v>
      </c>
      <c r="AE183" s="115">
        <f t="shared" si="574"/>
        <v>-2113.7212846170637</v>
      </c>
      <c r="AF183" s="115">
        <f t="shared" si="574"/>
        <v>-2167.4406562486138</v>
      </c>
      <c r="AG183" s="115">
        <f t="shared" si="574"/>
        <v>-2273.5515791514495</v>
      </c>
      <c r="AH183" s="441"/>
      <c r="AI183" s="567">
        <v>-1952.1506038847092</v>
      </c>
      <c r="AJ183" s="486">
        <f>+AB183/AI183-1</f>
        <v>-2.6384254751962155E-3</v>
      </c>
      <c r="AL183" s="115">
        <f>-AL186-AL195-AL202-AL174-AL207</f>
        <v>0</v>
      </c>
      <c r="AM183" s="115">
        <f>-AM186-AM195-AM202-AM207+AM174</f>
        <v>-4747</v>
      </c>
      <c r="AN183" s="115">
        <f t="shared" ref="AN183:AO183" si="575">-AN186-AN195-AN202-AN207+AN174</f>
        <v>-4857</v>
      </c>
      <c r="AO183" s="115">
        <f t="shared" si="575"/>
        <v>-5369.5</v>
      </c>
      <c r="AP183" s="115">
        <f t="shared" ref="AP183:BB183" si="576">-AP186-AP195-AP202-AP207</f>
        <v>-6139</v>
      </c>
      <c r="AQ183" s="115">
        <f t="shared" si="576"/>
        <v>-6910</v>
      </c>
      <c r="AR183" s="115">
        <f t="shared" si="576"/>
        <v>-7896.5</v>
      </c>
      <c r="AS183" s="115">
        <f t="shared" si="576"/>
        <v>-8578.7002394152933</v>
      </c>
      <c r="AT183" s="115">
        <f t="shared" si="576"/>
        <v>-8698.0680995633284</v>
      </c>
      <c r="AU183" s="115">
        <f t="shared" si="576"/>
        <v>-8997.8107970412002</v>
      </c>
      <c r="AV183" s="115">
        <f t="shared" si="576"/>
        <v>-9287.660503833964</v>
      </c>
      <c r="AW183" s="115">
        <f t="shared" si="576"/>
        <v>-9596.2175652608857</v>
      </c>
      <c r="AX183" s="115">
        <f t="shared" si="576"/>
        <v>-9913.4512894397885</v>
      </c>
      <c r="AY183" s="115">
        <f t="shared" si="576"/>
        <v>-10239.986457529965</v>
      </c>
      <c r="AZ183" s="115">
        <f t="shared" si="576"/>
        <v>-10573.922417060268</v>
      </c>
      <c r="BA183" s="115">
        <f t="shared" si="576"/>
        <v>-10920.989774803456</v>
      </c>
      <c r="BB183" s="115">
        <f t="shared" si="576"/>
        <v>-11281.059741852043</v>
      </c>
    </row>
    <row r="184" spans="1:54" s="329" customFormat="1" ht="12.75" x14ac:dyDescent="0.2">
      <c r="A184" s="331" t="s">
        <v>2</v>
      </c>
      <c r="B184" s="328" t="e">
        <f>+B183/#REF!-1</f>
        <v>#REF!</v>
      </c>
      <c r="C184" s="328" t="e">
        <f>+C183/#REF!-1</f>
        <v>#REF!</v>
      </c>
      <c r="D184" s="328" t="e">
        <f>+D183/#REF!-1</f>
        <v>#REF!</v>
      </c>
      <c r="E184" s="328" t="e">
        <f t="shared" ref="E184:AF184" si="577">+E183/A183-1</f>
        <v>#VALUE!</v>
      </c>
      <c r="F184" s="328">
        <f t="shared" si="577"/>
        <v>0.12958963282937375</v>
      </c>
      <c r="G184" s="328">
        <f t="shared" si="577"/>
        <v>7.7160493827160392E-2</v>
      </c>
      <c r="H184" s="328">
        <f t="shared" si="577"/>
        <v>1.3144590495449915E-2</v>
      </c>
      <c r="I184" s="328">
        <f t="shared" si="577"/>
        <v>0.22567703109327986</v>
      </c>
      <c r="J184" s="328">
        <f t="shared" si="577"/>
        <v>2.8680688336520044E-2</v>
      </c>
      <c r="K184" s="328">
        <f t="shared" si="577"/>
        <v>-2.4832855778414542E-2</v>
      </c>
      <c r="L184" s="328">
        <f t="shared" si="577"/>
        <v>6.7864271457085845E-2</v>
      </c>
      <c r="M184" s="328">
        <f t="shared" si="577"/>
        <v>2.2913256955810146E-2</v>
      </c>
      <c r="N184" s="328">
        <f t="shared" si="577"/>
        <v>0.17193308550185882</v>
      </c>
      <c r="O184" s="328">
        <f t="shared" si="577"/>
        <v>0.28893241919686585</v>
      </c>
      <c r="P184" s="328">
        <f t="shared" si="577"/>
        <v>0.22009345794392532</v>
      </c>
      <c r="Q184" s="328">
        <f t="shared" si="577"/>
        <v>0.18959999999999999</v>
      </c>
      <c r="R184" s="328">
        <f t="shared" si="577"/>
        <v>0.1887390959555908</v>
      </c>
      <c r="S184" s="328">
        <f t="shared" si="577"/>
        <v>0.15577507598784202</v>
      </c>
      <c r="T184" s="328">
        <f t="shared" si="577"/>
        <v>0.11451551129835313</v>
      </c>
      <c r="U184" s="328">
        <f t="shared" si="577"/>
        <v>0.11903160726294559</v>
      </c>
      <c r="V184" s="328">
        <f t="shared" si="577"/>
        <v>4.2695130086724431E-2</v>
      </c>
      <c r="W184" s="328">
        <f t="shared" si="577"/>
        <v>0.13872452333990792</v>
      </c>
      <c r="X184" s="328">
        <f t="shared" si="577"/>
        <v>0.19106529209621992</v>
      </c>
      <c r="Y184" s="328">
        <f t="shared" si="577"/>
        <v>0.13100961538461542</v>
      </c>
      <c r="Z184" s="328">
        <f t="shared" si="577"/>
        <v>0.16794625719769685</v>
      </c>
      <c r="AA184" s="328">
        <f t="shared" si="577"/>
        <v>0.11489607390300227</v>
      </c>
      <c r="AB184" s="328">
        <f t="shared" si="577"/>
        <v>0.12348528563185224</v>
      </c>
      <c r="AC184" s="328">
        <f t="shared" si="577"/>
        <v>0.16524973432518597</v>
      </c>
      <c r="AD184" s="328">
        <f t="shared" si="577"/>
        <v>0.10873005718880613</v>
      </c>
      <c r="AE184" s="328">
        <f t="shared" si="577"/>
        <v>9.4625212126910219E-2</v>
      </c>
      <c r="AF184" s="328">
        <f t="shared" si="577"/>
        <v>0.11322067603934971</v>
      </c>
      <c r="AG184" s="328">
        <f>+AG183/AC183-1</f>
        <v>3.6731226243251092E-2</v>
      </c>
      <c r="AH184" s="442"/>
      <c r="AI184" s="568">
        <v>3.7274497281992058E-2</v>
      </c>
      <c r="AJ184" s="442"/>
      <c r="AL184" s="330"/>
      <c r="AM184" s="328" t="e">
        <f>+AM183/AL183-1</f>
        <v>#DIV/0!</v>
      </c>
      <c r="AN184" s="328">
        <f t="shared" ref="AN184:BB184" si="578">+AN183/AM183-1</f>
        <v>2.3172530018959359E-2</v>
      </c>
      <c r="AO184" s="328">
        <f t="shared" si="578"/>
        <v>0.10551780934733368</v>
      </c>
      <c r="AP184" s="328">
        <f t="shared" si="578"/>
        <v>0.14330943290809195</v>
      </c>
      <c r="AQ184" s="328">
        <f t="shared" si="578"/>
        <v>0.12559048705000819</v>
      </c>
      <c r="AR184" s="328">
        <f t="shared" si="578"/>
        <v>0.14276410998552813</v>
      </c>
      <c r="AS184" s="328">
        <f t="shared" si="578"/>
        <v>8.6392735948241928E-2</v>
      </c>
      <c r="AT184" s="328">
        <f t="shared" si="578"/>
        <v>1.3914445873699277E-2</v>
      </c>
      <c r="AU184" s="328">
        <f t="shared" si="578"/>
        <v>3.4460835905954834E-2</v>
      </c>
      <c r="AV184" s="328">
        <f t="shared" si="578"/>
        <v>3.2213358708106821E-2</v>
      </c>
      <c r="AW184" s="328">
        <f t="shared" si="578"/>
        <v>3.3222258856204778E-2</v>
      </c>
      <c r="AX184" s="328">
        <f t="shared" si="578"/>
        <v>3.3058204654229151E-2</v>
      </c>
      <c r="AY184" s="328">
        <f t="shared" si="578"/>
        <v>3.2938596111125928E-2</v>
      </c>
      <c r="AZ184" s="328">
        <f t="shared" si="578"/>
        <v>3.2610976676120895E-2</v>
      </c>
      <c r="BA184" s="328">
        <f t="shared" si="578"/>
        <v>3.2822952926458093E-2</v>
      </c>
      <c r="BB184" s="328">
        <f t="shared" si="578"/>
        <v>3.2970451806422219E-2</v>
      </c>
    </row>
    <row r="185" spans="1:54" s="329" customFormat="1" ht="12.75" x14ac:dyDescent="0.2">
      <c r="A185" s="477" t="s">
        <v>125</v>
      </c>
      <c r="B185" s="478"/>
      <c r="C185" s="478"/>
      <c r="D185" s="478">
        <f t="shared" ref="D185:V185" si="579">+SUM(A183:D183)/SUM(A179:D179)</f>
        <v>-0.3820299060473733</v>
      </c>
      <c r="E185" s="478">
        <f t="shared" si="579"/>
        <v>-0.38190757128810227</v>
      </c>
      <c r="F185" s="478">
        <f t="shared" si="579"/>
        <v>-0.38466711499663753</v>
      </c>
      <c r="G185" s="478">
        <f t="shared" si="579"/>
        <v>-0.39240019240019242</v>
      </c>
      <c r="H185" s="478">
        <f t="shared" si="579"/>
        <v>-0.4011764705882353</v>
      </c>
      <c r="I185" s="478">
        <f t="shared" si="579"/>
        <v>-0.42485975789784469</v>
      </c>
      <c r="J185" s="478">
        <f t="shared" si="579"/>
        <v>-0.43245125348189417</v>
      </c>
      <c r="K185" s="478">
        <f t="shared" si="579"/>
        <v>-0.42300538423886441</v>
      </c>
      <c r="L185" s="478">
        <f t="shared" si="579"/>
        <v>-0.42409894675814086</v>
      </c>
      <c r="M185" s="478">
        <f t="shared" si="579"/>
        <v>-0.41435272045028143</v>
      </c>
      <c r="N185" s="478">
        <f t="shared" si="579"/>
        <v>-0.41560552695746411</v>
      </c>
      <c r="O185" s="478">
        <f t="shared" si="579"/>
        <v>-0.42251941328731663</v>
      </c>
      <c r="P185" s="478">
        <f t="shared" si="579"/>
        <v>-0.4135777598710717</v>
      </c>
      <c r="Q185" s="478">
        <f t="shared" si="579"/>
        <v>-0.40641083863154709</v>
      </c>
      <c r="R185" s="478">
        <f t="shared" si="579"/>
        <v>-0.41092627876300747</v>
      </c>
      <c r="S185" s="478">
        <f t="shared" si="579"/>
        <v>-0.41308364721768176</v>
      </c>
      <c r="T185" s="478">
        <f t="shared" si="579"/>
        <v>-0.41091736163760423</v>
      </c>
      <c r="U185" s="478">
        <f t="shared" si="579"/>
        <v>-0.40929395293019533</v>
      </c>
      <c r="V185" s="478">
        <f t="shared" si="579"/>
        <v>-0.39476866289060014</v>
      </c>
      <c r="W185" s="478">
        <f>+SUM(T183:W183)/SUM(T179:W179)</f>
        <v>-0.38964825952250776</v>
      </c>
      <c r="X185" s="478">
        <f t="shared" ref="X185:AG185" si="580">+SUM(U183:X183)/SUM(U179:X179)</f>
        <v>-0.39464527923571385</v>
      </c>
      <c r="Y185" s="478">
        <f t="shared" si="580"/>
        <v>-0.39671604087725343</v>
      </c>
      <c r="Z185" s="478">
        <f t="shared" si="580"/>
        <v>-0.40328928872645486</v>
      </c>
      <c r="AA185" s="478">
        <f t="shared" si="580"/>
        <v>-0.40850651149903022</v>
      </c>
      <c r="AB185" s="478">
        <f t="shared" si="580"/>
        <v>-0.41685442655382754</v>
      </c>
      <c r="AC185" s="478">
        <f t="shared" si="580"/>
        <v>-0.4223630723149337</v>
      </c>
      <c r="AD185" s="478">
        <f t="shared" si="580"/>
        <v>-0.42316171304916322</v>
      </c>
      <c r="AE185" s="478">
        <f t="shared" si="580"/>
        <v>-0.43046409485937093</v>
      </c>
      <c r="AF185" s="478">
        <f t="shared" si="580"/>
        <v>-0.43476422150699545</v>
      </c>
      <c r="AG185" s="478">
        <f t="shared" si="580"/>
        <v>-0.44322300133733467</v>
      </c>
      <c r="AH185" s="479"/>
      <c r="AI185" s="478">
        <v>-0.41626929261559309</v>
      </c>
      <c r="AJ185" s="479"/>
      <c r="AL185" s="330"/>
      <c r="AM185" s="478">
        <f t="shared" ref="AM185:AP185" si="581">+AM183/AM179</f>
        <v>-0.46717842732014564</v>
      </c>
      <c r="AN185" s="478">
        <f t="shared" si="581"/>
        <v>-0.45562851782363978</v>
      </c>
      <c r="AO185" s="478">
        <f t="shared" si="581"/>
        <v>-0.40641083863154709</v>
      </c>
      <c r="AP185" s="478">
        <f t="shared" si="581"/>
        <v>-0.40929395293019533</v>
      </c>
      <c r="AQ185" s="478">
        <f>+AQ183/AQ179</f>
        <v>-0.39671604087725343</v>
      </c>
      <c r="AR185" s="478">
        <f t="shared" ref="AR185:BB185" si="582">+AR183/AR179</f>
        <v>-0.4223630723149337</v>
      </c>
      <c r="AS185" s="478">
        <f t="shared" si="582"/>
        <v>-0.44322300133733455</v>
      </c>
      <c r="AT185" s="478">
        <f t="shared" si="582"/>
        <v>-0.41999511231576425</v>
      </c>
      <c r="AU185" s="478">
        <f t="shared" si="582"/>
        <v>-0.40171393686081192</v>
      </c>
      <c r="AV185" s="478">
        <f t="shared" si="582"/>
        <v>-0.3893980532336484</v>
      </c>
      <c r="AW185" s="478">
        <f t="shared" si="582"/>
        <v>-0.37733823289614121</v>
      </c>
      <c r="AX185" s="478">
        <f t="shared" si="582"/>
        <v>-0.36550483372726617</v>
      </c>
      <c r="AY185" s="478">
        <f t="shared" si="582"/>
        <v>-0.35654285038801986</v>
      </c>
      <c r="AZ185" s="478">
        <f t="shared" si="582"/>
        <v>-0.34972301932834593</v>
      </c>
      <c r="BA185" s="478">
        <f t="shared" si="582"/>
        <v>-0.34291528364278639</v>
      </c>
      <c r="BB185" s="478">
        <f t="shared" si="582"/>
        <v>-0.3361172685148725</v>
      </c>
    </row>
    <row r="186" spans="1:54" s="41" customFormat="1" x14ac:dyDescent="0.25">
      <c r="A186" s="299" t="s">
        <v>126</v>
      </c>
      <c r="B186" s="72">
        <v>549</v>
      </c>
      <c r="C186" s="72">
        <v>561</v>
      </c>
      <c r="D186" s="72">
        <v>537</v>
      </c>
      <c r="E186" s="72">
        <v>478</v>
      </c>
      <c r="F186" s="72">
        <v>572</v>
      </c>
      <c r="G186" s="72">
        <v>636</v>
      </c>
      <c r="H186" s="72">
        <v>548</v>
      </c>
      <c r="I186" s="72">
        <v>713</v>
      </c>
      <c r="J186" s="72">
        <v>633</v>
      </c>
      <c r="K186" s="72">
        <v>570</v>
      </c>
      <c r="L186" s="72">
        <v>619</v>
      </c>
      <c r="M186" s="72">
        <v>677</v>
      </c>
      <c r="N186" s="72">
        <v>751</v>
      </c>
      <c r="O186" s="72">
        <v>777</v>
      </c>
      <c r="P186" s="72">
        <v>763</v>
      </c>
      <c r="Q186" s="72">
        <v>847</v>
      </c>
      <c r="R186" s="72">
        <v>901</v>
      </c>
      <c r="S186" s="72">
        <v>886</v>
      </c>
      <c r="T186" s="72">
        <v>866</v>
      </c>
      <c r="U186" s="72">
        <v>1012</v>
      </c>
      <c r="V186" s="72">
        <v>942</v>
      </c>
      <c r="W186" s="72">
        <v>1066</v>
      </c>
      <c r="X186" s="72">
        <v>1028</v>
      </c>
      <c r="Y186" s="72">
        <v>957</v>
      </c>
      <c r="Z186" s="72">
        <v>1038.5</v>
      </c>
      <c r="AA186" s="72">
        <v>1058.5</v>
      </c>
      <c r="AB186" s="72">
        <v>1045</v>
      </c>
      <c r="AC186" s="72">
        <v>1180</v>
      </c>
      <c r="AD186" s="95">
        <f t="shared" ref="AD186:AG186" si="583">+AD189*AD191/1000000</f>
        <v>1134.8228571428574</v>
      </c>
      <c r="AE186" s="95">
        <f t="shared" si="583"/>
        <v>1157.5193142857145</v>
      </c>
      <c r="AF186" s="95">
        <f t="shared" si="583"/>
        <v>1180.6697005714288</v>
      </c>
      <c r="AG186" s="95">
        <f t="shared" si="583"/>
        <v>1204.2830945828573</v>
      </c>
      <c r="AH186" s="440"/>
      <c r="AI186" s="95">
        <v>960.20571428571429</v>
      </c>
      <c r="AJ186" s="440"/>
      <c r="AL186" s="72">
        <f>+SUMIFS($B186:AF186,$B$4:AF$4,"&lt;="&amp;AL$3,$B$4:AF$4,"&gt;"&amp;AK$3)</f>
        <v>0</v>
      </c>
      <c r="AM186" s="72">
        <f>+SUMIFS($B186:AG186,$B$4:AG$4,"&lt;="&amp;AM$3,$B$4:AG$4,"&gt;"&amp;AL$3)</f>
        <v>2469</v>
      </c>
      <c r="AN186" s="72">
        <f>+SUMIFS($B186:AG186,$B$4:AG$4,"&lt;="&amp;AN$3,$B$4:AG$4,"&gt;"&amp;AM$3)</f>
        <v>2499</v>
      </c>
      <c r="AO186" s="72">
        <f>+SUMIFS($B186:AG186,$B$4:AG$4,"&lt;="&amp;AO$3,$B$4:AG$4,"&gt;"&amp;AN$3)</f>
        <v>3138</v>
      </c>
      <c r="AP186" s="72">
        <f>+SUMIFS($B186:AG186,$B$4:AG$4,"&lt;="&amp;AP$3,$B$4:AG$4,"&gt;"&amp;AO$3)</f>
        <v>3665</v>
      </c>
      <c r="AQ186" s="72">
        <f>+SUMIFS($B186:AG186,$B$4:AG$4,"&lt;="&amp;AQ$3,$B$4:AG$4,"&gt;"&amp;AP$3)</f>
        <v>3993</v>
      </c>
      <c r="AR186" s="72">
        <f>+SUMIFS($B186:AG186,$B$4:AG$4,"&lt;="&amp;AR$3,$B$4:AG$4,"&gt;"&amp;AQ$3)</f>
        <v>4322</v>
      </c>
      <c r="AS186" s="72">
        <f>+SUMIFS($B186:$AG186,$B$4:$AG$4,"&lt;="&amp;AS$3,$B$4:$AG$4,"&gt;"&amp;AR$3)</f>
        <v>4677.2949665828583</v>
      </c>
      <c r="AT186" s="95">
        <f t="shared" ref="AT186:BB186" si="584">+AT189*AT191/1000000</f>
        <v>4698.6179289305164</v>
      </c>
      <c r="AU186" s="95">
        <f t="shared" si="584"/>
        <v>4863.0695564430844</v>
      </c>
      <c r="AV186" s="95">
        <f t="shared" si="584"/>
        <v>5033.2769909185927</v>
      </c>
      <c r="AW186" s="95">
        <f t="shared" si="584"/>
        <v>5209.4416856007447</v>
      </c>
      <c r="AX186" s="95">
        <f t="shared" si="584"/>
        <v>5391.7721445967709</v>
      </c>
      <c r="AY186" s="95">
        <f t="shared" si="584"/>
        <v>5580.4841696576595</v>
      </c>
      <c r="AZ186" s="95">
        <f t="shared" si="584"/>
        <v>5775.8011155956783</v>
      </c>
      <c r="BA186" s="95">
        <f t="shared" si="584"/>
        <v>5977.9541546415285</v>
      </c>
      <c r="BB186" s="95">
        <f t="shared" si="584"/>
        <v>6187.1825500539817</v>
      </c>
    </row>
    <row r="187" spans="1:54" s="91" customFormat="1" x14ac:dyDescent="0.25">
      <c r="A187" s="333" t="s">
        <v>127</v>
      </c>
      <c r="B187" s="31" t="e">
        <f t="shared" ref="B187" si="585">+B186/A186-1</f>
        <v>#VALUE!</v>
      </c>
      <c r="C187" s="31">
        <f t="shared" ref="C187" si="586">+C186/B186-1</f>
        <v>2.1857923497267784E-2</v>
      </c>
      <c r="D187" s="31">
        <f t="shared" ref="D187" si="587">+D186/C186-1</f>
        <v>-4.2780748663101553E-2</v>
      </c>
      <c r="E187" s="31">
        <f t="shared" ref="E187" si="588">+E186/D186-1</f>
        <v>-0.1098696461824954</v>
      </c>
      <c r="F187" s="31">
        <f t="shared" ref="F187" si="589">+F186/E186-1</f>
        <v>0.19665271966527187</v>
      </c>
      <c r="G187" s="31">
        <f t="shared" ref="G187" si="590">+G186/F186-1</f>
        <v>0.11188811188811187</v>
      </c>
      <c r="H187" s="31">
        <f t="shared" ref="H187" si="591">+H186/G186-1</f>
        <v>-0.13836477987421381</v>
      </c>
      <c r="I187" s="31">
        <f t="shared" ref="I187" si="592">+I186/H186-1</f>
        <v>0.30109489051094895</v>
      </c>
      <c r="J187" s="31">
        <f t="shared" ref="J187" si="593">+J186/I186-1</f>
        <v>-0.11220196353436185</v>
      </c>
      <c r="K187" s="31">
        <f t="shared" ref="K187" si="594">+K186/J186-1</f>
        <v>-9.9526066350710929E-2</v>
      </c>
      <c r="L187" s="31">
        <f t="shared" ref="L187" si="595">+L186/K186-1</f>
        <v>8.59649122807018E-2</v>
      </c>
      <c r="M187" s="31">
        <f t="shared" ref="M187" si="596">+M186/L186-1</f>
        <v>9.3699515347334339E-2</v>
      </c>
      <c r="N187" s="31">
        <f t="shared" ref="N187" si="597">+N186/M186-1</f>
        <v>0.10930576070901044</v>
      </c>
      <c r="O187" s="31">
        <f t="shared" ref="O187" si="598">+O186/N186-1</f>
        <v>3.4620505992010608E-2</v>
      </c>
      <c r="P187" s="31">
        <f t="shared" ref="P187" si="599">+P186/O186-1</f>
        <v>-1.8018018018018056E-2</v>
      </c>
      <c r="Q187" s="31">
        <f t="shared" ref="Q187" si="600">+Q186/P186-1</f>
        <v>0.11009174311926606</v>
      </c>
      <c r="R187" s="31">
        <f t="shared" ref="R187" si="601">+R186/Q186-1</f>
        <v>6.3754427390791069E-2</v>
      </c>
      <c r="S187" s="31">
        <f t="shared" ref="S187" si="602">+S186/R186-1</f>
        <v>-1.6648168701442811E-2</v>
      </c>
      <c r="T187" s="31">
        <f t="shared" ref="T187" si="603">+T186/S186-1</f>
        <v>-2.2573363431151239E-2</v>
      </c>
      <c r="U187" s="31">
        <f t="shared" ref="U187" si="604">+U186/T186-1</f>
        <v>0.1685912240184757</v>
      </c>
      <c r="V187" s="31">
        <f t="shared" ref="V187" si="605">+V186/U186-1</f>
        <v>-6.9169960474308345E-2</v>
      </c>
      <c r="W187" s="31">
        <f t="shared" ref="W187" si="606">+W186/V186-1</f>
        <v>0.13163481953290868</v>
      </c>
      <c r="X187" s="31">
        <f t="shared" ref="X187" si="607">+X186/W186-1</f>
        <v>-3.564727954971858E-2</v>
      </c>
      <c r="Y187" s="31">
        <f t="shared" ref="Y187" si="608">+Y186/X186-1</f>
        <v>-6.9066147859922156E-2</v>
      </c>
      <c r="Z187" s="31">
        <f>+Z186/Y186-1</f>
        <v>8.5161964472309393E-2</v>
      </c>
      <c r="AA187" s="31">
        <f>+AA186/Z186-1</f>
        <v>1.9258545979778496E-2</v>
      </c>
      <c r="AB187" s="31">
        <f>+AB186/AA186-1</f>
        <v>-1.2753897024090688E-2</v>
      </c>
      <c r="AC187" s="31">
        <f>+AC186/AB186-1</f>
        <v>0.12918660287081329</v>
      </c>
      <c r="AD187" s="31">
        <f t="shared" ref="AD187:AG187" si="609">+AD186/AC186-1</f>
        <v>-3.8285714285714034E-2</v>
      </c>
      <c r="AE187" s="31">
        <f t="shared" si="609"/>
        <v>2.0000000000000018E-2</v>
      </c>
      <c r="AF187" s="31">
        <f t="shared" si="609"/>
        <v>2.0000000000000018E-2</v>
      </c>
      <c r="AG187" s="31">
        <f t="shared" si="609"/>
        <v>1.9999999999999796E-2</v>
      </c>
      <c r="AH187" s="334"/>
      <c r="AI187" s="31">
        <v>-8.1142857142857183E-2</v>
      </c>
      <c r="AJ187" s="334"/>
      <c r="AL187" s="31"/>
      <c r="AM187" s="31" t="e">
        <f t="shared" ref="AM187" si="610">(AM186/AL186)-1</f>
        <v>#DIV/0!</v>
      </c>
      <c r="AN187" s="31">
        <f t="shared" ref="AN187" si="611">(AN186/AM186)-1</f>
        <v>1.2150668286755817E-2</v>
      </c>
      <c r="AO187" s="31">
        <f t="shared" ref="AO187" si="612">(AO186/AN186)-1</f>
        <v>0.25570228091236502</v>
      </c>
      <c r="AP187" s="31">
        <f t="shared" ref="AP187" si="613">(AP186/AO186)-1</f>
        <v>0.16794136392606762</v>
      </c>
      <c r="AQ187" s="31">
        <f t="shared" ref="AQ187" si="614">(AQ186/AP186)-1</f>
        <v>8.9495225102319331E-2</v>
      </c>
      <c r="AR187" s="31">
        <f t="shared" ref="AR187" si="615">(AR186/AQ186)-1</f>
        <v>8.2394189832206255E-2</v>
      </c>
      <c r="AS187" s="31">
        <f>(AS186/AR186)-1</f>
        <v>8.2206146826204973E-2</v>
      </c>
      <c r="AT187" s="31">
        <f t="shared" ref="AT187:BB187" si="616">(AT186/AS186)-1</f>
        <v>4.5588235294120594E-3</v>
      </c>
      <c r="AU187" s="31">
        <f t="shared" si="616"/>
        <v>3.499999999999992E-2</v>
      </c>
      <c r="AV187" s="31">
        <f t="shared" si="616"/>
        <v>3.5000000000000142E-2</v>
      </c>
      <c r="AW187" s="31">
        <f t="shared" si="616"/>
        <v>3.5000000000000142E-2</v>
      </c>
      <c r="AX187" s="31">
        <f t="shared" si="616"/>
        <v>3.499999999999992E-2</v>
      </c>
      <c r="AY187" s="31">
        <f t="shared" si="616"/>
        <v>3.5000000000000364E-2</v>
      </c>
      <c r="AZ187" s="31">
        <f t="shared" si="616"/>
        <v>3.5000000000000142E-2</v>
      </c>
      <c r="BA187" s="31">
        <f t="shared" si="616"/>
        <v>3.5000000000000142E-2</v>
      </c>
      <c r="BB187" s="31">
        <f t="shared" si="616"/>
        <v>3.499999999999992E-2</v>
      </c>
    </row>
    <row r="188" spans="1:54" s="91" customFormat="1" x14ac:dyDescent="0.25">
      <c r="A188" s="333" t="s">
        <v>2</v>
      </c>
      <c r="B188" s="31" t="e">
        <f>+B186/#REF!-1</f>
        <v>#REF!</v>
      </c>
      <c r="C188" s="31" t="e">
        <f>+C186/#REF!-1</f>
        <v>#REF!</v>
      </c>
      <c r="D188" s="31" t="e">
        <f>+D186/#REF!-1</f>
        <v>#REF!</v>
      </c>
      <c r="E188" s="31" t="e">
        <f t="shared" ref="E188" si="617">+E186/A186-1</f>
        <v>#VALUE!</v>
      </c>
      <c r="F188" s="31">
        <f t="shared" ref="F188" si="618">+F186/B186-1</f>
        <v>4.1894353369763104E-2</v>
      </c>
      <c r="G188" s="31">
        <f t="shared" ref="G188" si="619">+G186/C186-1</f>
        <v>0.1336898395721926</v>
      </c>
      <c r="H188" s="31">
        <f t="shared" ref="H188" si="620">+H186/D186-1</f>
        <v>2.0484171322160183E-2</v>
      </c>
      <c r="I188" s="31">
        <f t="shared" ref="I188" si="621">+I186/E186-1</f>
        <v>0.49163179916318001</v>
      </c>
      <c r="J188" s="31">
        <f t="shared" ref="J188" si="622">+J186/F186-1</f>
        <v>0.10664335664335667</v>
      </c>
      <c r="K188" s="31">
        <f t="shared" ref="K188" si="623">+K186/G186-1</f>
        <v>-0.10377358490566035</v>
      </c>
      <c r="L188" s="31">
        <f t="shared" ref="L188" si="624">+L186/H186-1</f>
        <v>0.12956204379562042</v>
      </c>
      <c r="M188" s="31">
        <f t="shared" ref="M188" si="625">+M186/I186-1</f>
        <v>-5.0490883590462832E-2</v>
      </c>
      <c r="N188" s="31">
        <f t="shared" ref="N188" si="626">+N186/J186-1</f>
        <v>0.18641390205371255</v>
      </c>
      <c r="O188" s="31">
        <f t="shared" ref="O188" si="627">+O186/K186-1</f>
        <v>0.36315789473684212</v>
      </c>
      <c r="P188" s="31">
        <f t="shared" ref="P188" si="628">+P186/L186-1</f>
        <v>0.23263327948303725</v>
      </c>
      <c r="Q188" s="31">
        <f t="shared" ref="Q188" si="629">+Q186/M186-1</f>
        <v>0.25110782865583459</v>
      </c>
      <c r="R188" s="31">
        <f t="shared" ref="R188" si="630">+R186/N186-1</f>
        <v>0.19973368841544614</v>
      </c>
      <c r="S188" s="31">
        <f t="shared" ref="S188" si="631">+S186/O186-1</f>
        <v>0.14028314028314037</v>
      </c>
      <c r="T188" s="31">
        <f t="shared" ref="T188" si="632">+T186/P186-1</f>
        <v>0.13499344692005244</v>
      </c>
      <c r="U188" s="31">
        <f t="shared" ref="U188" si="633">+U186/Q186-1</f>
        <v>0.19480519480519476</v>
      </c>
      <c r="V188" s="31">
        <f t="shared" ref="V188" si="634">+V186/R186-1</f>
        <v>4.5504994450610514E-2</v>
      </c>
      <c r="W188" s="31">
        <f t="shared" ref="W188" si="635">+W186/S186-1</f>
        <v>0.20316027088036126</v>
      </c>
      <c r="X188" s="31">
        <f t="shared" ref="X188" si="636">+X186/T186-1</f>
        <v>0.18706697459584287</v>
      </c>
      <c r="Y188" s="31">
        <f t="shared" ref="Y188" si="637">+Y186/U186-1</f>
        <v>-5.4347826086956541E-2</v>
      </c>
      <c r="Z188" s="31">
        <f>+Z186/V186-1</f>
        <v>0.10244161358811033</v>
      </c>
      <c r="AA188" s="31">
        <f>+AA186/W186-1</f>
        <v>-7.0356472795497504E-3</v>
      </c>
      <c r="AB188" s="31">
        <f>+AB186/X186-1</f>
        <v>1.6536964980544688E-2</v>
      </c>
      <c r="AC188" s="31">
        <f>+AC186/Y186-1</f>
        <v>0.23301985370950895</v>
      </c>
      <c r="AD188" s="31">
        <f t="shared" ref="AD188:AG188" si="638">+AD186/Z186-1</f>
        <v>9.2751908659467919E-2</v>
      </c>
      <c r="AE188" s="31">
        <f t="shared" si="638"/>
        <v>9.3546825021931568E-2</v>
      </c>
      <c r="AF188" s="31">
        <f t="shared" si="638"/>
        <v>0.1298274646616544</v>
      </c>
      <c r="AG188" s="31">
        <f t="shared" si="638"/>
        <v>2.0578893714285895E-2</v>
      </c>
      <c r="AH188" s="334"/>
      <c r="AI188" s="334">
        <v>3.3497536945812367E-3</v>
      </c>
      <c r="AJ188" s="334"/>
      <c r="AL188" s="31"/>
      <c r="AM188" s="31" t="e">
        <f t="shared" ref="AM188" si="639">(AM186/AL186)-1</f>
        <v>#DIV/0!</v>
      </c>
      <c r="AN188" s="31">
        <f t="shared" ref="AN188" si="640">(AN186/AM186)-1</f>
        <v>1.2150668286755817E-2</v>
      </c>
      <c r="AO188" s="31">
        <f t="shared" ref="AO188" si="641">(AO186/AN186)-1</f>
        <v>0.25570228091236502</v>
      </c>
      <c r="AP188" s="31">
        <f t="shared" ref="AP188" si="642">(AP186/AO186)-1</f>
        <v>0.16794136392606762</v>
      </c>
      <c r="AQ188" s="31">
        <f t="shared" ref="AQ188" si="643">(AQ186/AP186)-1</f>
        <v>8.9495225102319331E-2</v>
      </c>
      <c r="AR188" s="31">
        <f t="shared" ref="AR188" si="644">(AR186/AQ186)-1</f>
        <v>8.2394189832206255E-2</v>
      </c>
      <c r="AS188" s="31">
        <f>(AS186/AR186)-1</f>
        <v>8.2206146826204973E-2</v>
      </c>
      <c r="AT188" s="334">
        <f>+AT$1</f>
        <v>3.5000000000000142E-2</v>
      </c>
      <c r="AU188" s="334">
        <f t="shared" ref="AU188:BB188" si="645">+AU$1</f>
        <v>3.5000000000000142E-2</v>
      </c>
      <c r="AV188" s="334">
        <f t="shared" si="645"/>
        <v>3.5000000000000142E-2</v>
      </c>
      <c r="AW188" s="334">
        <f t="shared" si="645"/>
        <v>3.5000000000000142E-2</v>
      </c>
      <c r="AX188" s="334">
        <f t="shared" si="645"/>
        <v>3.5000000000000142E-2</v>
      </c>
      <c r="AY188" s="334">
        <f t="shared" si="645"/>
        <v>3.5000000000000142E-2</v>
      </c>
      <c r="AZ188" s="334">
        <f t="shared" si="645"/>
        <v>3.5000000000000142E-2</v>
      </c>
      <c r="BA188" s="334">
        <f t="shared" si="645"/>
        <v>3.5000000000000142E-2</v>
      </c>
      <c r="BB188" s="334">
        <f t="shared" si="645"/>
        <v>3.5000000000000142E-2</v>
      </c>
    </row>
    <row r="189" spans="1:54" s="41" customFormat="1" x14ac:dyDescent="0.25">
      <c r="A189" s="300" t="s">
        <v>128</v>
      </c>
      <c r="B189" s="72">
        <v>4947</v>
      </c>
      <c r="C189" s="72">
        <v>4967</v>
      </c>
      <c r="D189" s="72">
        <v>5084</v>
      </c>
      <c r="E189" s="72">
        <v>5289</v>
      </c>
      <c r="F189" s="72">
        <v>5315.4449999999997</v>
      </c>
      <c r="G189" s="72">
        <v>5158</v>
      </c>
      <c r="H189" s="72">
        <v>5322</v>
      </c>
      <c r="I189" s="72">
        <v>5300</v>
      </c>
      <c r="J189" s="72">
        <v>5291</v>
      </c>
      <c r="K189" s="72">
        <v>5173</v>
      </c>
      <c r="L189" s="72">
        <v>5296</v>
      </c>
      <c r="M189" s="72">
        <v>5132</v>
      </c>
      <c r="N189" s="72">
        <v>5514</v>
      </c>
      <c r="O189" s="72">
        <v>5496</v>
      </c>
      <c r="P189" s="72">
        <v>5660</v>
      </c>
      <c r="Q189" s="72">
        <v>5982</v>
      </c>
      <c r="R189" s="72">
        <v>6321</v>
      </c>
      <c r="S189" s="72">
        <v>6587</v>
      </c>
      <c r="T189" s="72">
        <v>6587</v>
      </c>
      <c r="U189" s="72">
        <v>6587</v>
      </c>
      <c r="V189" s="95">
        <f>+V196*V193</f>
        <v>6160</v>
      </c>
      <c r="W189" s="95">
        <f t="shared" ref="W189:AG189" si="646">+W196*W193</f>
        <v>6300</v>
      </c>
      <c r="X189" s="95">
        <f t="shared" si="646"/>
        <v>6230</v>
      </c>
      <c r="Y189" s="95">
        <f t="shared" si="646"/>
        <v>6755</v>
      </c>
      <c r="Z189" s="95">
        <f t="shared" si="646"/>
        <v>6790</v>
      </c>
      <c r="AA189" s="95">
        <f t="shared" ref="AA189:AB189" si="647">+AA196*AA193</f>
        <v>6790</v>
      </c>
      <c r="AB189" s="95">
        <f t="shared" si="647"/>
        <v>6860</v>
      </c>
      <c r="AC189" s="95">
        <f t="shared" ref="AC189" si="648">+AC196*AC193</f>
        <v>7070</v>
      </c>
      <c r="AD189" s="95">
        <f t="shared" si="646"/>
        <v>6666</v>
      </c>
      <c r="AE189" s="95">
        <f t="shared" si="646"/>
        <v>6666</v>
      </c>
      <c r="AF189" s="95">
        <f t="shared" si="646"/>
        <v>6666</v>
      </c>
      <c r="AG189" s="95">
        <f t="shared" si="646"/>
        <v>6666</v>
      </c>
      <c r="AH189" s="440"/>
      <c r="AI189" s="95">
        <v>6566</v>
      </c>
      <c r="AJ189" s="440"/>
      <c r="AL189" s="72">
        <f>+SUMIFS($B189:AF189,$B$4:AF$4,"="&amp;AL$3)</f>
        <v>5289</v>
      </c>
      <c r="AM189" s="72">
        <f>+SUMIFS($B189:AG189,$B$4:AG$4,"="&amp;AM$3)</f>
        <v>5300</v>
      </c>
      <c r="AN189" s="72">
        <f>+SUMIFS($B189:AG189,$B$4:AG$4,"="&amp;AN$3)</f>
        <v>5132</v>
      </c>
      <c r="AO189" s="72">
        <f>+SUMIFS($B189:AG189,$B$4:AG$4,"="&amp;AO$3)</f>
        <v>5982</v>
      </c>
      <c r="AP189" s="72">
        <f>+SUMIFS($B189:AG189,$B$4:AG$4,"="&amp;AP$3)</f>
        <v>6587</v>
      </c>
      <c r="AQ189" s="72">
        <f>+SUMIFS($B189:AG189,$B$4:AG$4,"="&amp;AQ$3)</f>
        <v>6755</v>
      </c>
      <c r="AR189" s="72">
        <f>+SUMIFS($B189:AG189,$B$4:AG$4,"="&amp;AR$3)</f>
        <v>7070</v>
      </c>
      <c r="AS189" s="72">
        <f>+SUMIFS($B189:$AG189,$B$4:$AG$4,"="&amp;AS$3)</f>
        <v>6666</v>
      </c>
      <c r="AT189" s="95">
        <f t="shared" ref="AT189:BB189" si="649">+AT193*AT196</f>
        <v>6666</v>
      </c>
      <c r="AU189" s="95">
        <f t="shared" si="649"/>
        <v>6666</v>
      </c>
      <c r="AV189" s="95">
        <f t="shared" si="649"/>
        <v>6666</v>
      </c>
      <c r="AW189" s="95">
        <f t="shared" si="649"/>
        <v>6666</v>
      </c>
      <c r="AX189" s="95">
        <f t="shared" si="649"/>
        <v>6666</v>
      </c>
      <c r="AY189" s="95">
        <f t="shared" si="649"/>
        <v>6666</v>
      </c>
      <c r="AZ189" s="95">
        <f t="shared" si="649"/>
        <v>6666</v>
      </c>
      <c r="BA189" s="95">
        <f t="shared" si="649"/>
        <v>6666</v>
      </c>
      <c r="BB189" s="95">
        <f t="shared" si="649"/>
        <v>6666</v>
      </c>
    </row>
    <row r="190" spans="1:54" x14ac:dyDescent="0.25">
      <c r="A190" s="25" t="s">
        <v>129</v>
      </c>
      <c r="B190" s="26" t="e">
        <f t="shared" ref="B190:P190" si="650">B189-A189</f>
        <v>#VALUE!</v>
      </c>
      <c r="C190" s="26">
        <f t="shared" si="650"/>
        <v>20</v>
      </c>
      <c r="D190" s="26">
        <f t="shared" si="650"/>
        <v>117</v>
      </c>
      <c r="E190" s="26">
        <f t="shared" si="650"/>
        <v>205</v>
      </c>
      <c r="F190" s="26">
        <f t="shared" si="650"/>
        <v>26.444999999999709</v>
      </c>
      <c r="G190" s="26">
        <f t="shared" si="650"/>
        <v>-157.44499999999971</v>
      </c>
      <c r="H190" s="26">
        <f t="shared" si="650"/>
        <v>164</v>
      </c>
      <c r="I190" s="26">
        <f t="shared" si="650"/>
        <v>-22</v>
      </c>
      <c r="J190" s="26">
        <f t="shared" si="650"/>
        <v>-9</v>
      </c>
      <c r="K190" s="26">
        <f t="shared" si="650"/>
        <v>-118</v>
      </c>
      <c r="L190" s="26">
        <f t="shared" si="650"/>
        <v>123</v>
      </c>
      <c r="M190" s="26">
        <f t="shared" si="650"/>
        <v>-164</v>
      </c>
      <c r="N190" s="26">
        <f t="shared" si="650"/>
        <v>382</v>
      </c>
      <c r="O190" s="26">
        <f t="shared" si="650"/>
        <v>-18</v>
      </c>
      <c r="P190" s="26">
        <f t="shared" si="650"/>
        <v>164</v>
      </c>
      <c r="Q190" s="26">
        <f>Q189-P189</f>
        <v>322</v>
      </c>
      <c r="R190" s="26">
        <f t="shared" ref="R190:AC190" si="651">R189-Q189</f>
        <v>339</v>
      </c>
      <c r="S190" s="26">
        <f t="shared" si="651"/>
        <v>266</v>
      </c>
      <c r="T190" s="26">
        <f t="shared" si="651"/>
        <v>0</v>
      </c>
      <c r="U190" s="26">
        <f t="shared" si="651"/>
        <v>0</v>
      </c>
      <c r="V190" s="26">
        <f t="shared" si="651"/>
        <v>-427</v>
      </c>
      <c r="W190" s="26">
        <f t="shared" si="651"/>
        <v>140</v>
      </c>
      <c r="X190" s="26">
        <f t="shared" si="651"/>
        <v>-70</v>
      </c>
      <c r="Y190" s="26">
        <f t="shared" si="651"/>
        <v>525</v>
      </c>
      <c r="Z190" s="26">
        <f t="shared" si="651"/>
        <v>35</v>
      </c>
      <c r="AA190" s="26">
        <f t="shared" si="651"/>
        <v>0</v>
      </c>
      <c r="AB190" s="26">
        <f t="shared" si="651"/>
        <v>70</v>
      </c>
      <c r="AC190" s="26">
        <f t="shared" si="651"/>
        <v>210</v>
      </c>
      <c r="AD190" s="26">
        <f t="shared" ref="AD190" si="652">AD189-AC189</f>
        <v>-404</v>
      </c>
      <c r="AE190" s="26">
        <f t="shared" ref="AE190" si="653">AE189-AD189</f>
        <v>0</v>
      </c>
      <c r="AF190" s="26">
        <f t="shared" ref="AF190" si="654">AF189-AE189</f>
        <v>0</v>
      </c>
      <c r="AG190" s="26">
        <f t="shared" ref="AG190" si="655">AG189-AF189</f>
        <v>0</v>
      </c>
      <c r="AH190" s="97"/>
      <c r="AI190" s="26">
        <v>-294</v>
      </c>
      <c r="AJ190" s="97"/>
      <c r="AL190" s="26">
        <f t="shared" ref="AL190" si="656">AL189-AK189</f>
        <v>5289</v>
      </c>
      <c r="AM190" s="26">
        <f t="shared" ref="AM190" si="657">AM189-AL189</f>
        <v>11</v>
      </c>
      <c r="AN190" s="26">
        <f t="shared" ref="AN190" si="658">AN189-AM189</f>
        <v>-168</v>
      </c>
      <c r="AO190" s="26">
        <f t="shared" ref="AO190" si="659">AO189-AN189</f>
        <v>850</v>
      </c>
      <c r="AP190" s="26">
        <f t="shared" ref="AP190" si="660">AP189-AO189</f>
        <v>605</v>
      </c>
      <c r="AQ190" s="26">
        <f t="shared" ref="AQ190" si="661">AQ189-AP189</f>
        <v>168</v>
      </c>
      <c r="AR190" s="26">
        <f t="shared" ref="AR190" si="662">AR189-AQ189</f>
        <v>315</v>
      </c>
      <c r="AS190" s="26">
        <f t="shared" ref="AS190" si="663">AS189-AR189</f>
        <v>-404</v>
      </c>
      <c r="AT190" s="97">
        <v>0</v>
      </c>
      <c r="AU190" s="97">
        <v>0</v>
      </c>
      <c r="AV190" s="97">
        <v>0</v>
      </c>
      <c r="AW190" s="97">
        <v>0</v>
      </c>
      <c r="AX190" s="97">
        <v>0</v>
      </c>
      <c r="AY190" s="97">
        <v>0</v>
      </c>
      <c r="AZ190" s="97">
        <v>0</v>
      </c>
      <c r="BA190" s="97">
        <v>0</v>
      </c>
      <c r="BB190" s="97">
        <v>0</v>
      </c>
    </row>
    <row r="191" spans="1:54" x14ac:dyDescent="0.25">
      <c r="A191" s="25" t="s">
        <v>130</v>
      </c>
      <c r="B191" s="27">
        <f t="shared" ref="B191:X191" si="664">B186*1000000/B189</f>
        <v>110976.34930260765</v>
      </c>
      <c r="C191" s="27">
        <f t="shared" si="664"/>
        <v>112945.43990336219</v>
      </c>
      <c r="D191" s="27">
        <f t="shared" si="664"/>
        <v>105625.49173878836</v>
      </c>
      <c r="E191" s="27">
        <f t="shared" si="664"/>
        <v>90376.252599735293</v>
      </c>
      <c r="F191" s="27">
        <f t="shared" si="664"/>
        <v>107610.93379764065</v>
      </c>
      <c r="G191" s="27">
        <f t="shared" si="664"/>
        <v>123303.60604885615</v>
      </c>
      <c r="H191" s="27">
        <f t="shared" si="664"/>
        <v>102968.80871852687</v>
      </c>
      <c r="I191" s="27">
        <f t="shared" si="664"/>
        <v>134528.30188679244</v>
      </c>
      <c r="J191" s="27">
        <f t="shared" si="664"/>
        <v>119637.11963711964</v>
      </c>
      <c r="K191" s="27">
        <f t="shared" si="664"/>
        <v>110187.51208196404</v>
      </c>
      <c r="L191" s="27">
        <f t="shared" si="664"/>
        <v>116880.66465256798</v>
      </c>
      <c r="M191" s="27">
        <f t="shared" si="664"/>
        <v>131917.38113795791</v>
      </c>
      <c r="N191" s="27">
        <f t="shared" si="664"/>
        <v>136198.76677548059</v>
      </c>
      <c r="O191" s="27">
        <f t="shared" si="664"/>
        <v>141375.54585152838</v>
      </c>
      <c r="P191" s="27">
        <f t="shared" si="664"/>
        <v>134805.65371024734</v>
      </c>
      <c r="Q191" s="27">
        <f t="shared" si="664"/>
        <v>141591.44098963556</v>
      </c>
      <c r="R191" s="27">
        <f t="shared" si="664"/>
        <v>142540.7372251226</v>
      </c>
      <c r="S191" s="27">
        <f t="shared" si="664"/>
        <v>134507.36298770306</v>
      </c>
      <c r="T191" s="27">
        <f t="shared" si="664"/>
        <v>131471.07939881584</v>
      </c>
      <c r="U191" s="27">
        <f t="shared" si="664"/>
        <v>153635.94959769244</v>
      </c>
      <c r="V191" s="27">
        <f t="shared" si="664"/>
        <v>152922.07792207791</v>
      </c>
      <c r="W191" s="27">
        <f t="shared" si="664"/>
        <v>169206.3492063492</v>
      </c>
      <c r="X191" s="27">
        <f t="shared" si="664"/>
        <v>165008.02568218298</v>
      </c>
      <c r="Y191" s="27">
        <f t="shared" ref="Y191:Z191" si="665">Y186*1000000/Y189</f>
        <v>141672.83493708365</v>
      </c>
      <c r="Z191" s="27">
        <f t="shared" si="665"/>
        <v>152945.50810014727</v>
      </c>
      <c r="AA191" s="27">
        <f t="shared" ref="AA191:AB191" si="666">AA186*1000000/AA189</f>
        <v>155891.01620029454</v>
      </c>
      <c r="AB191" s="27">
        <f t="shared" si="666"/>
        <v>152332.36151603499</v>
      </c>
      <c r="AC191" s="27">
        <f t="shared" ref="AC191" si="667">AC186*1000000/AC189</f>
        <v>166902.40452616691</v>
      </c>
      <c r="AD191" s="14">
        <f t="shared" ref="AD191:AG191" si="668">+AC191*(1+AD192)</f>
        <v>170240.45261669025</v>
      </c>
      <c r="AE191" s="14">
        <f t="shared" si="668"/>
        <v>173645.26166902407</v>
      </c>
      <c r="AF191" s="14">
        <f t="shared" si="668"/>
        <v>177118.16690240454</v>
      </c>
      <c r="AG191" s="14">
        <f t="shared" si="668"/>
        <v>180660.53024045264</v>
      </c>
      <c r="AH191" s="14"/>
      <c r="AI191" s="14">
        <v>146239.06705539359</v>
      </c>
      <c r="AJ191" s="14"/>
      <c r="AL191" s="27">
        <f t="shared" ref="AL191:AN191" si="669">AL186*1000000/AL189</f>
        <v>0</v>
      </c>
      <c r="AM191" s="27">
        <f t="shared" si="669"/>
        <v>465849.05660377361</v>
      </c>
      <c r="AN191" s="27">
        <f t="shared" si="669"/>
        <v>486944.66095089633</v>
      </c>
      <c r="AO191" s="27">
        <f t="shared" ref="AO191:AS191" si="670">AO186*1000000/AVERAGE(AN189:AO189)</f>
        <v>564693.17977325898</v>
      </c>
      <c r="AP191" s="27">
        <f t="shared" si="670"/>
        <v>583180.84175352054</v>
      </c>
      <c r="AQ191" s="27">
        <f t="shared" si="670"/>
        <v>598560.93539199524</v>
      </c>
      <c r="AR191" s="27">
        <f>AR186*1000000/AVERAGE(AQ189:AR189)</f>
        <v>625244.1229656419</v>
      </c>
      <c r="AS191" s="27">
        <f t="shared" ref="AS191" si="671">AS186*1000000/AVERAGE(AR189:AS189)</f>
        <v>681027.22285714303</v>
      </c>
      <c r="AT191" s="14">
        <f>+AS191*(1+AT192)</f>
        <v>704863.17565714312</v>
      </c>
      <c r="AU191" s="14">
        <f t="shared" ref="AU191:BB191" si="672">+AT191*(1+AU192)</f>
        <v>729533.38680514321</v>
      </c>
      <c r="AV191" s="14">
        <f t="shared" si="672"/>
        <v>755067.05534332327</v>
      </c>
      <c r="AW191" s="14">
        <f t="shared" si="672"/>
        <v>781494.40228033974</v>
      </c>
      <c r="AX191" s="14">
        <f t="shared" si="672"/>
        <v>808846.70636015176</v>
      </c>
      <c r="AY191" s="14">
        <f t="shared" si="672"/>
        <v>837156.34108275722</v>
      </c>
      <c r="AZ191" s="14">
        <f t="shared" si="672"/>
        <v>866456.81302065379</v>
      </c>
      <c r="BA191" s="14">
        <f t="shared" si="672"/>
        <v>896782.80147637683</v>
      </c>
      <c r="BB191" s="14">
        <f t="shared" si="672"/>
        <v>928170.19952805014</v>
      </c>
    </row>
    <row r="192" spans="1:54" s="91" customFormat="1" x14ac:dyDescent="0.25">
      <c r="A192" s="333" t="s">
        <v>127</v>
      </c>
      <c r="B192" s="31" t="e">
        <f t="shared" ref="B192" si="673">+B191/A191-1</f>
        <v>#VALUE!</v>
      </c>
      <c r="C192" s="31">
        <f t="shared" ref="C192" si="674">+C191/B191-1</f>
        <v>1.7743335522646175E-2</v>
      </c>
      <c r="D192" s="31">
        <f t="shared" ref="D192" si="675">+D191/C191-1</f>
        <v>-6.4809594533757897E-2</v>
      </c>
      <c r="E192" s="31">
        <f t="shared" ref="E192" si="676">+E191/D191-1</f>
        <v>-0.14437082268704993</v>
      </c>
      <c r="F192" s="31">
        <f t="shared" ref="F192" si="677">+F191/E191-1</f>
        <v>0.19069922354753444</v>
      </c>
      <c r="G192" s="31">
        <f t="shared" ref="G192" si="678">+G191/F191-1</f>
        <v>0.14582786058454911</v>
      </c>
      <c r="H192" s="31">
        <f t="shared" ref="H192" si="679">+H191/G191-1</f>
        <v>-0.16491648526704161</v>
      </c>
      <c r="I192" s="31">
        <f t="shared" ref="I192" si="680">+I191/H191-1</f>
        <v>0.3064956617545791</v>
      </c>
      <c r="J192" s="31">
        <f t="shared" ref="J192" si="681">+J191/I191-1</f>
        <v>-0.11069181756418767</v>
      </c>
      <c r="K192" s="31">
        <f t="shared" ref="K192" si="682">+K191/J191-1</f>
        <v>-7.898558226592145E-2</v>
      </c>
      <c r="L192" s="31">
        <f t="shared" ref="L192" si="683">+L191/K191-1</f>
        <v>6.0743295171463485E-2</v>
      </c>
      <c r="M192" s="31">
        <f t="shared" ref="M192" si="684">+M191/L191-1</f>
        <v>0.1286501623693459</v>
      </c>
      <c r="N192" s="31">
        <f t="shared" ref="N192" si="685">+N191/M191-1</f>
        <v>3.2455053311323923E-2</v>
      </c>
      <c r="O192" s="31">
        <f t="shared" ref="O192" si="686">+O191/N191-1</f>
        <v>3.8009001098971318E-2</v>
      </c>
      <c r="P192" s="31">
        <f t="shared" ref="P192" si="687">+P191/O191-1</f>
        <v>-4.6471206188520742E-2</v>
      </c>
      <c r="Q192" s="31">
        <f t="shared" ref="Q192" si="688">+Q191/P191-1</f>
        <v>5.0337557013548251E-2</v>
      </c>
      <c r="R192" s="31">
        <f t="shared" ref="R192" si="689">+R191/Q191-1</f>
        <v>6.7044747115507786E-3</v>
      </c>
      <c r="S192" s="31">
        <f t="shared" ref="S192" si="690">+S191/R191-1</f>
        <v>-5.6358444566846799E-2</v>
      </c>
      <c r="T192" s="31">
        <f t="shared" ref="T192" si="691">+T191/S191-1</f>
        <v>-2.257336343115135E-2</v>
      </c>
      <c r="U192" s="31">
        <f t="shared" ref="U192" si="692">+U191/T191-1</f>
        <v>0.16859122401847593</v>
      </c>
      <c r="V192" s="31">
        <f t="shared" ref="V192" si="693">+V191/U191-1</f>
        <v>-4.6465145526412011E-3</v>
      </c>
      <c r="W192" s="31">
        <f t="shared" ref="W192" si="694">+W191/V191-1</f>
        <v>0.10648737909884409</v>
      </c>
      <c r="X192" s="31">
        <f t="shared" ref="X192" si="695">+X191/W191-1</f>
        <v>-2.4811855724434451E-2</v>
      </c>
      <c r="Y192" s="31">
        <f t="shared" ref="Y192" si="696">+Y191/X191-1</f>
        <v>-0.14141851978790743</v>
      </c>
      <c r="Z192" s="31">
        <f>+Z191/Y191-1</f>
        <v>7.9568346098740639E-2</v>
      </c>
      <c r="AA192" s="31">
        <f>+AA191/Z191-1</f>
        <v>1.9258545979778496E-2</v>
      </c>
      <c r="AB192" s="31">
        <f>+AB191/AA191-1</f>
        <v>-2.2827836850375371E-2</v>
      </c>
      <c r="AC192" s="31">
        <f>+AC191/AB191-1</f>
        <v>9.5646406745937718E-2</v>
      </c>
      <c r="AD192" s="334">
        <v>0.02</v>
      </c>
      <c r="AE192" s="334">
        <v>0.02</v>
      </c>
      <c r="AF192" s="334">
        <v>0.02</v>
      </c>
      <c r="AG192" s="334">
        <v>0.02</v>
      </c>
      <c r="AH192" s="334"/>
      <c r="AI192" s="334">
        <v>-0.04</v>
      </c>
      <c r="AJ192" s="334"/>
      <c r="AL192" s="31"/>
      <c r="AM192" s="31" t="e">
        <f t="shared" ref="AM192" si="697">(AM191/AL191)-1</f>
        <v>#DIV/0!</v>
      </c>
      <c r="AN192" s="31">
        <f t="shared" ref="AN192" si="698">(AN191/AM191)-1</f>
        <v>4.5284205362393859E-2</v>
      </c>
      <c r="AO192" s="31">
        <f t="shared" ref="AO192" si="699">(AO191/AN191)-1</f>
        <v>0.15966602584888556</v>
      </c>
      <c r="AP192" s="31">
        <f t="shared" ref="AP192" si="700">(AP191/AO191)-1</f>
        <v>3.2739304532923397E-2</v>
      </c>
      <c r="AQ192" s="31">
        <f t="shared" ref="AQ192" si="701">(AQ191/AP191)-1</f>
        <v>2.6372769023463638E-2</v>
      </c>
      <c r="AR192" s="31">
        <f t="shared" ref="AR192" si="702">(AR191/AQ191)-1</f>
        <v>4.4578899149460671E-2</v>
      </c>
      <c r="AS192" s="31">
        <f>(AS191/AR191)-1</f>
        <v>8.9218111522443744E-2</v>
      </c>
      <c r="AT192" s="334">
        <f>+AT$1</f>
        <v>3.5000000000000142E-2</v>
      </c>
      <c r="AU192" s="334">
        <f t="shared" ref="AU192:BB192" si="703">+AU$1</f>
        <v>3.5000000000000142E-2</v>
      </c>
      <c r="AV192" s="334">
        <f t="shared" si="703"/>
        <v>3.5000000000000142E-2</v>
      </c>
      <c r="AW192" s="334">
        <f t="shared" si="703"/>
        <v>3.5000000000000142E-2</v>
      </c>
      <c r="AX192" s="334">
        <f t="shared" si="703"/>
        <v>3.5000000000000142E-2</v>
      </c>
      <c r="AY192" s="334">
        <f t="shared" si="703"/>
        <v>3.5000000000000142E-2</v>
      </c>
      <c r="AZ192" s="334">
        <f t="shared" si="703"/>
        <v>3.5000000000000142E-2</v>
      </c>
      <c r="BA192" s="334">
        <f t="shared" si="703"/>
        <v>3.5000000000000142E-2</v>
      </c>
      <c r="BB192" s="334">
        <f t="shared" si="703"/>
        <v>3.5000000000000142E-2</v>
      </c>
    </row>
    <row r="193" spans="1:54" x14ac:dyDescent="0.25">
      <c r="A193" s="25"/>
      <c r="B193" s="483">
        <f t="shared" ref="B193:N193" si="704">+B189/B196</f>
        <v>31.310126582278482</v>
      </c>
      <c r="C193" s="483">
        <f t="shared" si="704"/>
        <v>31.238993710691823</v>
      </c>
      <c r="D193" s="483">
        <f t="shared" si="704"/>
        <v>31.974842767295598</v>
      </c>
      <c r="E193" s="483">
        <f t="shared" si="704"/>
        <v>32.850931677018636</v>
      </c>
      <c r="F193" s="483">
        <f t="shared" si="704"/>
        <v>33.015186335403726</v>
      </c>
      <c r="G193" s="483">
        <f t="shared" si="704"/>
        <v>31.839506172839506</v>
      </c>
      <c r="H193" s="483">
        <f t="shared" si="704"/>
        <v>32.060240963855421</v>
      </c>
      <c r="I193" s="483">
        <f t="shared" si="704"/>
        <v>31.927710843373493</v>
      </c>
      <c r="J193" s="483">
        <f t="shared" si="704"/>
        <v>31.873493975903614</v>
      </c>
      <c r="K193" s="483">
        <f t="shared" si="704"/>
        <v>30.791666666666668</v>
      </c>
      <c r="L193" s="483">
        <f t="shared" si="704"/>
        <v>31.152941176470588</v>
      </c>
      <c r="M193" s="483">
        <f t="shared" si="704"/>
        <v>29.664739884393065</v>
      </c>
      <c r="N193" s="483">
        <f t="shared" si="704"/>
        <v>31.872832369942195</v>
      </c>
      <c r="O193" s="483">
        <f t="shared" ref="O193:R193" si="705">+O189/O196</f>
        <v>31.586206896551722</v>
      </c>
      <c r="P193" s="483">
        <f t="shared" si="705"/>
        <v>32.159090909090907</v>
      </c>
      <c r="Q193" s="483">
        <f t="shared" si="705"/>
        <v>33.606741573033709</v>
      </c>
      <c r="R193" s="483">
        <f t="shared" si="705"/>
        <v>35.511235955056179</v>
      </c>
      <c r="S193" s="483">
        <f>+S189/S196</f>
        <v>36.594444444444441</v>
      </c>
      <c r="T193" s="483">
        <f t="shared" ref="T193:U193" si="706">+T189/T196</f>
        <v>36.594444444444441</v>
      </c>
      <c r="U193" s="483">
        <f t="shared" si="706"/>
        <v>36.594444444444441</v>
      </c>
      <c r="V193" s="484">
        <v>35</v>
      </c>
      <c r="W193" s="484">
        <v>35</v>
      </c>
      <c r="X193" s="484">
        <v>35</v>
      </c>
      <c r="Y193" s="484">
        <v>35</v>
      </c>
      <c r="Z193" s="484">
        <v>35</v>
      </c>
      <c r="AA193" s="484">
        <v>35</v>
      </c>
      <c r="AB193" s="484">
        <v>35</v>
      </c>
      <c r="AC193" s="484">
        <v>35</v>
      </c>
      <c r="AD193" s="484">
        <v>33</v>
      </c>
      <c r="AE193" s="484">
        <f t="shared" ref="AE193:AG193" si="707">+AD193</f>
        <v>33</v>
      </c>
      <c r="AF193" s="484">
        <f t="shared" si="707"/>
        <v>33</v>
      </c>
      <c r="AG193" s="484">
        <f t="shared" si="707"/>
        <v>33</v>
      </c>
      <c r="AH193" s="98"/>
      <c r="AI193" s="484">
        <v>33.5</v>
      </c>
      <c r="AJ193" s="98"/>
      <c r="AL193" s="483">
        <f t="shared" ref="AL193:AR193" si="708">+AL189/AL196</f>
        <v>32.850931677018636</v>
      </c>
      <c r="AM193" s="483">
        <f t="shared" si="708"/>
        <v>31.927710843373493</v>
      </c>
      <c r="AN193" s="483">
        <f t="shared" si="708"/>
        <v>29.664739884393065</v>
      </c>
      <c r="AO193" s="483">
        <f t="shared" si="708"/>
        <v>33.606741573033709</v>
      </c>
      <c r="AP193" s="483">
        <f t="shared" si="708"/>
        <v>36.594444444444441</v>
      </c>
      <c r="AQ193" s="483">
        <f t="shared" si="708"/>
        <v>35</v>
      </c>
      <c r="AR193" s="483">
        <f t="shared" si="708"/>
        <v>35</v>
      </c>
      <c r="AS193" s="483">
        <f>+AS189/AS196</f>
        <v>33</v>
      </c>
      <c r="AT193" s="484">
        <f>+AS193</f>
        <v>33</v>
      </c>
      <c r="AU193" s="484">
        <f t="shared" ref="AU193:BB193" si="709">+AT193</f>
        <v>33</v>
      </c>
      <c r="AV193" s="484">
        <f t="shared" si="709"/>
        <v>33</v>
      </c>
      <c r="AW193" s="484">
        <f t="shared" si="709"/>
        <v>33</v>
      </c>
      <c r="AX193" s="484">
        <f t="shared" si="709"/>
        <v>33</v>
      </c>
      <c r="AY193" s="484">
        <f t="shared" si="709"/>
        <v>33</v>
      </c>
      <c r="AZ193" s="484">
        <f t="shared" si="709"/>
        <v>33</v>
      </c>
      <c r="BA193" s="484">
        <f t="shared" si="709"/>
        <v>33</v>
      </c>
      <c r="BB193" s="484">
        <f t="shared" si="709"/>
        <v>33</v>
      </c>
    </row>
    <row r="194" spans="1:54" x14ac:dyDescent="0.25">
      <c r="B194" s="28"/>
      <c r="C194" s="28"/>
      <c r="D194" s="28"/>
      <c r="E194" s="28"/>
      <c r="F194" s="28"/>
      <c r="G194" s="28"/>
      <c r="H194" s="28"/>
      <c r="I194" s="29"/>
      <c r="J194" s="28"/>
      <c r="K194" s="28"/>
      <c r="L194" s="28"/>
      <c r="M194" s="29"/>
      <c r="N194" s="29"/>
      <c r="O194" s="29"/>
      <c r="P194" s="29"/>
      <c r="Q194" s="29"/>
      <c r="R194" s="29"/>
      <c r="S194" s="29"/>
      <c r="T194" s="29"/>
      <c r="U194" s="29"/>
      <c r="V194" s="29"/>
      <c r="W194" s="29"/>
      <c r="X194" s="29"/>
      <c r="Y194" s="29"/>
      <c r="Z194" s="29"/>
      <c r="AA194" s="29"/>
      <c r="AB194" s="29"/>
      <c r="AC194" s="29"/>
      <c r="AL194" s="29"/>
      <c r="AM194" s="29"/>
      <c r="AN194" s="29"/>
      <c r="AO194" s="29"/>
      <c r="AP194" s="29"/>
      <c r="AQ194" s="29"/>
      <c r="AR194" s="29"/>
      <c r="AS194" s="29"/>
    </row>
    <row r="195" spans="1:54" s="625" customFormat="1" x14ac:dyDescent="0.25">
      <c r="A195" s="621" t="s">
        <v>131</v>
      </c>
      <c r="B195" s="621">
        <v>189</v>
      </c>
      <c r="C195" s="621">
        <v>220</v>
      </c>
      <c r="D195" s="621">
        <v>247</v>
      </c>
      <c r="E195" s="621">
        <v>302</v>
      </c>
      <c r="F195" s="621">
        <v>253</v>
      </c>
      <c r="G195" s="621">
        <v>188</v>
      </c>
      <c r="H195" s="621">
        <v>256</v>
      </c>
      <c r="I195" s="621">
        <v>334</v>
      </c>
      <c r="J195" s="621">
        <v>260</v>
      </c>
      <c r="K195" s="621">
        <v>275</v>
      </c>
      <c r="L195" s="621">
        <v>255</v>
      </c>
      <c r="M195" s="621">
        <v>362</v>
      </c>
      <c r="N195" s="621">
        <v>317</v>
      </c>
      <c r="O195" s="621">
        <v>351</v>
      </c>
      <c r="P195" s="621">
        <v>338.5</v>
      </c>
      <c r="Q195" s="621">
        <v>412</v>
      </c>
      <c r="R195" s="621">
        <v>390</v>
      </c>
      <c r="S195" s="621">
        <v>409</v>
      </c>
      <c r="T195" s="621">
        <v>362</v>
      </c>
      <c r="U195" s="621">
        <v>411</v>
      </c>
      <c r="V195" s="621">
        <v>364</v>
      </c>
      <c r="W195" s="621">
        <v>415</v>
      </c>
      <c r="X195" s="621">
        <v>453</v>
      </c>
      <c r="Y195" s="621">
        <v>584</v>
      </c>
      <c r="Z195" s="621">
        <v>461</v>
      </c>
      <c r="AA195" s="621">
        <v>511.5</v>
      </c>
      <c r="AB195" s="621">
        <v>540</v>
      </c>
      <c r="AC195" s="621">
        <v>632</v>
      </c>
      <c r="AD195" s="622">
        <f t="shared" ref="AD195" si="710">+AD196*AD198/1000000</f>
        <v>528.01134020618565</v>
      </c>
      <c r="AE195" s="622">
        <f t="shared" ref="AE195" si="711">+AE196*AE198/1000000</f>
        <v>585.85206185567017</v>
      </c>
      <c r="AF195" s="622">
        <f t="shared" ref="AF195" si="712">+AF196*AF198/1000000</f>
        <v>612.18367346938794</v>
      </c>
      <c r="AG195" s="622">
        <f t="shared" ref="AG195" si="713">+AG196*AG198/1000000</f>
        <v>695.2</v>
      </c>
      <c r="AH195" s="623"/>
      <c r="AI195" s="622">
        <v>622.73160621761656</v>
      </c>
      <c r="AJ195" s="624"/>
      <c r="AL195" s="621">
        <f>+SUMIFS($B195:AF195,$B$4:AF$4,"&lt;="&amp;AL$3,$B$4:AF$4,"&gt;"&amp;AK$3)</f>
        <v>0</v>
      </c>
      <c r="AM195" s="621">
        <f>+SUMIFS($B195:AG195,$B$4:AG$4,"&lt;="&amp;AM$3,$B$4:AG$4,"&gt;"&amp;AL$3)</f>
        <v>1031</v>
      </c>
      <c r="AN195" s="621">
        <f>+SUMIFS($B195:AG195,$B$4:AG$4,"&lt;="&amp;AN$3,$B$4:AG$4,"&gt;"&amp;AM$3)</f>
        <v>1152</v>
      </c>
      <c r="AO195" s="621">
        <f>+SUMIFS($B195:AG195,$B$4:AG$4,"&lt;="&amp;AO$3,$B$4:AG$4,"&gt;"&amp;AN$3)</f>
        <v>1418.5</v>
      </c>
      <c r="AP195" s="621">
        <f>+SUMIFS($B195:AG195,$B$4:AG$4,"&lt;="&amp;AP$3,$B$4:AG$4,"&gt;"&amp;AO$3)</f>
        <v>1572</v>
      </c>
      <c r="AQ195" s="621">
        <f>+SUMIFS($B195:AG195,$B$4:AG$4,"&lt;="&amp;AQ$3,$B$4:AG$4,"&gt;"&amp;AP$3)</f>
        <v>1816</v>
      </c>
      <c r="AR195" s="621">
        <f>+SUMIFS($B195:AG195,$B$4:AG$4,"&lt;="&amp;AR$3,$B$4:AG$4,"&gt;"&amp;AQ$3)</f>
        <v>2144.5</v>
      </c>
      <c r="AS195" s="621">
        <f>+SUMIFS($B195:$AG195,$B$4:$AG$4,"&lt;="&amp;AS$3,$B$4:$AG$4,"&gt;"&amp;AR$3)</f>
        <v>2421.2470755312438</v>
      </c>
      <c r="AT195" s="622">
        <f t="shared" ref="AT195:BB195" si="714">+AT196*AT198/1000000</f>
        <v>2505.9907231748375</v>
      </c>
      <c r="AU195" s="622">
        <f t="shared" si="714"/>
        <v>2593.7003984859571</v>
      </c>
      <c r="AV195" s="622">
        <f t="shared" si="714"/>
        <v>2684.4799124329661</v>
      </c>
      <c r="AW195" s="622">
        <f t="shared" si="714"/>
        <v>2778.4367093681208</v>
      </c>
      <c r="AX195" s="622">
        <f t="shared" si="714"/>
        <v>2875.6819941960052</v>
      </c>
      <c r="AY195" s="622">
        <f t="shared" si="714"/>
        <v>2976.3308639928655</v>
      </c>
      <c r="AZ195" s="622">
        <f t="shared" si="714"/>
        <v>3080.5024442326162</v>
      </c>
      <c r="BA195" s="622">
        <f t="shared" si="714"/>
        <v>3188.320029780758</v>
      </c>
      <c r="BB195" s="622">
        <f t="shared" si="714"/>
        <v>3299.9112308230851</v>
      </c>
    </row>
    <row r="196" spans="1:54" s="628" customFormat="1" ht="12.75" x14ac:dyDescent="0.2">
      <c r="A196" s="626" t="s">
        <v>132</v>
      </c>
      <c r="B196" s="627">
        <v>158</v>
      </c>
      <c r="C196" s="627">
        <v>159</v>
      </c>
      <c r="D196" s="627">
        <v>159</v>
      </c>
      <c r="E196" s="627">
        <v>161</v>
      </c>
      <c r="F196" s="627">
        <v>161</v>
      </c>
      <c r="G196" s="627">
        <v>162</v>
      </c>
      <c r="H196" s="627">
        <v>166</v>
      </c>
      <c r="I196" s="627">
        <v>166</v>
      </c>
      <c r="J196" s="627">
        <v>166</v>
      </c>
      <c r="K196" s="627">
        <v>168</v>
      </c>
      <c r="L196" s="627">
        <v>170</v>
      </c>
      <c r="M196" s="627">
        <v>173</v>
      </c>
      <c r="N196" s="627">
        <v>173</v>
      </c>
      <c r="O196" s="627">
        <v>174</v>
      </c>
      <c r="P196" s="627">
        <v>176</v>
      </c>
      <c r="Q196" s="627">
        <v>178</v>
      </c>
      <c r="R196" s="627">
        <v>178</v>
      </c>
      <c r="S196" s="627">
        <v>180</v>
      </c>
      <c r="T196" s="627">
        <v>180</v>
      </c>
      <c r="U196" s="627">
        <v>180</v>
      </c>
      <c r="V196" s="627">
        <v>176</v>
      </c>
      <c r="W196" s="627">
        <v>180</v>
      </c>
      <c r="X196" s="627">
        <v>178</v>
      </c>
      <c r="Y196" s="627">
        <v>193</v>
      </c>
      <c r="Z196" s="627">
        <f>170+6+18</f>
        <v>194</v>
      </c>
      <c r="AA196" s="627">
        <f>170+6+18</f>
        <v>194</v>
      </c>
      <c r="AB196" s="627">
        <f>172+6+18</f>
        <v>196</v>
      </c>
      <c r="AC196" s="627">
        <f>174+6+22</f>
        <v>202</v>
      </c>
      <c r="AD196" s="627">
        <f t="shared" ref="AD196" si="715">+AC196+AD197</f>
        <v>202</v>
      </c>
      <c r="AE196" s="627">
        <f t="shared" ref="AE196" si="716">+AD196+AE197</f>
        <v>202</v>
      </c>
      <c r="AF196" s="627">
        <f t="shared" ref="AF196" si="717">+AE196+AF197</f>
        <v>202</v>
      </c>
      <c r="AG196" s="627">
        <f t="shared" ref="AG196" si="718">+AF196+AG197</f>
        <v>202</v>
      </c>
      <c r="AH196" s="627"/>
      <c r="AI196" s="627">
        <v>196</v>
      </c>
      <c r="AJ196" s="627"/>
      <c r="AL196" s="627">
        <f>+SUMIFS($B196:AF196,$B$4:AF$4,"="&amp;AL$3)</f>
        <v>161</v>
      </c>
      <c r="AM196" s="627">
        <f>+SUMIFS($B196:AG196,$B$4:AG$4,"="&amp;AM$3)</f>
        <v>166</v>
      </c>
      <c r="AN196" s="627">
        <f>+SUMIFS($B196:AG196,$B$4:AG$4,"="&amp;AN$3)</f>
        <v>173</v>
      </c>
      <c r="AO196" s="627">
        <f>+SUMIFS($B196:AG196,$B$4:AG$4,"="&amp;AO$3)</f>
        <v>178</v>
      </c>
      <c r="AP196" s="627">
        <f>+SUMIFS($B196:AG196,$B$4:AG$4,"="&amp;AP$3)</f>
        <v>180</v>
      </c>
      <c r="AQ196" s="627">
        <f>+SUMIFS($B196:AG196,$B$4:AG$4,"="&amp;AQ$3)</f>
        <v>193</v>
      </c>
      <c r="AR196" s="627">
        <f>+SUMIFS($B196:AG196,$B$4:AG$4,"="&amp;AR$3)</f>
        <v>202</v>
      </c>
      <c r="AS196" s="627">
        <f>+SUMIFS($B196:$AG196,$B$4:$AG$4,"="&amp;AS$3)</f>
        <v>202</v>
      </c>
      <c r="AT196" s="627">
        <f t="shared" ref="AT196" si="719">+AS196+AT197</f>
        <v>202</v>
      </c>
      <c r="AU196" s="627">
        <f t="shared" ref="AU196" si="720">+AT196+AU197</f>
        <v>202</v>
      </c>
      <c r="AV196" s="627">
        <f t="shared" ref="AV196" si="721">+AU196+AV197</f>
        <v>202</v>
      </c>
      <c r="AW196" s="627">
        <f t="shared" ref="AW196" si="722">+AV196+AW197</f>
        <v>202</v>
      </c>
      <c r="AX196" s="627">
        <f t="shared" ref="AX196" si="723">+AW196+AX197</f>
        <v>202</v>
      </c>
      <c r="AY196" s="627">
        <f t="shared" ref="AY196" si="724">+AX196+AY197</f>
        <v>202</v>
      </c>
      <c r="AZ196" s="627">
        <f t="shared" ref="AZ196" si="725">+AY196+AZ197</f>
        <v>202</v>
      </c>
      <c r="BA196" s="627">
        <f t="shared" ref="BA196" si="726">+AZ196+BA197</f>
        <v>202</v>
      </c>
      <c r="BB196" s="627">
        <f t="shared" ref="BB196" si="727">+BA196+BB197</f>
        <v>202</v>
      </c>
    </row>
    <row r="197" spans="1:54" x14ac:dyDescent="0.25">
      <c r="A197" s="25" t="s">
        <v>133</v>
      </c>
      <c r="B197" s="26" t="e">
        <f>B196-A196</f>
        <v>#VALUE!</v>
      </c>
      <c r="C197" s="26">
        <f t="shared" ref="C197:W197" si="728">C196-B196</f>
        <v>1</v>
      </c>
      <c r="D197" s="26">
        <f t="shared" si="728"/>
        <v>0</v>
      </c>
      <c r="E197" s="26">
        <f t="shared" si="728"/>
        <v>2</v>
      </c>
      <c r="F197" s="26">
        <f t="shared" si="728"/>
        <v>0</v>
      </c>
      <c r="G197" s="26">
        <f t="shared" si="728"/>
        <v>1</v>
      </c>
      <c r="H197" s="26">
        <f t="shared" si="728"/>
        <v>4</v>
      </c>
      <c r="I197" s="26">
        <f t="shared" si="728"/>
        <v>0</v>
      </c>
      <c r="J197" s="26">
        <f t="shared" si="728"/>
        <v>0</v>
      </c>
      <c r="K197" s="26">
        <f t="shared" si="728"/>
        <v>2</v>
      </c>
      <c r="L197" s="26">
        <f t="shared" si="728"/>
        <v>2</v>
      </c>
      <c r="M197" s="26">
        <f t="shared" si="728"/>
        <v>3</v>
      </c>
      <c r="N197" s="26">
        <f t="shared" si="728"/>
        <v>0</v>
      </c>
      <c r="O197" s="26">
        <f t="shared" si="728"/>
        <v>1</v>
      </c>
      <c r="P197" s="26">
        <f t="shared" si="728"/>
        <v>2</v>
      </c>
      <c r="Q197" s="26">
        <f t="shared" si="728"/>
        <v>2</v>
      </c>
      <c r="R197" s="26">
        <f t="shared" si="728"/>
        <v>0</v>
      </c>
      <c r="S197" s="26">
        <f t="shared" si="728"/>
        <v>2</v>
      </c>
      <c r="T197" s="26">
        <f t="shared" si="728"/>
        <v>0</v>
      </c>
      <c r="U197" s="26">
        <f t="shared" si="728"/>
        <v>0</v>
      </c>
      <c r="V197" s="26">
        <f t="shared" si="728"/>
        <v>-4</v>
      </c>
      <c r="W197" s="26">
        <f t="shared" si="728"/>
        <v>4</v>
      </c>
      <c r="X197" s="26">
        <f>X196-W196</f>
        <v>-2</v>
      </c>
      <c r="Y197" s="26">
        <f>+Y196-X196</f>
        <v>15</v>
      </c>
      <c r="Z197" s="26">
        <f>+Z196-Y196</f>
        <v>1</v>
      </c>
      <c r="AA197" s="26">
        <f>+AA196-Z196</f>
        <v>0</v>
      </c>
      <c r="AB197" s="26">
        <f>+AB196-AA196</f>
        <v>2</v>
      </c>
      <c r="AC197" s="26">
        <f>+AC196-AB196</f>
        <v>6</v>
      </c>
      <c r="AD197" s="97">
        <v>0</v>
      </c>
      <c r="AE197" s="97">
        <v>0</v>
      </c>
      <c r="AF197" s="97">
        <v>0</v>
      </c>
      <c r="AG197" s="97">
        <v>0</v>
      </c>
      <c r="AH197" s="97"/>
      <c r="AI197" s="97">
        <v>0</v>
      </c>
      <c r="AJ197" s="97"/>
      <c r="AL197" s="26">
        <f t="shared" ref="AL197:AS197" si="729">AL196-AK196</f>
        <v>161</v>
      </c>
      <c r="AM197" s="26">
        <f t="shared" si="729"/>
        <v>5</v>
      </c>
      <c r="AN197" s="26">
        <f t="shared" si="729"/>
        <v>7</v>
      </c>
      <c r="AO197" s="26">
        <f t="shared" si="729"/>
        <v>5</v>
      </c>
      <c r="AP197" s="26">
        <f t="shared" si="729"/>
        <v>2</v>
      </c>
      <c r="AQ197" s="26">
        <f t="shared" si="729"/>
        <v>13</v>
      </c>
      <c r="AR197" s="26">
        <f t="shared" si="729"/>
        <v>9</v>
      </c>
      <c r="AS197" s="26">
        <f t="shared" si="729"/>
        <v>0</v>
      </c>
      <c r="AT197" s="97">
        <v>0</v>
      </c>
      <c r="AU197" s="97">
        <v>0</v>
      </c>
      <c r="AV197" s="97">
        <v>0</v>
      </c>
      <c r="AW197" s="97">
        <v>0</v>
      </c>
      <c r="AX197" s="97">
        <v>0</v>
      </c>
      <c r="AY197" s="97">
        <v>0</v>
      </c>
      <c r="AZ197" s="97">
        <v>0</v>
      </c>
      <c r="BA197" s="97">
        <v>0</v>
      </c>
      <c r="BB197" s="97">
        <v>0</v>
      </c>
    </row>
    <row r="198" spans="1:54" x14ac:dyDescent="0.25">
      <c r="A198" s="25" t="s">
        <v>134</v>
      </c>
      <c r="B198" s="27">
        <f t="shared" ref="B198:X198" si="730">B195*1000000/B196</f>
        <v>1196202.5316455697</v>
      </c>
      <c r="C198" s="27">
        <f t="shared" si="730"/>
        <v>1383647.7987421383</v>
      </c>
      <c r="D198" s="27">
        <f t="shared" si="730"/>
        <v>1553459.1194968554</v>
      </c>
      <c r="E198" s="27">
        <f t="shared" si="730"/>
        <v>1875776.3975155279</v>
      </c>
      <c r="F198" s="27">
        <f t="shared" si="730"/>
        <v>1571428.5714285714</v>
      </c>
      <c r="G198" s="27">
        <f t="shared" si="730"/>
        <v>1160493.8271604939</v>
      </c>
      <c r="H198" s="27">
        <f t="shared" si="730"/>
        <v>1542168.6746987952</v>
      </c>
      <c r="I198" s="27">
        <f t="shared" si="730"/>
        <v>2012048.1927710844</v>
      </c>
      <c r="J198" s="27">
        <f t="shared" si="730"/>
        <v>1566265.0602409639</v>
      </c>
      <c r="K198" s="27">
        <f t="shared" si="730"/>
        <v>1636904.7619047619</v>
      </c>
      <c r="L198" s="27">
        <f t="shared" si="730"/>
        <v>1500000</v>
      </c>
      <c r="M198" s="27">
        <f t="shared" si="730"/>
        <v>2092485.549132948</v>
      </c>
      <c r="N198" s="27">
        <f t="shared" si="730"/>
        <v>1832369.9421965317</v>
      </c>
      <c r="O198" s="27">
        <f t="shared" si="730"/>
        <v>2017241.3793103448</v>
      </c>
      <c r="P198" s="27">
        <f t="shared" si="730"/>
        <v>1923295.4545454546</v>
      </c>
      <c r="Q198" s="27">
        <f t="shared" si="730"/>
        <v>2314606.7415730339</v>
      </c>
      <c r="R198" s="27">
        <f t="shared" si="730"/>
        <v>2191011.2359550563</v>
      </c>
      <c r="S198" s="27">
        <f t="shared" si="730"/>
        <v>2272222.222222222</v>
      </c>
      <c r="T198" s="27">
        <f t="shared" si="730"/>
        <v>2011111.111111111</v>
      </c>
      <c r="U198" s="27">
        <f t="shared" si="730"/>
        <v>2283333.3333333335</v>
      </c>
      <c r="V198" s="27">
        <f t="shared" si="730"/>
        <v>2068181.8181818181</v>
      </c>
      <c r="W198" s="27">
        <f t="shared" si="730"/>
        <v>2305555.5555555555</v>
      </c>
      <c r="X198" s="27">
        <f t="shared" si="730"/>
        <v>2544943.8202247191</v>
      </c>
      <c r="Y198" s="27">
        <f t="shared" ref="Y198" si="731">Y195*1000000/Y196</f>
        <v>3025906.7357512955</v>
      </c>
      <c r="Z198" s="27">
        <f t="shared" ref="Z198:AA198" si="732">Z195*1000000/Z196</f>
        <v>2376288.6597938146</v>
      </c>
      <c r="AA198" s="27">
        <f t="shared" si="732"/>
        <v>2636597.9381443299</v>
      </c>
      <c r="AB198" s="27">
        <f t="shared" ref="AB198:AC198" si="733">AB195*1000000/AB196</f>
        <v>2755102.0408163266</v>
      </c>
      <c r="AC198" s="27">
        <f t="shared" si="733"/>
        <v>3128712.8712871289</v>
      </c>
      <c r="AD198" s="14">
        <f t="shared" ref="AD198:AG198" si="734">+Z198*(1+AD200)</f>
        <v>2613917.5257731965</v>
      </c>
      <c r="AE198" s="14">
        <f t="shared" si="734"/>
        <v>2900257.7319587632</v>
      </c>
      <c r="AF198" s="14">
        <f t="shared" si="734"/>
        <v>3030612.2448979598</v>
      </c>
      <c r="AG198" s="14">
        <f t="shared" si="734"/>
        <v>3441584.1584158419</v>
      </c>
      <c r="AH198" s="14"/>
      <c r="AI198" s="14">
        <v>3177202.0725388601</v>
      </c>
      <c r="AJ198" s="14"/>
      <c r="AL198" s="27">
        <f t="shared" ref="AL198" si="735">AL195*1000000/AL196</f>
        <v>0</v>
      </c>
      <c r="AM198" s="27">
        <f>+SUMIFS($B198:AG198,$B$4:AG$4,"&lt;="&amp;AM$3,$B$4:AG$4,"&gt;"&amp;AL$3)</f>
        <v>6286139.2660589451</v>
      </c>
      <c r="AN198" s="27">
        <f>+SUMIFS($B198:AG198,$B$4:AG$4,"&lt;="&amp;AN$3,$B$4:AG$4,"&gt;"&amp;AM$3)</f>
        <v>6795655.3712786734</v>
      </c>
      <c r="AO198" s="27">
        <f>+SUMIFS($B198:AG198,$B$4:AG$4,"&lt;="&amp;AO$3,$B$4:AG$4,"&gt;"&amp;AN$3)</f>
        <v>8087513.5176253654</v>
      </c>
      <c r="AP198" s="27">
        <f>+SUMIFS($B198:AG198,$B$4:AG$4,"&lt;="&amp;AP$3,$B$4:AG$4,"&gt;"&amp;AO$3)</f>
        <v>8757677.9026217218</v>
      </c>
      <c r="AQ198" s="27">
        <f>+SUMIFS($B198:AG198,$B$4:AG$4,"&lt;="&amp;AQ$3,$B$4:AG$4,"&gt;"&amp;AP$3)</f>
        <v>9944587.929713387</v>
      </c>
      <c r="AR198" s="27">
        <f>+SUMIFS($B198:AG198,$B$4:AG$4,"&lt;="&amp;AR$3,$B$4:AG$4,"&gt;"&amp;AQ$3)</f>
        <v>10896701.5100416</v>
      </c>
      <c r="AS198" s="27">
        <f>+SUMIFS($B198:$AG198,$B$4:$AG$4,"&lt;="&amp;AS$3,$B$4:$AG$4,"&gt;"&amp;AR$3)</f>
        <v>11986371.66104576</v>
      </c>
      <c r="AT198" s="14">
        <f>+AS198*(1+AT200)</f>
        <v>12405894.669182364</v>
      </c>
      <c r="AU198" s="14">
        <f t="shared" ref="AU198:BB198" si="736">+AT198*(1+AU200)</f>
        <v>12840100.982603749</v>
      </c>
      <c r="AV198" s="14">
        <f t="shared" si="736"/>
        <v>13289504.516994882</v>
      </c>
      <c r="AW198" s="14">
        <f t="shared" si="736"/>
        <v>13754637.175089706</v>
      </c>
      <c r="AX198" s="14">
        <f t="shared" si="736"/>
        <v>14236049.476217847</v>
      </c>
      <c r="AY198" s="14">
        <f t="shared" si="736"/>
        <v>14734311.207885474</v>
      </c>
      <c r="AZ198" s="14">
        <f t="shared" si="736"/>
        <v>15250012.100161467</v>
      </c>
      <c r="BA198" s="14">
        <f t="shared" si="736"/>
        <v>15783762.523667119</v>
      </c>
      <c r="BB198" s="14">
        <f t="shared" si="736"/>
        <v>16336194.211995471</v>
      </c>
    </row>
    <row r="199" spans="1:54" s="91" customFormat="1" x14ac:dyDescent="0.25">
      <c r="A199" s="333" t="s">
        <v>127</v>
      </c>
      <c r="B199" s="31" t="e">
        <f t="shared" ref="B199" si="737">+B198/A198-1</f>
        <v>#VALUE!</v>
      </c>
      <c r="C199" s="31">
        <f t="shared" ref="C199" si="738">+C198/B198-1</f>
        <v>0.15670027619713145</v>
      </c>
      <c r="D199" s="31">
        <f t="shared" ref="D199" si="739">+D198/C198-1</f>
        <v>0.1227272727272728</v>
      </c>
      <c r="E199" s="31">
        <f t="shared" ref="E199" si="740">+E198/D198-1</f>
        <v>0.20748359192295118</v>
      </c>
      <c r="F199" s="31">
        <f t="shared" ref="F199" si="741">+F198/E198-1</f>
        <v>-0.16225165562913912</v>
      </c>
      <c r="G199" s="31">
        <f t="shared" ref="G199" si="742">+G198/F198-1</f>
        <v>-0.26150392817059476</v>
      </c>
      <c r="H199" s="31">
        <f t="shared" ref="H199" si="743">+H198/G198-1</f>
        <v>0.32889002819789792</v>
      </c>
      <c r="I199" s="31">
        <f t="shared" ref="I199" si="744">+I198/H198-1</f>
        <v>0.3046875</v>
      </c>
      <c r="J199" s="31">
        <f t="shared" ref="J199" si="745">+J198/I198-1</f>
        <v>-0.22155688622754488</v>
      </c>
      <c r="K199" s="31">
        <f t="shared" ref="K199" si="746">+K198/J198-1</f>
        <v>4.5100732600732441E-2</v>
      </c>
      <c r="L199" s="31">
        <f t="shared" ref="L199" si="747">+L198/K198-1</f>
        <v>-8.363636363636362E-2</v>
      </c>
      <c r="M199" s="31">
        <f t="shared" ref="M199" si="748">+M198/L198-1</f>
        <v>0.39499036608863203</v>
      </c>
      <c r="N199" s="31">
        <f t="shared" ref="N199" si="749">+N198/M198-1</f>
        <v>-0.12430939226519344</v>
      </c>
      <c r="O199" s="31">
        <f t="shared" ref="O199" si="750">+O198/N198-1</f>
        <v>0.10089198303056679</v>
      </c>
      <c r="P199" s="31">
        <f t="shared" ref="P199" si="751">+P198/O198-1</f>
        <v>-4.6571484071484037E-2</v>
      </c>
      <c r="Q199" s="31">
        <f t="shared" ref="Q199" si="752">+Q198/P198-1</f>
        <v>0.20345874894196148</v>
      </c>
      <c r="R199" s="31">
        <f t="shared" ref="R199" si="753">+R198/Q198-1</f>
        <v>-5.3398058252427161E-2</v>
      </c>
      <c r="S199" s="31">
        <f t="shared" ref="S199" si="754">+S198/R198-1</f>
        <v>3.7065527065526904E-2</v>
      </c>
      <c r="T199" s="31">
        <f t="shared" ref="T199" si="755">+T198/S198-1</f>
        <v>-0.11491442542787278</v>
      </c>
      <c r="U199" s="31">
        <f t="shared" ref="U199" si="756">+U198/T198-1</f>
        <v>0.13535911602209949</v>
      </c>
      <c r="V199" s="31">
        <f t="shared" ref="V199" si="757">+V198/U198-1</f>
        <v>-9.4226940942269466E-2</v>
      </c>
      <c r="W199" s="31">
        <f t="shared" ref="W199" si="758">+W198/V198-1</f>
        <v>0.11477411477411481</v>
      </c>
      <c r="X199" s="31">
        <f t="shared" ref="X199" si="759">+X198/W198-1</f>
        <v>0.10383105455529984</v>
      </c>
      <c r="Y199" s="31">
        <f t="shared" ref="Y199" si="760">+Y198/X198-1</f>
        <v>0.18898763568152455</v>
      </c>
      <c r="Z199" s="31">
        <f>+Z198/Y198-1</f>
        <v>-0.21468542578731808</v>
      </c>
      <c r="AA199" s="31">
        <f>+AA198/Z198-1</f>
        <v>0.10954446854663757</v>
      </c>
      <c r="AB199" s="31">
        <f>+AB198/AA198-1</f>
        <v>4.4945837572565761E-2</v>
      </c>
      <c r="AC199" s="31">
        <f>+AC198/AB198-1</f>
        <v>0.13560689402273574</v>
      </c>
      <c r="AD199" s="31">
        <f t="shared" ref="AD199:AG199" si="761">+AD198/AC198-1</f>
        <v>-0.16453901866109866</v>
      </c>
      <c r="AE199" s="31">
        <f t="shared" si="761"/>
        <v>0.10954446854663757</v>
      </c>
      <c r="AF199" s="31">
        <f t="shared" si="761"/>
        <v>4.4945837572565761E-2</v>
      </c>
      <c r="AG199" s="31">
        <f t="shared" si="761"/>
        <v>0.13560689402273551</v>
      </c>
      <c r="AH199" s="334"/>
      <c r="AI199" s="334">
        <v>0.15320667818077149</v>
      </c>
      <c r="AJ199" s="334"/>
      <c r="AL199" s="31"/>
      <c r="AM199" s="31"/>
      <c r="AN199" s="31"/>
      <c r="AO199" s="31"/>
      <c r="AP199" s="31"/>
      <c r="AQ199" s="31"/>
      <c r="AR199" s="31"/>
      <c r="AS199" s="31"/>
      <c r="AT199" s="31"/>
      <c r="AU199" s="31"/>
      <c r="AV199" s="31"/>
      <c r="AW199" s="31"/>
      <c r="AX199" s="31"/>
      <c r="AY199" s="31"/>
      <c r="AZ199" s="31"/>
      <c r="BA199" s="31"/>
      <c r="BB199" s="31"/>
    </row>
    <row r="200" spans="1:54" s="91" customFormat="1" x14ac:dyDescent="0.25">
      <c r="A200" s="333" t="s">
        <v>2</v>
      </c>
      <c r="B200" s="31" t="e">
        <f>+B198/#REF!-1</f>
        <v>#REF!</v>
      </c>
      <c r="C200" s="31" t="e">
        <f>+C198/#REF!-1</f>
        <v>#REF!</v>
      </c>
      <c r="D200" s="31" t="e">
        <f>+D198/#REF!-1</f>
        <v>#REF!</v>
      </c>
      <c r="E200" s="31" t="e">
        <f t="shared" ref="E200:Y200" si="762">+E198/A198-1</f>
        <v>#VALUE!</v>
      </c>
      <c r="F200" s="31">
        <f t="shared" si="762"/>
        <v>0.31368102796674213</v>
      </c>
      <c r="G200" s="31">
        <f t="shared" si="762"/>
        <v>-0.16127946127946113</v>
      </c>
      <c r="H200" s="31">
        <f t="shared" si="762"/>
        <v>-7.2679381493585549E-3</v>
      </c>
      <c r="I200" s="31">
        <f t="shared" si="762"/>
        <v>7.2648208728955499E-2</v>
      </c>
      <c r="J200" s="31">
        <f t="shared" si="762"/>
        <v>-3.2858707557501532E-3</v>
      </c>
      <c r="K200" s="31">
        <f t="shared" si="762"/>
        <v>0.4105243161094223</v>
      </c>
      <c r="L200" s="31">
        <f t="shared" si="762"/>
        <v>-2.734375E-2</v>
      </c>
      <c r="M200" s="31">
        <f t="shared" si="762"/>
        <v>3.9977847772662889E-2</v>
      </c>
      <c r="N200" s="31">
        <f t="shared" si="762"/>
        <v>0.16989773232547778</v>
      </c>
      <c r="O200" s="31">
        <f t="shared" si="762"/>
        <v>0.2323510971786833</v>
      </c>
      <c r="P200" s="31">
        <f t="shared" si="762"/>
        <v>0.28219696969696972</v>
      </c>
      <c r="Q200" s="31">
        <f t="shared" si="762"/>
        <v>0.1061518405860078</v>
      </c>
      <c r="R200" s="31">
        <f t="shared" si="762"/>
        <v>0.19572537482720742</v>
      </c>
      <c r="S200" s="31">
        <f t="shared" si="762"/>
        <v>0.12640075973409304</v>
      </c>
      <c r="T200" s="31">
        <f t="shared" si="762"/>
        <v>4.5658952896766802E-2</v>
      </c>
      <c r="U200" s="31">
        <f t="shared" si="762"/>
        <v>-1.3511326860841444E-2</v>
      </c>
      <c r="V200" s="31">
        <f t="shared" si="762"/>
        <v>-5.6060606060606144E-2</v>
      </c>
      <c r="W200" s="31">
        <f t="shared" si="762"/>
        <v>1.4669926650366927E-2</v>
      </c>
      <c r="X200" s="31">
        <f t="shared" si="762"/>
        <v>0.26544167856477752</v>
      </c>
      <c r="Y200" s="31">
        <f t="shared" si="762"/>
        <v>0.32521462879618768</v>
      </c>
      <c r="Z200" s="31">
        <f>+Z198/V198-1</f>
        <v>0.14897473660360272</v>
      </c>
      <c r="AA200" s="31">
        <f>+AA198/W198-1</f>
        <v>0.14358464786982994</v>
      </c>
      <c r="AB200" s="31">
        <f>+AB198/X198-1</f>
        <v>8.2578726854980466E-2</v>
      </c>
      <c r="AC200" s="31">
        <f>+AC198/Y198-1</f>
        <v>3.3975315339753065E-2</v>
      </c>
      <c r="AD200" s="334">
        <v>0.1</v>
      </c>
      <c r="AE200" s="334">
        <v>0.1</v>
      </c>
      <c r="AF200" s="334">
        <v>0.1</v>
      </c>
      <c r="AG200" s="334">
        <v>0.1</v>
      </c>
      <c r="AH200" s="334"/>
      <c r="AI200" s="334">
        <v>0.05</v>
      </c>
      <c r="AJ200" s="334"/>
      <c r="AL200" s="31"/>
      <c r="AM200" s="31" t="e">
        <f t="shared" ref="AM200:AR200" si="763">(AM198/AL198)-1</f>
        <v>#DIV/0!</v>
      </c>
      <c r="AN200" s="31">
        <f t="shared" si="763"/>
        <v>8.1053900280380953E-2</v>
      </c>
      <c r="AO200" s="31">
        <f t="shared" si="763"/>
        <v>0.19010059747977115</v>
      </c>
      <c r="AP200" s="31">
        <f t="shared" si="763"/>
        <v>8.2864082209673784E-2</v>
      </c>
      <c r="AQ200" s="31">
        <f t="shared" si="763"/>
        <v>0.13552793791792106</v>
      </c>
      <c r="AR200" s="31">
        <f t="shared" si="763"/>
        <v>9.5741883631336622E-2</v>
      </c>
      <c r="AS200" s="31">
        <f>(AS198/AR198)-1</f>
        <v>0.10000000000000009</v>
      </c>
      <c r="AT200" s="334">
        <f>+AT$1</f>
        <v>3.5000000000000142E-2</v>
      </c>
      <c r="AU200" s="334">
        <f t="shared" ref="AU200:BB200" si="764">+AU$1</f>
        <v>3.5000000000000142E-2</v>
      </c>
      <c r="AV200" s="334">
        <f t="shared" si="764"/>
        <v>3.5000000000000142E-2</v>
      </c>
      <c r="AW200" s="334">
        <f t="shared" si="764"/>
        <v>3.5000000000000142E-2</v>
      </c>
      <c r="AX200" s="334">
        <f t="shared" si="764"/>
        <v>3.5000000000000142E-2</v>
      </c>
      <c r="AY200" s="334">
        <f t="shared" si="764"/>
        <v>3.5000000000000142E-2</v>
      </c>
      <c r="AZ200" s="334">
        <f t="shared" si="764"/>
        <v>3.5000000000000142E-2</v>
      </c>
      <c r="BA200" s="334">
        <f t="shared" si="764"/>
        <v>3.5000000000000142E-2</v>
      </c>
      <c r="BB200" s="334">
        <f t="shared" si="764"/>
        <v>3.5000000000000142E-2</v>
      </c>
    </row>
    <row r="201" spans="1:54" x14ac:dyDescent="0.25">
      <c r="Z201" s="73"/>
      <c r="AA201" s="73"/>
      <c r="AB201" s="73"/>
      <c r="AC201" s="73"/>
    </row>
    <row r="202" spans="1:54" x14ac:dyDescent="0.25">
      <c r="A202" s="110" t="s">
        <v>135</v>
      </c>
      <c r="B202" s="24">
        <v>142</v>
      </c>
      <c r="C202" s="24">
        <v>147</v>
      </c>
      <c r="D202" s="24">
        <v>165</v>
      </c>
      <c r="E202" s="24">
        <v>166</v>
      </c>
      <c r="F202" s="24">
        <v>179</v>
      </c>
      <c r="G202" s="24">
        <v>177</v>
      </c>
      <c r="H202" s="24">
        <v>143</v>
      </c>
      <c r="I202" s="24">
        <v>138</v>
      </c>
      <c r="J202" s="24">
        <v>140</v>
      </c>
      <c r="K202" s="24">
        <v>140</v>
      </c>
      <c r="L202" s="24">
        <v>157</v>
      </c>
      <c r="M202" s="24">
        <v>156</v>
      </c>
      <c r="N202" s="24">
        <v>139</v>
      </c>
      <c r="O202" s="24">
        <v>130</v>
      </c>
      <c r="P202" s="24">
        <v>146</v>
      </c>
      <c r="Q202" s="24">
        <v>160</v>
      </c>
      <c r="R202" s="24">
        <v>147</v>
      </c>
      <c r="S202" s="24">
        <v>153</v>
      </c>
      <c r="T202" s="24">
        <v>150</v>
      </c>
      <c r="U202" s="24">
        <v>155</v>
      </c>
      <c r="V202" s="24">
        <v>195</v>
      </c>
      <c r="W202" s="24">
        <v>158</v>
      </c>
      <c r="X202" s="24">
        <v>169</v>
      </c>
      <c r="Y202" s="24">
        <v>237</v>
      </c>
      <c r="Z202" s="24">
        <v>232</v>
      </c>
      <c r="AA202" s="24">
        <v>253</v>
      </c>
      <c r="AB202" s="24">
        <v>254</v>
      </c>
      <c r="AC202" s="24">
        <v>262</v>
      </c>
      <c r="AD202" s="99">
        <f t="shared" ref="AD202:AG202" si="765">+AVERAGE(AB202:AC202)</f>
        <v>258</v>
      </c>
      <c r="AE202" s="99">
        <f t="shared" si="765"/>
        <v>260</v>
      </c>
      <c r="AF202" s="99">
        <f t="shared" si="765"/>
        <v>259</v>
      </c>
      <c r="AG202" s="99">
        <f t="shared" si="765"/>
        <v>259.5</v>
      </c>
      <c r="AH202" s="99"/>
      <c r="AI202" s="99">
        <v>253.5</v>
      </c>
      <c r="AJ202" s="99"/>
      <c r="AL202" s="24">
        <f>+SUMIFS($B202:AF202,$B$4:AF$4,"&lt;="&amp;AL$3,$B$4:AF$4,"&gt;"&amp;AK$3)</f>
        <v>0</v>
      </c>
      <c r="AM202" s="24">
        <f>+SUMIFS($B202:AG202,$B$4:AG$4,"&lt;="&amp;AM$3,$B$4:AG$4,"&gt;"&amp;AL$3)</f>
        <v>637</v>
      </c>
      <c r="AN202" s="24">
        <f>+SUMIFS($B202:AG202,$B$4:AG$4,"&lt;="&amp;AN$3,$B$4:AG$4,"&gt;"&amp;AM$3)</f>
        <v>593</v>
      </c>
      <c r="AO202" s="24">
        <f>+SUMIFS($B202:AG202,$B$4:AG$4,"&lt;="&amp;AO$3,$B$4:AG$4,"&gt;"&amp;AN$3)</f>
        <v>575</v>
      </c>
      <c r="AP202" s="24">
        <f>+SUMIFS($B202:AG202,$B$4:AG$4,"&lt;="&amp;AP$3,$B$4:AG$4,"&gt;"&amp;AO$3)</f>
        <v>605</v>
      </c>
      <c r="AQ202" s="24">
        <f>+SUMIFS($B202:AG202,$B$4:AG$4,"&lt;="&amp;AQ$3,$B$4:AG$4,"&gt;"&amp;AP$3)</f>
        <v>759</v>
      </c>
      <c r="AR202" s="24">
        <f>+SUMIFS($B202:AG202,$B$4:AG$4,"&lt;="&amp;AR$3,$B$4:AG$4,"&gt;"&amp;AQ$3)</f>
        <v>1001</v>
      </c>
      <c r="AS202" s="24">
        <f>+SUMIFS($B202:$AG202,$B$4:$AG$4,"&lt;="&amp;AS$3,$B$4:$AG$4,"&gt;"&amp;AR$3)</f>
        <v>1036.5</v>
      </c>
      <c r="AT202" s="99">
        <f>+AVERAGE(AR202:AS202)</f>
        <v>1018.75</v>
      </c>
      <c r="AU202" s="99">
        <f t="shared" ref="AU202:BB202" si="766">+AVERAGE(AS202:AT202)</f>
        <v>1027.625</v>
      </c>
      <c r="AV202" s="99">
        <f t="shared" si="766"/>
        <v>1023.1875</v>
      </c>
      <c r="AW202" s="99">
        <f t="shared" si="766"/>
        <v>1025.40625</v>
      </c>
      <c r="AX202" s="99">
        <f t="shared" si="766"/>
        <v>1024.296875</v>
      </c>
      <c r="AY202" s="99">
        <f t="shared" si="766"/>
        <v>1024.8515625</v>
      </c>
      <c r="AZ202" s="99">
        <f t="shared" si="766"/>
        <v>1024.57421875</v>
      </c>
      <c r="BA202" s="99">
        <f t="shared" si="766"/>
        <v>1024.712890625</v>
      </c>
      <c r="BB202" s="99">
        <f t="shared" si="766"/>
        <v>1024.6435546875</v>
      </c>
    </row>
    <row r="203" spans="1:54" x14ac:dyDescent="0.25">
      <c r="A203" s="25" t="s">
        <v>136</v>
      </c>
      <c r="B203" s="26">
        <f>+PROJ!B46</f>
        <v>1634</v>
      </c>
      <c r="C203" s="26">
        <f>+PROJ!C46</f>
        <v>1720</v>
      </c>
      <c r="D203" s="26">
        <f>+PROJ!D46</f>
        <v>1848</v>
      </c>
      <c r="E203" s="26">
        <f>+PROJ!E46</f>
        <v>1938</v>
      </c>
      <c r="F203" s="26">
        <f>+PROJ!F46</f>
        <v>1983</v>
      </c>
      <c r="G203" s="26">
        <f>+PROJ!G46</f>
        <v>2057</v>
      </c>
      <c r="H203" s="26">
        <f>+PROJ!H46</f>
        <v>2054</v>
      </c>
      <c r="I203" s="26">
        <f>+PROJ!I46</f>
        <v>2054</v>
      </c>
      <c r="J203" s="26">
        <f>+PROJ!J46</f>
        <v>2051</v>
      </c>
      <c r="K203" s="26">
        <f>+PROJ!K46</f>
        <v>2010</v>
      </c>
      <c r="L203" s="26">
        <f>+PROJ!L46</f>
        <v>2019</v>
      </c>
      <c r="M203" s="26">
        <f>+PROJ!M46</f>
        <v>2179</v>
      </c>
      <c r="N203" s="26">
        <f>+PROJ!N46</f>
        <v>2202</v>
      </c>
      <c r="O203" s="26">
        <f>+PROJ!O46</f>
        <v>1997</v>
      </c>
      <c r="P203" s="26">
        <f>+PROJ!P46</f>
        <v>2049</v>
      </c>
      <c r="Q203" s="26">
        <f>+PROJ!Q46</f>
        <v>2405</v>
      </c>
      <c r="R203" s="26">
        <f>+PROJ!R46</f>
        <v>2368</v>
      </c>
      <c r="S203" s="26">
        <f>+PROJ!S46</f>
        <v>2461</v>
      </c>
      <c r="T203" s="26">
        <f>+PROJ!T46</f>
        <v>2563</v>
      </c>
      <c r="U203" s="26">
        <f>+PROJ!U46</f>
        <v>2697</v>
      </c>
      <c r="V203" s="26">
        <f>+PROJ!V46</f>
        <v>2781</v>
      </c>
      <c r="W203" s="26">
        <f>+PROJ!W46</f>
        <v>2783</v>
      </c>
      <c r="X203" s="26">
        <f>+PROJ!X46</f>
        <v>2856</v>
      </c>
      <c r="Y203" s="26">
        <f>+PROJ!Y46</f>
        <v>3065</v>
      </c>
      <c r="Z203" s="26">
        <f>+PROJ!Z46</f>
        <v>3062</v>
      </c>
      <c r="AA203" s="26">
        <f>+PROJ!AA46</f>
        <v>3089.3720941930569</v>
      </c>
      <c r="AB203" s="26">
        <f>+PROJ!AB46</f>
        <v>3099.0051350593913</v>
      </c>
      <c r="AC203" s="26">
        <f>+PROJ!AC46</f>
        <v>3141.5686315131397</v>
      </c>
      <c r="AD203" s="26">
        <f>+PROJ!AD46</f>
        <v>3169.1700000000005</v>
      </c>
      <c r="AE203" s="26">
        <f>+PROJ!AE46</f>
        <v>3197.5001174898143</v>
      </c>
      <c r="AF203" s="26">
        <f>+PROJ!AF46</f>
        <v>3207.4703147864702</v>
      </c>
      <c r="AG203" s="26">
        <f>+PROJ!AG46</f>
        <v>3251.5235336160999</v>
      </c>
      <c r="AH203" s="26"/>
      <c r="AI203" s="26">
        <v>3141.5686315131397</v>
      </c>
      <c r="AJ203" s="26"/>
      <c r="AK203" s="26"/>
      <c r="AL203" s="26">
        <f>+PROJ!AL46</f>
        <v>1938</v>
      </c>
      <c r="AM203" s="26">
        <f>+PROJ!AM46</f>
        <v>2054</v>
      </c>
      <c r="AN203" s="26">
        <f>+PROJ!AN46</f>
        <v>2179</v>
      </c>
      <c r="AO203" s="26">
        <f>+PROJ!AO46</f>
        <v>2405</v>
      </c>
      <c r="AP203" s="26">
        <f>+PROJ!AP46</f>
        <v>2697</v>
      </c>
      <c r="AQ203" s="26">
        <f>+PROJ!AQ46</f>
        <v>3065</v>
      </c>
      <c r="AR203" s="26">
        <f>+PROJ!AR46</f>
        <v>3141.5686315131397</v>
      </c>
      <c r="AS203" s="26">
        <f>+PROJ!AS46</f>
        <v>3251.5235336160999</v>
      </c>
      <c r="AT203" s="26">
        <f>+PROJ!AT46</f>
        <v>3365.326857292664</v>
      </c>
      <c r="AU203" s="26">
        <f>+PROJ!AU46</f>
        <v>3483.1132972979076</v>
      </c>
      <c r="AV203" s="26">
        <f>+PROJ!AV46</f>
        <v>3605.0222627033349</v>
      </c>
      <c r="AW203" s="26">
        <f>+PROJ!AW46</f>
        <v>3731.1980418979524</v>
      </c>
      <c r="AX203" s="26">
        <f>+PROJ!AX46</f>
        <v>3861.7899733643812</v>
      </c>
      <c r="AY203" s="26">
        <f>+PROJ!AY46</f>
        <v>3996.9526224321353</v>
      </c>
      <c r="AZ203" s="26">
        <f>+PROJ!AZ46</f>
        <v>4136.8459642172602</v>
      </c>
      <c r="BA203" s="26">
        <f>+PROJ!BA46</f>
        <v>4281.6355729648649</v>
      </c>
      <c r="BB203" s="26">
        <f>+PROJ!BB46</f>
        <v>4431.4928180186362</v>
      </c>
    </row>
    <row r="204" spans="1:54" x14ac:dyDescent="0.25">
      <c r="A204" s="25" t="s">
        <v>137</v>
      </c>
      <c r="B204" s="31">
        <f t="shared" ref="B204:X204" si="767">B202/B203</f>
        <v>8.6903304773561812E-2</v>
      </c>
      <c r="C204" s="31">
        <f t="shared" si="767"/>
        <v>8.5465116279069761E-2</v>
      </c>
      <c r="D204" s="31">
        <f t="shared" si="767"/>
        <v>8.9285714285714288E-2</v>
      </c>
      <c r="E204" s="31">
        <f t="shared" si="767"/>
        <v>8.5655314757481935E-2</v>
      </c>
      <c r="F204" s="31">
        <f t="shared" si="767"/>
        <v>9.0267271810388294E-2</v>
      </c>
      <c r="G204" s="31">
        <f t="shared" si="767"/>
        <v>8.6047642197374818E-2</v>
      </c>
      <c r="H204" s="31">
        <f t="shared" si="767"/>
        <v>6.9620253164556958E-2</v>
      </c>
      <c r="I204" s="31">
        <f t="shared" si="767"/>
        <v>6.718597857838364E-2</v>
      </c>
      <c r="J204" s="31">
        <f t="shared" si="767"/>
        <v>6.8259385665529013E-2</v>
      </c>
      <c r="K204" s="31">
        <f t="shared" si="767"/>
        <v>6.965174129353234E-2</v>
      </c>
      <c r="L204" s="31">
        <f t="shared" si="767"/>
        <v>7.7761267954432889E-2</v>
      </c>
      <c r="M204" s="31">
        <f t="shared" si="767"/>
        <v>7.1592473611748503E-2</v>
      </c>
      <c r="N204" s="31">
        <f t="shared" si="767"/>
        <v>6.3124432334241601E-2</v>
      </c>
      <c r="O204" s="31">
        <f t="shared" si="767"/>
        <v>6.5097646469704562E-2</v>
      </c>
      <c r="P204" s="31">
        <f t="shared" si="767"/>
        <v>7.1254270375793072E-2</v>
      </c>
      <c r="Q204" s="31">
        <f t="shared" si="767"/>
        <v>6.6528066528066532E-2</v>
      </c>
      <c r="R204" s="31">
        <f t="shared" si="767"/>
        <v>6.20777027027027E-2</v>
      </c>
      <c r="S204" s="31">
        <f t="shared" si="767"/>
        <v>6.2169849654611947E-2</v>
      </c>
      <c r="T204" s="31">
        <f t="shared" si="767"/>
        <v>5.8525165821303161E-2</v>
      </c>
      <c r="U204" s="31">
        <f t="shared" si="767"/>
        <v>5.7471264367816091E-2</v>
      </c>
      <c r="V204" s="31">
        <f t="shared" si="767"/>
        <v>7.0118662351672065E-2</v>
      </c>
      <c r="W204" s="31">
        <f t="shared" si="767"/>
        <v>5.677326625943227E-2</v>
      </c>
      <c r="X204" s="31">
        <f t="shared" si="767"/>
        <v>5.9173669467787113E-2</v>
      </c>
      <c r="Y204" s="31">
        <f t="shared" ref="Y204:AG204" si="768">Y202/Y203</f>
        <v>7.732463295269168E-2</v>
      </c>
      <c r="Z204" s="487">
        <f t="shared" si="768"/>
        <v>7.5767472240365771E-2</v>
      </c>
      <c r="AA204" s="487">
        <f t="shared" si="768"/>
        <v>8.1893663918163773E-2</v>
      </c>
      <c r="AB204" s="487">
        <f t="shared" si="768"/>
        <v>8.196178738991737E-2</v>
      </c>
      <c r="AC204" s="487">
        <f t="shared" si="768"/>
        <v>8.339782787868219E-2</v>
      </c>
      <c r="AD204" s="31">
        <f t="shared" si="768"/>
        <v>8.1409327994396E-2</v>
      </c>
      <c r="AE204" s="31">
        <f t="shared" si="768"/>
        <v>8.1313523204531432E-2</v>
      </c>
      <c r="AF204" s="31">
        <f t="shared" si="768"/>
        <v>8.0748993624666587E-2</v>
      </c>
      <c r="AG204" s="31">
        <f t="shared" si="768"/>
        <v>7.9808741138466741E-2</v>
      </c>
      <c r="AI204" s="31">
        <v>8.0692173157427244E-2</v>
      </c>
      <c r="AL204" s="31">
        <f t="shared" ref="AL204:BB204" si="769">AL202/AL203</f>
        <v>0</v>
      </c>
      <c r="AM204" s="31">
        <f t="shared" si="769"/>
        <v>0.310126582278481</v>
      </c>
      <c r="AN204" s="31">
        <f t="shared" si="769"/>
        <v>0.2721431849472235</v>
      </c>
      <c r="AO204" s="31">
        <f t="shared" si="769"/>
        <v>0.2390852390852391</v>
      </c>
      <c r="AP204" s="31">
        <f t="shared" si="769"/>
        <v>0.22432332220986281</v>
      </c>
      <c r="AQ204" s="31">
        <f t="shared" si="769"/>
        <v>0.24763458401305058</v>
      </c>
      <c r="AR204" s="31">
        <f t="shared" si="769"/>
        <v>0.31863063246778961</v>
      </c>
      <c r="AS204" s="31">
        <f t="shared" si="769"/>
        <v>0.31877364235075445</v>
      </c>
      <c r="AT204" s="31">
        <f t="shared" si="769"/>
        <v>0.30271948110846009</v>
      </c>
      <c r="AU204" s="31">
        <f t="shared" si="769"/>
        <v>0.2950305982860793</v>
      </c>
      <c r="AV204" s="31">
        <f t="shared" si="769"/>
        <v>0.2838227964874569</v>
      </c>
      <c r="AW204" s="31">
        <f t="shared" si="769"/>
        <v>0.27481957228901349</v>
      </c>
      <c r="AX204" s="31">
        <f t="shared" si="769"/>
        <v>0.26523888716496802</v>
      </c>
      <c r="AY204" s="31">
        <f t="shared" si="769"/>
        <v>0.25640823379997446</v>
      </c>
      <c r="AZ204" s="31">
        <f t="shared" si="769"/>
        <v>0.24767038164155128</v>
      </c>
      <c r="BA204" s="31">
        <f t="shared" si="769"/>
        <v>0.23932744232023148</v>
      </c>
      <c r="BB204" s="31">
        <f t="shared" si="769"/>
        <v>0.231218597606941</v>
      </c>
    </row>
    <row r="206" spans="1:54" x14ac:dyDescent="0.25">
      <c r="A206" s="25"/>
      <c r="D206" s="29"/>
    </row>
    <row r="207" spans="1:54" x14ac:dyDescent="0.25">
      <c r="A207" s="111" t="s">
        <v>138</v>
      </c>
      <c r="B207" s="24">
        <v>46</v>
      </c>
      <c r="C207" s="24">
        <v>44</v>
      </c>
      <c r="D207" s="24">
        <v>40</v>
      </c>
      <c r="E207" s="24">
        <v>51</v>
      </c>
      <c r="F207" s="24">
        <v>42</v>
      </c>
      <c r="G207" s="24">
        <v>46</v>
      </c>
      <c r="H207" s="24">
        <v>55</v>
      </c>
      <c r="I207" s="24">
        <v>37</v>
      </c>
      <c r="J207" s="24">
        <v>43</v>
      </c>
      <c r="K207" s="24">
        <v>36</v>
      </c>
      <c r="L207" s="24">
        <v>39</v>
      </c>
      <c r="M207" s="24">
        <v>55</v>
      </c>
      <c r="N207" s="24">
        <v>54</v>
      </c>
      <c r="O207" s="24">
        <v>58</v>
      </c>
      <c r="P207" s="24">
        <v>58</v>
      </c>
      <c r="Q207" s="24">
        <v>68</v>
      </c>
      <c r="R207" s="24">
        <v>61</v>
      </c>
      <c r="S207" s="24">
        <v>73</v>
      </c>
      <c r="T207" s="24">
        <v>77</v>
      </c>
      <c r="U207" s="24">
        <v>86</v>
      </c>
      <c r="V207" s="24">
        <v>62</v>
      </c>
      <c r="W207" s="24">
        <v>93</v>
      </c>
      <c r="X207" s="24">
        <v>83</v>
      </c>
      <c r="Y207" s="24">
        <v>104</v>
      </c>
      <c r="Z207" s="24">
        <v>94</v>
      </c>
      <c r="AA207" s="24">
        <v>108</v>
      </c>
      <c r="AB207" s="24">
        <v>108</v>
      </c>
      <c r="AC207" s="24">
        <v>119</v>
      </c>
      <c r="AD207" s="96">
        <f t="shared" ref="AD207:AG207" si="770">+AD208*AD179</f>
        <v>103.15252204912252</v>
      </c>
      <c r="AE207" s="96">
        <f t="shared" si="770"/>
        <v>110.349908475679</v>
      </c>
      <c r="AF207" s="96">
        <f t="shared" si="770"/>
        <v>115.58728220779733</v>
      </c>
      <c r="AG207" s="96">
        <f t="shared" si="770"/>
        <v>114.56848456859217</v>
      </c>
      <c r="AH207" s="96"/>
      <c r="AI207" s="96">
        <v>115.71328338137849</v>
      </c>
      <c r="AJ207" s="96"/>
      <c r="AL207" s="24">
        <f>+SUMIFS($B207:AF207,$B$4:AF$4,"&lt;="&amp;AL$3,$B$4:AF$4,"&gt;"&amp;AK$3)</f>
        <v>0</v>
      </c>
      <c r="AM207" s="24">
        <f>+SUMIFS($B207:AG207,$B$4:AG$4,"&lt;="&amp;AM$3,$B$4:AG$4,"&gt;"&amp;AL$3)</f>
        <v>180</v>
      </c>
      <c r="AN207" s="24">
        <f>+SUMIFS($B207:AG207,$B$4:AG$4,"&lt;="&amp;AN$3,$B$4:AG$4,"&gt;"&amp;AM$3)</f>
        <v>173</v>
      </c>
      <c r="AO207" s="24">
        <f>+SUMIFS($B207:AG207,$B$4:AG$4,"&lt;="&amp;AO$3,$B$4:AG$4,"&gt;"&amp;AN$3)</f>
        <v>238</v>
      </c>
      <c r="AP207" s="24">
        <f>+SUMIFS($B207:AG207,$B$4:AG$4,"&lt;="&amp;AP$3,$B$4:AG$4,"&gt;"&amp;AO$3)</f>
        <v>297</v>
      </c>
      <c r="AQ207" s="24">
        <f>+SUMIFS($B207:AG207,$B$4:AG$4,"&lt;="&amp;AQ$3,$B$4:AG$4,"&gt;"&amp;AP$3)</f>
        <v>342</v>
      </c>
      <c r="AR207" s="24">
        <f>+SUMIFS($B207:AG207,$B$4:AG$4,"&lt;="&amp;AR$3,$B$4:AG$4,"&gt;"&amp;AQ$3)</f>
        <v>429</v>
      </c>
      <c r="AS207" s="24">
        <f>+SUMIFS($B207:$AG207,$B$4:$AG$4,"&lt;="&amp;AS$3,$B$4:$AG$4,"&gt;"&amp;AR$3)</f>
        <v>443.65819730119102</v>
      </c>
      <c r="AT207" s="96">
        <f t="shared" ref="AT207:BB207" si="771">+AT208*AT179</f>
        <v>474.70944745797397</v>
      </c>
      <c r="AU207" s="96">
        <f t="shared" si="771"/>
        <v>513.41584211215877</v>
      </c>
      <c r="AV207" s="96">
        <f t="shared" si="771"/>
        <v>546.71610048240484</v>
      </c>
      <c r="AW207" s="96">
        <f t="shared" si="771"/>
        <v>582.9329202920203</v>
      </c>
      <c r="AX207" s="96">
        <f t="shared" si="771"/>
        <v>621.70027564701252</v>
      </c>
      <c r="AY207" s="96">
        <f t="shared" si="771"/>
        <v>658.31986137944125</v>
      </c>
      <c r="AZ207" s="96">
        <f t="shared" si="771"/>
        <v>693.04463848197395</v>
      </c>
      <c r="BA207" s="96">
        <f t="shared" si="771"/>
        <v>730.00269975616891</v>
      </c>
      <c r="BB207" s="96">
        <f t="shared" si="771"/>
        <v>769.32240628747672</v>
      </c>
    </row>
    <row r="208" spans="1:54" s="91" customFormat="1" x14ac:dyDescent="0.25">
      <c r="A208" s="333" t="s">
        <v>139</v>
      </c>
      <c r="B208" s="31">
        <f>+B207/B$179</f>
        <v>1.9190654985398414E-2</v>
      </c>
      <c r="C208" s="31">
        <f t="shared" ref="C208" si="772">+C207/C$179</f>
        <v>1.7635270541082163E-2</v>
      </c>
      <c r="D208" s="31">
        <f t="shared" ref="D208" si="773">+D207/D$179</f>
        <v>1.50093808630394E-2</v>
      </c>
      <c r="E208" s="31">
        <f t="shared" ref="E208" si="774">+E207/E$179</f>
        <v>1.9517795637198621E-2</v>
      </c>
      <c r="F208" s="31">
        <f t="shared" ref="F208" si="775">+F207/F$179</f>
        <v>1.5933232169954476E-2</v>
      </c>
      <c r="G208" s="31">
        <f t="shared" ref="G208" si="776">+G207/G$179</f>
        <v>1.8540910923014912E-2</v>
      </c>
      <c r="H208" s="31">
        <f t="shared" ref="H208" si="777">+H207/H$179</f>
        <v>2.2267206477732792E-2</v>
      </c>
      <c r="I208" s="31">
        <f t="shared" ref="I208" si="778">+I207/I$179</f>
        <v>1.4374514374514374E-2</v>
      </c>
      <c r="J208" s="31">
        <f t="shared" ref="J208" si="779">+J207/J$179</f>
        <v>1.7016224772457459E-2</v>
      </c>
      <c r="K208" s="31">
        <f t="shared" ref="K208" si="780">+K207/K$179</f>
        <v>1.3615733736762481E-2</v>
      </c>
      <c r="L208" s="31">
        <f t="shared" ref="L208" si="781">+L207/L$179</f>
        <v>1.4976958525345621E-2</v>
      </c>
      <c r="M208" s="31">
        <f t="shared" ref="M208" si="782">+M207/M$179</f>
        <v>1.9064124783362217E-2</v>
      </c>
      <c r="N208" s="31">
        <f t="shared" ref="N208" si="783">+N207/N$179</f>
        <v>1.8367346938775512E-2</v>
      </c>
      <c r="O208" s="31">
        <f t="shared" ref="O208" si="784">+O207/O$179</f>
        <v>1.834862385321101E-2</v>
      </c>
      <c r="P208" s="31">
        <f t="shared" ref="P208" si="785">+P207/P$179</f>
        <v>1.6939252336448597E-2</v>
      </c>
      <c r="Q208" s="31">
        <f t="shared" ref="Q208" si="786">+Q207/Q$179</f>
        <v>1.8443178736099811E-2</v>
      </c>
      <c r="R208" s="31">
        <f t="shared" ref="R208" si="787">+R207/R$179</f>
        <v>1.8079430942501484E-2</v>
      </c>
      <c r="S208" s="31">
        <f t="shared" ref="S208" si="788">+S207/S$179</f>
        <v>2.0356943669827106E-2</v>
      </c>
      <c r="T208" s="31">
        <f t="shared" ref="T208" si="789">+T207/T$179</f>
        <v>1.993785603314345E-2</v>
      </c>
      <c r="U208" s="31">
        <f t="shared" ref="U208" si="790">+U207/U$179</f>
        <v>2.0588939430213071E-2</v>
      </c>
      <c r="V208" s="31">
        <f t="shared" ref="V208" si="791">+V207/V$179</f>
        <v>1.5166340508806261E-2</v>
      </c>
      <c r="W208" s="31">
        <f t="shared" ref="W208" si="792">+W207/W$179</f>
        <v>2.1458237194277804E-2</v>
      </c>
      <c r="X208" s="31">
        <f t="shared" ref="X208:AC208" si="793">+X207/X$179</f>
        <v>1.9045433685176687E-2</v>
      </c>
      <c r="Y208" s="31">
        <f t="shared" si="793"/>
        <v>2.2423458387235879E-2</v>
      </c>
      <c r="Z208" s="31">
        <f t="shared" si="793"/>
        <v>2.1099887766554432E-2</v>
      </c>
      <c r="AA208" s="31">
        <f t="shared" si="793"/>
        <v>2.3508924684370918E-2</v>
      </c>
      <c r="AB208" s="31">
        <f t="shared" si="793"/>
        <v>2.394678492239468E-2</v>
      </c>
      <c r="AC208" s="31">
        <f t="shared" si="793"/>
        <v>2.3165271559275842E-2</v>
      </c>
      <c r="AD208" s="334">
        <f t="shared" ref="AD208:AG208" si="794">+Z208</f>
        <v>2.1099887766554432E-2</v>
      </c>
      <c r="AE208" s="334">
        <f t="shared" si="794"/>
        <v>2.3508924684370918E-2</v>
      </c>
      <c r="AF208" s="334">
        <f t="shared" si="794"/>
        <v>2.394678492239468E-2</v>
      </c>
      <c r="AG208" s="334">
        <f t="shared" si="794"/>
        <v>2.3165271559275842E-2</v>
      </c>
      <c r="AH208" s="334"/>
      <c r="AI208" s="334">
        <v>2.394678492239468E-2</v>
      </c>
      <c r="AJ208" s="334"/>
      <c r="AL208" s="31" t="e">
        <f t="shared" ref="AL208:AS208" si="795">+AL207/AL$179</f>
        <v>#DIV/0!</v>
      </c>
      <c r="AM208" s="31">
        <f t="shared" si="795"/>
        <v>1.771479185119575E-2</v>
      </c>
      <c r="AN208" s="31">
        <f t="shared" si="795"/>
        <v>1.6228893058161352E-2</v>
      </c>
      <c r="AO208" s="31">
        <f t="shared" si="795"/>
        <v>1.8013926733272782E-2</v>
      </c>
      <c r="AP208" s="31">
        <f t="shared" si="795"/>
        <v>1.9801320088005867E-2</v>
      </c>
      <c r="AQ208" s="31">
        <f t="shared" si="795"/>
        <v>1.9634860489149156E-2</v>
      </c>
      <c r="AR208" s="31">
        <f t="shared" si="795"/>
        <v>2.2946084724005136E-2</v>
      </c>
      <c r="AS208" s="31">
        <f t="shared" si="795"/>
        <v>2.2921831080222915E-2</v>
      </c>
      <c r="AT208" s="334">
        <f t="shared" ref="AT208" si="796">+AS208</f>
        <v>2.2921831080222915E-2</v>
      </c>
      <c r="AU208" s="334">
        <f t="shared" ref="AU208" si="797">+AT208</f>
        <v>2.2921831080222915E-2</v>
      </c>
      <c r="AV208" s="334">
        <f t="shared" ref="AV208" si="798">+AU208</f>
        <v>2.2921831080222915E-2</v>
      </c>
      <c r="AW208" s="334">
        <f t="shared" ref="AW208" si="799">+AV208</f>
        <v>2.2921831080222915E-2</v>
      </c>
      <c r="AX208" s="334">
        <f t="shared" ref="AX208" si="800">+AW208</f>
        <v>2.2921831080222915E-2</v>
      </c>
      <c r="AY208" s="334">
        <f t="shared" ref="AY208" si="801">+AX208</f>
        <v>2.2921831080222915E-2</v>
      </c>
      <c r="AZ208" s="334">
        <f t="shared" ref="AZ208" si="802">+AY208</f>
        <v>2.2921831080222915E-2</v>
      </c>
      <c r="BA208" s="334">
        <f t="shared" ref="BA208" si="803">+AZ208</f>
        <v>2.2921831080222915E-2</v>
      </c>
      <c r="BB208" s="334">
        <f t="shared" ref="BB208" si="804">+BA208</f>
        <v>2.2921831080222915E-2</v>
      </c>
    </row>
    <row r="209" spans="1:54" x14ac:dyDescent="0.25">
      <c r="A209" s="32"/>
    </row>
    <row r="210" spans="1:54" s="116" customFormat="1" x14ac:dyDescent="0.25">
      <c r="A210" s="18" t="s">
        <v>20</v>
      </c>
      <c r="B210" s="115">
        <f t="shared" ref="B210:AG210" si="805">+B158+B160+B164+B183</f>
        <v>1317</v>
      </c>
      <c r="C210" s="115">
        <f t="shared" si="805"/>
        <v>1305</v>
      </c>
      <c r="D210" s="115">
        <f t="shared" si="805"/>
        <v>1546</v>
      </c>
      <c r="E210" s="115">
        <f t="shared" si="805"/>
        <v>1387</v>
      </c>
      <c r="F210" s="115">
        <f t="shared" si="805"/>
        <v>1415</v>
      </c>
      <c r="G210" s="115">
        <f t="shared" si="805"/>
        <v>1277</v>
      </c>
      <c r="H210" s="115">
        <f t="shared" si="805"/>
        <v>1208</v>
      </c>
      <c r="I210" s="115">
        <f t="shared" si="805"/>
        <v>880</v>
      </c>
      <c r="J210" s="115">
        <f t="shared" si="805"/>
        <v>1214</v>
      </c>
      <c r="K210" s="115">
        <f t="shared" si="805"/>
        <v>1505</v>
      </c>
      <c r="L210" s="115">
        <f t="shared" si="805"/>
        <v>1296</v>
      </c>
      <c r="M210" s="115">
        <f t="shared" si="805"/>
        <v>1375</v>
      </c>
      <c r="N210" s="115">
        <f t="shared" si="805"/>
        <v>1728</v>
      </c>
      <c r="O210" s="115">
        <f t="shared" si="805"/>
        <v>1779</v>
      </c>
      <c r="P210" s="115">
        <f t="shared" si="805"/>
        <v>1911.5</v>
      </c>
      <c r="Q210" s="115">
        <f t="shared" si="805"/>
        <v>1980</v>
      </c>
      <c r="R210" s="115">
        <f t="shared" si="805"/>
        <v>1585</v>
      </c>
      <c r="S210" s="115">
        <f t="shared" si="805"/>
        <v>1726</v>
      </c>
      <c r="T210" s="115">
        <f t="shared" si="805"/>
        <v>2071</v>
      </c>
      <c r="U210" s="115">
        <f t="shared" si="805"/>
        <v>2208</v>
      </c>
      <c r="V210" s="115">
        <f t="shared" si="805"/>
        <v>2150</v>
      </c>
      <c r="W210" s="115">
        <f t="shared" si="805"/>
        <v>2192</v>
      </c>
      <c r="X210" s="115">
        <f t="shared" si="805"/>
        <v>2206</v>
      </c>
      <c r="Y210" s="115">
        <f t="shared" si="805"/>
        <v>2312</v>
      </c>
      <c r="Z210" s="115">
        <f t="shared" si="805"/>
        <v>2216.5</v>
      </c>
      <c r="AA210" s="115">
        <f t="shared" si="805"/>
        <v>2248</v>
      </c>
      <c r="AB210" s="115">
        <f t="shared" si="805"/>
        <v>2105</v>
      </c>
      <c r="AC210" s="115">
        <f t="shared" si="805"/>
        <v>2473</v>
      </c>
      <c r="AD210" s="494">
        <f t="shared" si="805"/>
        <v>2389.3552337560805</v>
      </c>
      <c r="AE210" s="494">
        <f t="shared" si="805"/>
        <v>2097.7152390996512</v>
      </c>
      <c r="AF210" s="494">
        <f t="shared" si="805"/>
        <v>2170.0560952437363</v>
      </c>
      <c r="AG210" s="494">
        <f t="shared" si="805"/>
        <v>2159.8869829579703</v>
      </c>
      <c r="AH210" s="441"/>
      <c r="AI210" s="115">
        <v>2426.6121965784105</v>
      </c>
      <c r="AJ210" s="486">
        <f>+AB210/AI210-1</f>
        <v>-0.13253547354286455</v>
      </c>
      <c r="AL210" s="115">
        <f>+SUMIFS($B210:AF210,$B$4:AF$4,"&lt;="&amp;AL$3,$B$4:AF$4,"&gt;"&amp;AK$3)</f>
        <v>0</v>
      </c>
      <c r="AM210" s="115">
        <f>+SUMIFS($B210:AG210,$B$4:AG$4,"&lt;="&amp;AM$3,$B$4:AG$4,"&gt;"&amp;AL$3)</f>
        <v>4780</v>
      </c>
      <c r="AN210" s="115">
        <f>+SUMIFS($B210:AG210,$B$4:AG$4,"&lt;="&amp;AN$3,$B$4:AG$4,"&gt;"&amp;AM$3)</f>
        <v>5390</v>
      </c>
      <c r="AO210" s="115">
        <f>+SUMIFS($B210:AG210,$B$4:AG$4,"&lt;="&amp;AO$3,$B$4:AG$4,"&gt;"&amp;AN$3)</f>
        <v>7398.5</v>
      </c>
      <c r="AP210" s="115">
        <f>+SUMIFS($B210:AG210,$B$4:AG$4,"&lt;="&amp;AP$3,$B$4:AG$4,"&gt;"&amp;AO$3)</f>
        <v>7590</v>
      </c>
      <c r="AQ210" s="115">
        <f>+SUMIFS($B210:AG210,$B$4:AG$4,"&lt;="&amp;AQ$3,$B$4:AG$4,"&gt;"&amp;AP$3)</f>
        <v>8860</v>
      </c>
      <c r="AR210" s="115">
        <f>+SUMIFS($B210:AG210,$B$4:AG$4,"&lt;="&amp;AR$3,$B$4:AG$4,"&gt;"&amp;AQ$3)</f>
        <v>9042.5</v>
      </c>
      <c r="AS210" s="115">
        <f>+SUMIFS($B210:$AG210,$B$4:$AG$4,"&lt;="&amp;AS$3,$B$4:$AG$4,"&gt;"&amp;AR$3)</f>
        <v>8817.0135510574382</v>
      </c>
      <c r="AT210" s="115">
        <f t="shared" ref="AT210:BB210" si="806">+AT158+AT160+AT164+AT183</f>
        <v>9996.8640197289442</v>
      </c>
      <c r="AU210" s="115">
        <f t="shared" si="806"/>
        <v>11193.079709938529</v>
      </c>
      <c r="AV210" s="115">
        <f t="shared" si="806"/>
        <v>12218.726136563671</v>
      </c>
      <c r="AW210" s="115">
        <f t="shared" si="806"/>
        <v>13344.005689693917</v>
      </c>
      <c r="AX210" s="115">
        <f t="shared" si="806"/>
        <v>14562.380455906663</v>
      </c>
      <c r="AY210" s="115">
        <f t="shared" si="806"/>
        <v>15667.612095315744</v>
      </c>
      <c r="AZ210" s="115">
        <f t="shared" si="806"/>
        <v>16710.050651445225</v>
      </c>
      <c r="BA210" s="115">
        <f t="shared" si="806"/>
        <v>17829.220412201455</v>
      </c>
      <c r="BB210" s="115">
        <f t="shared" si="806"/>
        <v>19030.376240487662</v>
      </c>
    </row>
    <row r="212" spans="1:54" x14ac:dyDescent="0.25">
      <c r="A212" s="110" t="s">
        <v>140</v>
      </c>
      <c r="B212" s="112">
        <v>-336</v>
      </c>
      <c r="C212" s="112">
        <v>-326</v>
      </c>
      <c r="D212" s="112">
        <v>-404</v>
      </c>
      <c r="E212" s="112">
        <v>-364</v>
      </c>
      <c r="F212" s="112">
        <v>-353</v>
      </c>
      <c r="G212" s="112">
        <v>-305</v>
      </c>
      <c r="H212" s="112">
        <v>-294</v>
      </c>
      <c r="I212" s="112">
        <v>-228</v>
      </c>
      <c r="J212" s="112">
        <v>-305</v>
      </c>
      <c r="K212" s="112">
        <v>-376</v>
      </c>
      <c r="L212" s="112">
        <v>-286</v>
      </c>
      <c r="M212" s="112">
        <v>-239</v>
      </c>
      <c r="N212" s="112">
        <v>-410</v>
      </c>
      <c r="O212" s="112">
        <v>-382</v>
      </c>
      <c r="P212" s="112">
        <v>-388</v>
      </c>
      <c r="Q212" s="112">
        <v>-391</v>
      </c>
      <c r="R212" s="112">
        <f>-482+83</f>
        <v>-399</v>
      </c>
      <c r="S212" s="112">
        <v>-425</v>
      </c>
      <c r="T212" s="112">
        <f>-660+153</f>
        <v>-507</v>
      </c>
      <c r="U212" s="112">
        <v>-587</v>
      </c>
      <c r="V212" s="112">
        <v>-521</v>
      </c>
      <c r="W212" s="112">
        <v>-582</v>
      </c>
      <c r="X212" s="112">
        <v>-590</v>
      </c>
      <c r="Y212" s="112">
        <v>-617</v>
      </c>
      <c r="Z212" s="112">
        <v>-580</v>
      </c>
      <c r="AA212" s="112">
        <v>-609</v>
      </c>
      <c r="AB212" s="112">
        <v>-575</v>
      </c>
      <c r="AC212" s="112">
        <v>-661</v>
      </c>
      <c r="AD212" s="96">
        <f t="shared" ref="AD212:AG212" si="807">+AD213*AD210</f>
        <v>-657.07268928292217</v>
      </c>
      <c r="AE212" s="96">
        <f t="shared" si="807"/>
        <v>-576.87169075240411</v>
      </c>
      <c r="AF212" s="96">
        <f t="shared" si="807"/>
        <v>-596.76542619202758</v>
      </c>
      <c r="AG212" s="96">
        <f t="shared" si="807"/>
        <v>-593.96892031344191</v>
      </c>
      <c r="AH212" s="96"/>
      <c r="AI212" s="96">
        <v>-662.85131260455398</v>
      </c>
      <c r="AJ212" s="486"/>
      <c r="AL212" s="112">
        <f>+SUMIFS($B212:AF212,$B$4:AF$4,"&lt;="&amp;AL$3,$B$4:AF$4,"&gt;"&amp;AK$3)</f>
        <v>0</v>
      </c>
      <c r="AM212" s="112">
        <f>+SUMIFS($B212:AG212,$B$4:AG$4,"&lt;="&amp;AM$3,$B$4:AG$4,"&gt;"&amp;AL$3)</f>
        <v>-1180</v>
      </c>
      <c r="AN212" s="112">
        <f>+SUMIFS($B212:AG212,$B$4:AG$4,"&lt;="&amp;AN$3,$B$4:AG$4,"&gt;"&amp;AM$3)</f>
        <v>-1206</v>
      </c>
      <c r="AO212" s="112">
        <f>+SUMIFS($B212:AG212,$B$4:AG$4,"&lt;="&amp;AO$3,$B$4:AG$4,"&gt;"&amp;AN$3)</f>
        <v>-1571</v>
      </c>
      <c r="AP212" s="112">
        <f>+SUMIFS($B212:AG212,$B$4:AG$4,"&lt;="&amp;AP$3,$B$4:AG$4,"&gt;"&amp;AO$3)</f>
        <v>-1918</v>
      </c>
      <c r="AQ212" s="112">
        <f>+SUMIFS($B212:AG212,$B$4:AG$4,"&lt;="&amp;AQ$3,$B$4:AG$4,"&gt;"&amp;AP$3)</f>
        <v>-2310</v>
      </c>
      <c r="AR212" s="112">
        <f>+SUMIFS($B212:AG212,$B$4:AG$4,"&lt;="&amp;AR$3,$B$4:AG$4,"&gt;"&amp;AQ$3)</f>
        <v>-2425</v>
      </c>
      <c r="AS212" s="112">
        <f>+SUMIFS($B212:$AG212,$B$4:$AG$4,"&lt;="&amp;AS$3,$B$4:$AG$4,"&gt;"&amp;AR$3)</f>
        <v>-2424.6787265407957</v>
      </c>
      <c r="AT212" s="96">
        <f t="shared" ref="AT212:BB212" si="808">+AT213*AT210</f>
        <v>-2749.1376054254597</v>
      </c>
      <c r="AU212" s="96">
        <f t="shared" si="808"/>
        <v>-3078.0969202330957</v>
      </c>
      <c r="AV212" s="96">
        <f t="shared" si="808"/>
        <v>-3360.1496875550097</v>
      </c>
      <c r="AW212" s="96">
        <f t="shared" si="808"/>
        <v>-3669.6015646658275</v>
      </c>
      <c r="AX212" s="96">
        <f t="shared" si="808"/>
        <v>-4004.6546253743327</v>
      </c>
      <c r="AY212" s="96">
        <f t="shared" si="808"/>
        <v>-4308.5933262118297</v>
      </c>
      <c r="AZ212" s="96">
        <f t="shared" si="808"/>
        <v>-4595.263929147437</v>
      </c>
      <c r="BA212" s="96">
        <f t="shared" si="808"/>
        <v>-4903.0356133554005</v>
      </c>
      <c r="BB212" s="96">
        <f t="shared" si="808"/>
        <v>-5233.3534661341073</v>
      </c>
    </row>
    <row r="213" spans="1:54" x14ac:dyDescent="0.25">
      <c r="A213" t="s">
        <v>141</v>
      </c>
      <c r="B213" s="113">
        <f t="shared" ref="B213:W213" si="809">+B212/B210</f>
        <v>-0.25512528473804102</v>
      </c>
      <c r="C213" s="113">
        <f t="shared" si="809"/>
        <v>-0.24980842911877393</v>
      </c>
      <c r="D213" s="113">
        <f t="shared" si="809"/>
        <v>-0.2613195342820181</v>
      </c>
      <c r="E213" s="113">
        <f t="shared" si="809"/>
        <v>-0.2624369142033165</v>
      </c>
      <c r="F213" s="113">
        <f t="shared" si="809"/>
        <v>-0.24946996466431096</v>
      </c>
      <c r="G213" s="113">
        <f t="shared" si="809"/>
        <v>-0.23884103367267032</v>
      </c>
      <c r="H213" s="113">
        <f t="shared" si="809"/>
        <v>-0.2433774834437086</v>
      </c>
      <c r="I213" s="113">
        <f t="shared" si="809"/>
        <v>-0.25909090909090909</v>
      </c>
      <c r="J213" s="113">
        <f t="shared" si="809"/>
        <v>-0.25123558484349257</v>
      </c>
      <c r="K213" s="113">
        <f t="shared" si="809"/>
        <v>-0.24983388704318937</v>
      </c>
      <c r="L213" s="113">
        <f t="shared" si="809"/>
        <v>-0.22067901234567902</v>
      </c>
      <c r="M213" s="113">
        <f t="shared" si="809"/>
        <v>-0.17381818181818182</v>
      </c>
      <c r="N213" s="113">
        <f t="shared" si="809"/>
        <v>-0.23726851851851852</v>
      </c>
      <c r="O213" s="113">
        <f t="shared" si="809"/>
        <v>-0.21472737492973581</v>
      </c>
      <c r="P213" s="113">
        <f t="shared" si="809"/>
        <v>-0.20298195134710961</v>
      </c>
      <c r="Q213" s="113">
        <f t="shared" si="809"/>
        <v>-0.19747474747474747</v>
      </c>
      <c r="R213" s="113">
        <f t="shared" si="809"/>
        <v>-0.25173501577287066</v>
      </c>
      <c r="S213" s="113">
        <f t="shared" si="809"/>
        <v>-0.246234067207416</v>
      </c>
      <c r="T213" s="113">
        <f t="shared" si="809"/>
        <v>-0.24480927088363111</v>
      </c>
      <c r="U213" s="113">
        <f t="shared" si="809"/>
        <v>-0.26585144927536231</v>
      </c>
      <c r="V213" s="113">
        <f t="shared" si="809"/>
        <v>-0.24232558139534885</v>
      </c>
      <c r="W213" s="113">
        <f t="shared" si="809"/>
        <v>-0.26551094890510951</v>
      </c>
      <c r="X213" s="113">
        <f>+X212/X210</f>
        <v>-0.26745240253853125</v>
      </c>
      <c r="Y213" s="113">
        <f>+Y212/Y210</f>
        <v>-0.26686851211072665</v>
      </c>
      <c r="Z213" s="113">
        <f>+Z212/Z210</f>
        <v>-0.26167381006090684</v>
      </c>
      <c r="AA213" s="113">
        <f>+AA212/AA210</f>
        <v>-0.27090747330960852</v>
      </c>
      <c r="AB213" s="113">
        <f>+AB212/AB210</f>
        <v>-0.27315914489311166</v>
      </c>
      <c r="AC213" s="113">
        <f>+AC212/AC210</f>
        <v>-0.26728669632025881</v>
      </c>
      <c r="AD213" s="98">
        <v>-0.27500000000000002</v>
      </c>
      <c r="AE213" s="98">
        <f t="shared" ref="AE213:AG213" si="810">+AD213</f>
        <v>-0.27500000000000002</v>
      </c>
      <c r="AF213" s="98">
        <f t="shared" si="810"/>
        <v>-0.27500000000000002</v>
      </c>
      <c r="AG213" s="98">
        <f t="shared" si="810"/>
        <v>-0.27500000000000002</v>
      </c>
      <c r="AH213" s="98"/>
      <c r="AI213" s="98">
        <v>-0.27315914489311166</v>
      </c>
      <c r="AJ213" s="98"/>
      <c r="AL213" s="113" t="e">
        <f t="shared" ref="AL213:AS213" si="811">+AL212/AL210</f>
        <v>#DIV/0!</v>
      </c>
      <c r="AM213" s="113">
        <f t="shared" si="811"/>
        <v>-0.24686192468619247</v>
      </c>
      <c r="AN213" s="113">
        <f t="shared" si="811"/>
        <v>-0.22374768089053804</v>
      </c>
      <c r="AO213" s="113">
        <f t="shared" si="811"/>
        <v>-0.2123403392579577</v>
      </c>
      <c r="AP213" s="113">
        <f t="shared" si="811"/>
        <v>-0.25270092226613966</v>
      </c>
      <c r="AQ213" s="113">
        <f t="shared" si="811"/>
        <v>-0.26072234762979685</v>
      </c>
      <c r="AR213" s="113">
        <f t="shared" si="811"/>
        <v>-0.26817804810616536</v>
      </c>
      <c r="AS213" s="113">
        <f t="shared" si="811"/>
        <v>-0.27500000000000002</v>
      </c>
      <c r="AT213" s="98">
        <f t="shared" ref="AT213" si="812">+AS213</f>
        <v>-0.27500000000000002</v>
      </c>
      <c r="AU213" s="98">
        <f t="shared" ref="AU213" si="813">+AT213</f>
        <v>-0.27500000000000002</v>
      </c>
      <c r="AV213" s="98">
        <f t="shared" ref="AV213" si="814">+AU213</f>
        <v>-0.27500000000000002</v>
      </c>
      <c r="AW213" s="98">
        <f t="shared" ref="AW213" si="815">+AV213</f>
        <v>-0.27500000000000002</v>
      </c>
      <c r="AX213" s="98">
        <f t="shared" ref="AX213" si="816">+AW213</f>
        <v>-0.27500000000000002</v>
      </c>
      <c r="AY213" s="98">
        <f t="shared" ref="AY213" si="817">+AX213</f>
        <v>-0.27500000000000002</v>
      </c>
      <c r="AZ213" s="98">
        <f t="shared" ref="AZ213" si="818">+AY213</f>
        <v>-0.27500000000000002</v>
      </c>
      <c r="BA213" s="98">
        <f t="shared" ref="BA213" si="819">+AZ213</f>
        <v>-0.27500000000000002</v>
      </c>
      <c r="BB213" s="98">
        <f t="shared" ref="BB213" si="820">+BA213</f>
        <v>-0.27500000000000002</v>
      </c>
    </row>
    <row r="214" spans="1:54" x14ac:dyDescent="0.25">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L214" s="113"/>
      <c r="AM214" s="113"/>
      <c r="AN214" s="113"/>
      <c r="AO214" s="113"/>
      <c r="AP214" s="113"/>
      <c r="AQ214" s="113"/>
      <c r="AR214" s="113"/>
      <c r="AS214" s="113"/>
    </row>
    <row r="215" spans="1:54" x14ac:dyDescent="0.25">
      <c r="A215" t="s">
        <v>142</v>
      </c>
      <c r="B215" s="112">
        <v>-1</v>
      </c>
      <c r="C215" s="112">
        <v>10</v>
      </c>
      <c r="D215" s="112">
        <v>2</v>
      </c>
      <c r="E215" s="112">
        <v>0</v>
      </c>
      <c r="F215" s="112">
        <v>2</v>
      </c>
      <c r="G215" s="112">
        <v>2</v>
      </c>
      <c r="H215" s="112">
        <v>18</v>
      </c>
      <c r="I215" s="112">
        <v>-3</v>
      </c>
      <c r="J215" s="112">
        <v>11</v>
      </c>
      <c r="K215" s="112">
        <v>3</v>
      </c>
      <c r="L215" s="112">
        <v>1</v>
      </c>
      <c r="M215" s="112">
        <v>3</v>
      </c>
      <c r="N215" s="112">
        <v>2</v>
      </c>
      <c r="O215" s="112">
        <v>-1</v>
      </c>
      <c r="P215" s="112">
        <v>-4</v>
      </c>
      <c r="Q215" s="112">
        <v>-4</v>
      </c>
      <c r="R215" s="112">
        <v>1</v>
      </c>
      <c r="S215" s="112">
        <v>0</v>
      </c>
      <c r="T215" s="112">
        <v>-1</v>
      </c>
      <c r="U215" s="112">
        <v>1</v>
      </c>
      <c r="V215" s="112">
        <v>-14</v>
      </c>
      <c r="W215" s="112">
        <v>-1</v>
      </c>
      <c r="X215" s="112">
        <v>-13</v>
      </c>
      <c r="Y215" s="112">
        <v>-3</v>
      </c>
      <c r="Z215" s="112">
        <v>-5</v>
      </c>
      <c r="AA215" s="112">
        <v>0</v>
      </c>
      <c r="AB215" s="112">
        <v>0</v>
      </c>
      <c r="AC215" s="112">
        <v>5</v>
      </c>
      <c r="AD215" s="97">
        <v>0</v>
      </c>
      <c r="AE215" s="97">
        <v>0</v>
      </c>
      <c r="AF215" s="97">
        <v>0</v>
      </c>
      <c r="AG215" s="97">
        <v>0</v>
      </c>
      <c r="AH215" s="97"/>
      <c r="AI215" s="97">
        <v>0</v>
      </c>
      <c r="AJ215" s="97"/>
      <c r="AL215" s="114">
        <f>+SUMIFS($B215:AF215,$B$4:AF$4,"&lt;="&amp;AL$3,$B$4:AF$4,"&gt;"&amp;AK$3)</f>
        <v>0</v>
      </c>
      <c r="AM215" s="114">
        <f>+SUMIFS($B215:AG215,$B$4:AG$4,"&lt;="&amp;AM$3,$B$4:AG$4,"&gt;"&amp;AL$3)</f>
        <v>19</v>
      </c>
      <c r="AN215" s="114">
        <f>+SUMIFS($B215:AG215,$B$4:AG$4,"&lt;="&amp;AN$3,$B$4:AG$4,"&gt;"&amp;AM$3)</f>
        <v>18</v>
      </c>
      <c r="AO215" s="114">
        <f>+SUMIFS($B215:AG215,$B$4:AG$4,"&lt;="&amp;AO$3,$B$4:AG$4,"&gt;"&amp;AN$3)</f>
        <v>-7</v>
      </c>
      <c r="AP215" s="114">
        <f>+SUMIFS($B215:AG215,$B$4:AG$4,"&lt;="&amp;AP$3,$B$4:AG$4,"&gt;"&amp;AO$3)</f>
        <v>1</v>
      </c>
      <c r="AQ215" s="114">
        <f>+SUMIFS($B215:AG215,$B$4:AG$4,"&lt;="&amp;AQ$3,$B$4:AG$4,"&gt;"&amp;AP$3)</f>
        <v>-31</v>
      </c>
      <c r="AR215" s="114">
        <f>+SUMIFS($B215:AG215,$B$4:AG$4,"&lt;="&amp;AR$3,$B$4:AG$4,"&gt;"&amp;AQ$3)</f>
        <v>0</v>
      </c>
      <c r="AS215" s="114">
        <f>+SUMIFS($B215:$AG215,$B$4:$AG$4,"&lt;="&amp;AS$3,$B$4:$AG$4,"&gt;"&amp;AR$3)</f>
        <v>0</v>
      </c>
      <c r="AT215" s="97">
        <v>0</v>
      </c>
      <c r="AU215" s="97">
        <v>0</v>
      </c>
      <c r="AV215" s="97">
        <v>0</v>
      </c>
      <c r="AW215" s="97">
        <v>0</v>
      </c>
      <c r="AX215" s="97">
        <v>0</v>
      </c>
      <c r="AY215" s="97">
        <v>0</v>
      </c>
      <c r="AZ215" s="97">
        <v>0</v>
      </c>
      <c r="BA215" s="97">
        <v>0</v>
      </c>
      <c r="BB215" s="97">
        <v>0</v>
      </c>
    </row>
    <row r="217" spans="1:54" s="116" customFormat="1" x14ac:dyDescent="0.25">
      <c r="A217" s="18" t="s">
        <v>143</v>
      </c>
      <c r="B217" s="118">
        <f>+B210+B212+B215</f>
        <v>980</v>
      </c>
      <c r="C217" s="118">
        <f t="shared" ref="C217:AG217" si="821">+C210+C212+C215</f>
        <v>989</v>
      </c>
      <c r="D217" s="118">
        <f t="shared" si="821"/>
        <v>1144</v>
      </c>
      <c r="E217" s="118">
        <f t="shared" si="821"/>
        <v>1023</v>
      </c>
      <c r="F217" s="118">
        <f t="shared" si="821"/>
        <v>1064</v>
      </c>
      <c r="G217" s="118">
        <f t="shared" si="821"/>
        <v>974</v>
      </c>
      <c r="H217" s="118">
        <f t="shared" si="821"/>
        <v>932</v>
      </c>
      <c r="I217" s="118">
        <f t="shared" si="821"/>
        <v>649</v>
      </c>
      <c r="J217" s="118">
        <f t="shared" si="821"/>
        <v>920</v>
      </c>
      <c r="K217" s="118">
        <f t="shared" si="821"/>
        <v>1132</v>
      </c>
      <c r="L217" s="118">
        <f t="shared" si="821"/>
        <v>1011</v>
      </c>
      <c r="M217" s="118">
        <f t="shared" si="821"/>
        <v>1139</v>
      </c>
      <c r="N217" s="118">
        <f t="shared" si="821"/>
        <v>1320</v>
      </c>
      <c r="O217" s="118">
        <f t="shared" si="821"/>
        <v>1396</v>
      </c>
      <c r="P217" s="118">
        <f t="shared" si="821"/>
        <v>1519.5</v>
      </c>
      <c r="Q217" s="118">
        <f t="shared" si="821"/>
        <v>1585</v>
      </c>
      <c r="R217" s="118">
        <f t="shared" si="821"/>
        <v>1187</v>
      </c>
      <c r="S217" s="118">
        <f t="shared" si="821"/>
        <v>1301</v>
      </c>
      <c r="T217" s="118">
        <f t="shared" si="821"/>
        <v>1563</v>
      </c>
      <c r="U217" s="118">
        <f t="shared" si="821"/>
        <v>1622</v>
      </c>
      <c r="V217" s="118">
        <f t="shared" si="821"/>
        <v>1615</v>
      </c>
      <c r="W217" s="118">
        <f t="shared" si="821"/>
        <v>1609</v>
      </c>
      <c r="X217" s="118">
        <f t="shared" si="821"/>
        <v>1603</v>
      </c>
      <c r="Y217" s="118">
        <f t="shared" si="821"/>
        <v>1692</v>
      </c>
      <c r="Z217" s="118">
        <f t="shared" si="821"/>
        <v>1631.5</v>
      </c>
      <c r="AA217" s="118">
        <f>+AA210+AA212+AA215</f>
        <v>1639</v>
      </c>
      <c r="AB217" s="118">
        <f>+AB210+AB212+AB215</f>
        <v>1530</v>
      </c>
      <c r="AC217" s="118">
        <f>+AC210+AC212+AC215</f>
        <v>1817</v>
      </c>
      <c r="AD217" s="493">
        <f t="shared" si="821"/>
        <v>1732.2825444731584</v>
      </c>
      <c r="AE217" s="493">
        <f t="shared" si="821"/>
        <v>1520.8435483472472</v>
      </c>
      <c r="AF217" s="493">
        <f t="shared" si="821"/>
        <v>1573.2906690517088</v>
      </c>
      <c r="AG217" s="493">
        <f t="shared" si="821"/>
        <v>1565.9180626445284</v>
      </c>
      <c r="AH217" s="439"/>
      <c r="AI217" s="118">
        <v>1763.7608839738564</v>
      </c>
      <c r="AJ217" s="486">
        <f>+AB217/AI217-1</f>
        <v>-0.13253547354286455</v>
      </c>
      <c r="AL217" s="118">
        <f>+SUMIFS($B217:AF217,$B$4:AF$4,"&lt;="&amp;AL$3,$B$4:AF$4,"&gt;"&amp;AK$3)</f>
        <v>0</v>
      </c>
      <c r="AM217" s="118">
        <f>+SUMIFS($B217:AG217,$B$4:AG$4,"&lt;="&amp;AM$3,$B$4:AG$4,"&gt;"&amp;AL$3)</f>
        <v>3619</v>
      </c>
      <c r="AN217" s="118">
        <f>+SUMIFS($B217:AG217,$B$4:AG$4,"&lt;="&amp;AN$3,$B$4:AG$4,"&gt;"&amp;AM$3)</f>
        <v>4202</v>
      </c>
      <c r="AO217" s="118">
        <f>+SUMIFS($B217:AG217,$B$4:AG$4,"&lt;="&amp;AO$3,$B$4:AG$4,"&gt;"&amp;AN$3)</f>
        <v>5820.5</v>
      </c>
      <c r="AP217" s="118">
        <f>+SUMIFS($B217:AG217,$B$4:AG$4,"&lt;="&amp;AP$3,$B$4:AG$4,"&gt;"&amp;AO$3)</f>
        <v>5673</v>
      </c>
      <c r="AQ217" s="118">
        <f>+SUMIFS($B217:AG217,$B$4:AG$4,"&lt;="&amp;AQ$3,$B$4:AG$4,"&gt;"&amp;AP$3)</f>
        <v>6519</v>
      </c>
      <c r="AR217" s="118">
        <f>+SUMIFS($B217:AG217,$B$4:AG$4,"&lt;="&amp;AR$3,$B$4:AG$4,"&gt;"&amp;AQ$3)</f>
        <v>6617.5</v>
      </c>
      <c r="AS217" s="118">
        <f>+SUMIFS($B217:$AG217,$B$4:$AG$4,"&lt;="&amp;AS$3,$B$4:$AG$4,"&gt;"&amp;AR$3)</f>
        <v>6392.3348245166435</v>
      </c>
      <c r="AT217" s="118">
        <f t="shared" ref="AT217:BB217" si="822">+AT210+AT212+AT215</f>
        <v>7247.7264143034845</v>
      </c>
      <c r="AU217" s="118">
        <f t="shared" si="822"/>
        <v>8114.9827897054329</v>
      </c>
      <c r="AV217" s="118">
        <f t="shared" si="822"/>
        <v>8858.5764490086622</v>
      </c>
      <c r="AW217" s="118">
        <f t="shared" si="822"/>
        <v>9674.4041250280898</v>
      </c>
      <c r="AX217" s="118">
        <f t="shared" si="822"/>
        <v>10557.72583053233</v>
      </c>
      <c r="AY217" s="118">
        <f t="shared" si="822"/>
        <v>11359.018769103914</v>
      </c>
      <c r="AZ217" s="118">
        <f t="shared" si="822"/>
        <v>12114.786722297787</v>
      </c>
      <c r="BA217" s="118">
        <f t="shared" si="822"/>
        <v>12926.184798846054</v>
      </c>
      <c r="BB217" s="118">
        <f t="shared" si="822"/>
        <v>13797.022774353554</v>
      </c>
    </row>
    <row r="218" spans="1:54" s="42" customFormat="1" x14ac:dyDescent="0.25">
      <c r="A218" s="2" t="s">
        <v>2</v>
      </c>
      <c r="B218" s="39"/>
      <c r="C218" s="39"/>
      <c r="D218" s="39"/>
      <c r="E218" s="39"/>
      <c r="F218" s="365">
        <f>+F217/B217-1</f>
        <v>8.5714285714285632E-2</v>
      </c>
      <c r="G218" s="365">
        <f t="shared" ref="G218" si="823">+G217/C217-1</f>
        <v>-1.5166835187057637E-2</v>
      </c>
      <c r="H218" s="365">
        <f t="shared" ref="H218" si="824">+H217/D217-1</f>
        <v>-0.18531468531468531</v>
      </c>
      <c r="I218" s="365">
        <f t="shared" ref="I218" si="825">+I217/E217-1</f>
        <v>-0.36559139784946237</v>
      </c>
      <c r="J218" s="365">
        <f t="shared" ref="J218" si="826">+J217/F217-1</f>
        <v>-0.13533834586466165</v>
      </c>
      <c r="K218" s="365">
        <f t="shared" ref="K218" si="827">+K217/G217-1</f>
        <v>0.16221765913757702</v>
      </c>
      <c r="L218" s="365">
        <f t="shared" ref="L218" si="828">+L217/H217-1</f>
        <v>8.476394849785418E-2</v>
      </c>
      <c r="M218" s="365">
        <f t="shared" ref="M218" si="829">+M217/I217-1</f>
        <v>0.75500770416024654</v>
      </c>
      <c r="N218" s="365">
        <f t="shared" ref="N218" si="830">+N217/J217-1</f>
        <v>0.43478260869565211</v>
      </c>
      <c r="O218" s="365">
        <f t="shared" ref="O218" si="831">+O217/K217-1</f>
        <v>0.23321554770318031</v>
      </c>
      <c r="P218" s="365">
        <f t="shared" ref="P218" si="832">+P217/L217-1</f>
        <v>0.5029673590504451</v>
      </c>
      <c r="Q218" s="365">
        <f t="shared" ref="Q218" si="833">+Q217/M217-1</f>
        <v>0.3915715539947322</v>
      </c>
      <c r="R218" s="365">
        <f t="shared" ref="R218" si="834">+R217/N217-1</f>
        <v>-0.10075757575757571</v>
      </c>
      <c r="S218" s="365">
        <f t="shared" ref="S218" si="835">+S217/O217-1</f>
        <v>-6.8051575931232122E-2</v>
      </c>
      <c r="T218" s="365">
        <f t="shared" ref="T218" si="836">+T217/P217-1</f>
        <v>2.8627838104639647E-2</v>
      </c>
      <c r="U218" s="365">
        <f t="shared" ref="U218" si="837">+U217/Q217-1</f>
        <v>2.3343848580441584E-2</v>
      </c>
      <c r="V218" s="365">
        <f t="shared" ref="V218" si="838">+V217/R217-1</f>
        <v>0.36057287278854244</v>
      </c>
      <c r="W218" s="365">
        <f t="shared" ref="W218" si="839">+W217/S217-1</f>
        <v>0.23674096848578019</v>
      </c>
      <c r="X218" s="365">
        <f t="shared" ref="X218" si="840">+X217/T217-1</f>
        <v>2.5591810620601452E-2</v>
      </c>
      <c r="Y218" s="365">
        <f t="shared" ref="Y218" si="841">+Y217/U217-1</f>
        <v>4.3156596794081459E-2</v>
      </c>
      <c r="Z218" s="365">
        <f t="shared" ref="Z218" si="842">+Z217/V217-1</f>
        <v>1.021671826625381E-2</v>
      </c>
      <c r="AA218" s="365">
        <f>+AA217/W217-1</f>
        <v>1.864512119328765E-2</v>
      </c>
      <c r="AB218" s="365">
        <f>+AB217/X217-1</f>
        <v>-4.5539613225202724E-2</v>
      </c>
      <c r="AC218" s="365">
        <f>+AC217/Y217-1</f>
        <v>7.3877068557919534E-2</v>
      </c>
      <c r="AD218" s="365">
        <f t="shared" ref="AD218" si="843">+AD217/Z217-1</f>
        <v>6.177293562559516E-2</v>
      </c>
      <c r="AE218" s="365">
        <f t="shared" ref="AE218" si="844">+AE217/AA217-1</f>
        <v>-7.2090574528830276E-2</v>
      </c>
      <c r="AF218" s="365">
        <f t="shared" ref="AF218" si="845">+AF217/AB217-1</f>
        <v>2.8294554935757388E-2</v>
      </c>
      <c r="AG218" s="365">
        <f t="shared" ref="AG218" si="846">+AG217/AC217-1</f>
        <v>-0.13818488572122822</v>
      </c>
      <c r="AH218" s="414"/>
      <c r="AI218" s="365">
        <v>4.2411869960907955E-2</v>
      </c>
      <c r="AJ218" s="414"/>
      <c r="AK218" s="39"/>
      <c r="AL218" s="39"/>
      <c r="AM218" s="365" t="e">
        <f>+AM217/AL217-1</f>
        <v>#DIV/0!</v>
      </c>
      <c r="AN218" s="365">
        <f t="shared" ref="AN218" si="847">+AN217/AM217-1</f>
        <v>0.16109422492401215</v>
      </c>
      <c r="AO218" s="365">
        <f t="shared" ref="AO218" si="848">+AO217/AN217-1</f>
        <v>0.38517372679676343</v>
      </c>
      <c r="AP218" s="365">
        <f t="shared" ref="AP218" si="849">+AP217/AO217-1</f>
        <v>-2.5341465509835959E-2</v>
      </c>
      <c r="AQ218" s="365">
        <f t="shared" ref="AQ218" si="850">+AQ217/AP217-1</f>
        <v>0.14912744579587511</v>
      </c>
      <c r="AR218" s="365">
        <f t="shared" ref="AR218" si="851">+AR217/AQ217-1</f>
        <v>1.5109679398680687E-2</v>
      </c>
      <c r="AS218" s="365">
        <f t="shared" ref="AS218" si="852">+AS217/AR217-1</f>
        <v>-3.4025715977840099E-2</v>
      </c>
      <c r="AT218" s="365">
        <f t="shared" ref="AT218" si="853">+AT217/AS217-1</f>
        <v>0.13381520418895154</v>
      </c>
      <c r="AU218" s="365">
        <f t="shared" ref="AU218" si="854">+AU217/AT217-1</f>
        <v>0.11965909387672347</v>
      </c>
      <c r="AV218" s="365">
        <f t="shared" ref="AV218" si="855">+AV217/AU217-1</f>
        <v>9.1632191783147521E-2</v>
      </c>
      <c r="AW218" s="365">
        <f t="shared" ref="AW218" si="856">+AW217/AV217-1</f>
        <v>9.2094670144289958E-2</v>
      </c>
      <c r="AX218" s="365">
        <f t="shared" ref="AX218" si="857">+AX217/AW217-1</f>
        <v>9.1305024484045427E-2</v>
      </c>
      <c r="AY218" s="365">
        <f t="shared" ref="AY218" si="858">+AY217/AX217-1</f>
        <v>7.5896357931013014E-2</v>
      </c>
      <c r="AZ218" s="365">
        <f t="shared" ref="AZ218" si="859">+AZ217/AY217-1</f>
        <v>6.6534616110463185E-2</v>
      </c>
      <c r="BA218" s="365">
        <f t="shared" ref="BA218" si="860">+BA217/AZ217-1</f>
        <v>6.6975844903224946E-2</v>
      </c>
      <c r="BB218" s="365">
        <f t="shared" ref="BB218" si="861">+BB217/BA217-1</f>
        <v>6.7370070060056797E-2</v>
      </c>
    </row>
    <row r="219" spans="1:54" x14ac:dyDescent="0.25">
      <c r="R219" s="22" t="s">
        <v>123</v>
      </c>
      <c r="S219" s="22" t="s">
        <v>123</v>
      </c>
      <c r="T219" s="22" t="s">
        <v>123</v>
      </c>
      <c r="U219" s="22" t="s">
        <v>123</v>
      </c>
      <c r="V219" s="22" t="s">
        <v>123</v>
      </c>
      <c r="W219" s="22" t="s">
        <v>123</v>
      </c>
      <c r="X219" s="22" t="s">
        <v>123</v>
      </c>
      <c r="Y219" s="22" t="s">
        <v>123</v>
      </c>
      <c r="Z219" s="22" t="s">
        <v>123</v>
      </c>
      <c r="AA219" s="22" t="s">
        <v>123</v>
      </c>
      <c r="AB219" s="22" t="s">
        <v>123</v>
      </c>
      <c r="AC219" s="22" t="s">
        <v>123</v>
      </c>
    </row>
    <row r="220" spans="1:54" s="130" customFormat="1" ht="15.75" thickBot="1" x14ac:dyDescent="0.3">
      <c r="A220" s="129"/>
    </row>
    <row r="223" spans="1:54" s="50" customFormat="1" x14ac:dyDescent="0.25">
      <c r="A223" s="127" t="s">
        <v>144</v>
      </c>
      <c r="B223" s="128">
        <f t="shared" ref="B223:X223" si="862">SUM(B224:B230)</f>
        <v>175</v>
      </c>
      <c r="C223" s="128">
        <f t="shared" si="862"/>
        <v>217</v>
      </c>
      <c r="D223" s="128">
        <f t="shared" si="862"/>
        <v>226</v>
      </c>
      <c r="E223" s="128">
        <f t="shared" si="862"/>
        <v>236</v>
      </c>
      <c r="F223" s="128">
        <f t="shared" si="862"/>
        <v>229</v>
      </c>
      <c r="G223" s="128">
        <f t="shared" si="862"/>
        <v>209</v>
      </c>
      <c r="H223" s="128">
        <f t="shared" si="862"/>
        <v>255</v>
      </c>
      <c r="I223" s="128">
        <f t="shared" si="862"/>
        <v>257</v>
      </c>
      <c r="J223" s="128">
        <f t="shared" si="862"/>
        <v>251</v>
      </c>
      <c r="K223" s="128">
        <f t="shared" si="862"/>
        <v>266</v>
      </c>
      <c r="L223" s="128">
        <f t="shared" si="862"/>
        <v>267</v>
      </c>
      <c r="M223" s="128">
        <f t="shared" si="862"/>
        <v>309</v>
      </c>
      <c r="N223" s="128">
        <f t="shared" si="862"/>
        <v>330</v>
      </c>
      <c r="O223" s="128">
        <f t="shared" si="862"/>
        <v>373</v>
      </c>
      <c r="P223" s="128">
        <f t="shared" si="862"/>
        <v>380</v>
      </c>
      <c r="Q223" s="128">
        <f t="shared" si="862"/>
        <v>423</v>
      </c>
      <c r="R223" s="128">
        <f t="shared" si="862"/>
        <v>415</v>
      </c>
      <c r="S223" s="128">
        <f t="shared" si="862"/>
        <v>475</v>
      </c>
      <c r="T223" s="128">
        <f t="shared" si="862"/>
        <v>437</v>
      </c>
      <c r="U223" s="128">
        <f t="shared" si="862"/>
        <v>478</v>
      </c>
      <c r="V223" s="128">
        <f t="shared" si="862"/>
        <v>470</v>
      </c>
      <c r="W223" s="128">
        <f t="shared" si="862"/>
        <v>501</v>
      </c>
      <c r="X223" s="128">
        <f t="shared" si="862"/>
        <v>503</v>
      </c>
      <c r="Y223" s="128">
        <f t="shared" ref="Y223:AC223" si="863">SUM(Y224:Y230)</f>
        <v>563</v>
      </c>
      <c r="Z223" s="128">
        <f t="shared" si="863"/>
        <v>533</v>
      </c>
      <c r="AA223" s="128">
        <f t="shared" si="863"/>
        <v>549</v>
      </c>
      <c r="AB223" s="128">
        <f t="shared" si="863"/>
        <v>581</v>
      </c>
      <c r="AC223" s="128">
        <f t="shared" si="863"/>
        <v>629</v>
      </c>
      <c r="AD223" s="466">
        <f t="shared" ref="AD223:AG223" si="864">+AD237</f>
        <v>610.43041732361485</v>
      </c>
      <c r="AE223" s="466">
        <f t="shared" si="864"/>
        <v>616.53567889518058</v>
      </c>
      <c r="AF223" s="466">
        <f t="shared" si="864"/>
        <v>666.20557271882581</v>
      </c>
      <c r="AG223" s="466">
        <f t="shared" si="864"/>
        <v>620.54334067297077</v>
      </c>
      <c r="AH223" s="22"/>
      <c r="AI223" s="466">
        <v>563.51426628635261</v>
      </c>
      <c r="AJ223" s="22"/>
      <c r="AL223" s="128">
        <f>+SUMIFS($B223:AF223,$B$4:AF$4,"&lt;="&amp;AL$3,$B$4:AF$4,"&gt;"&amp;AK$3)</f>
        <v>0</v>
      </c>
      <c r="AM223" s="128">
        <f>+SUMIFS($B223:AG223,$B$4:AG$4,"&lt;="&amp;AM$3,$B$4:AG$4,"&gt;"&amp;AL$3)</f>
        <v>950</v>
      </c>
      <c r="AN223" s="128">
        <f>+SUMIFS($B223:AG223,$B$4:AG$4,"&lt;="&amp;AN$3,$B$4:AG$4,"&gt;"&amp;AM$3)</f>
        <v>1093</v>
      </c>
      <c r="AO223" s="128">
        <f>+SUMIFS($B223:AG223,$B$4:AG$4,"&lt;="&amp;AO$3,$B$4:AG$4,"&gt;"&amp;AN$3)</f>
        <v>1506</v>
      </c>
      <c r="AP223" s="128">
        <f>+SUMIFS($B223:AG223,$B$4:AG$4,"&lt;="&amp;AP$3,$B$4:AG$4,"&gt;"&amp;AO$3)</f>
        <v>1805</v>
      </c>
      <c r="AQ223" s="128">
        <f>+SUMIFS($B223:AG223,$B$4:AG$4,"&lt;="&amp;AQ$3,$B$4:AG$4,"&gt;"&amp;AP$3)</f>
        <v>2037</v>
      </c>
      <c r="AR223" s="128">
        <f>+SUMIFS($B223:AH223,$B$4:AH$4,"&lt;="&amp;AR$3,$B$4:AH$4,"&gt;"&amp;AQ$3)</f>
        <v>2292</v>
      </c>
      <c r="AS223" s="128">
        <f>+SUMIFS($B223:AI223,$B$4:AI$4,"&lt;="&amp;AS$3,$B$4:AI$4,"&gt;"&amp;AR$3)</f>
        <v>2513.715009610592</v>
      </c>
    </row>
    <row r="224" spans="1:54" x14ac:dyDescent="0.25">
      <c r="A224" s="109" t="s">
        <v>145</v>
      </c>
      <c r="B224" s="100">
        <v>65</v>
      </c>
      <c r="C224" s="100">
        <v>72</v>
      </c>
      <c r="D224" s="100">
        <v>79</v>
      </c>
      <c r="E224" s="100">
        <v>80</v>
      </c>
      <c r="F224" s="100">
        <v>81</v>
      </c>
      <c r="G224" s="101">
        <v>51</v>
      </c>
      <c r="H224" s="101">
        <v>88</v>
      </c>
      <c r="I224" s="101">
        <v>100</v>
      </c>
      <c r="J224" s="101">
        <v>89</v>
      </c>
      <c r="K224" s="101">
        <v>93</v>
      </c>
      <c r="L224" s="101">
        <v>87</v>
      </c>
      <c r="M224" s="101">
        <v>107</v>
      </c>
      <c r="N224" s="103">
        <v>128</v>
      </c>
      <c r="O224" s="103">
        <v>154</v>
      </c>
      <c r="P224" s="103">
        <v>148</v>
      </c>
      <c r="Q224" s="103">
        <v>167</v>
      </c>
      <c r="R224" s="103">
        <v>169</v>
      </c>
      <c r="S224" s="103">
        <v>181</v>
      </c>
      <c r="T224" s="103">
        <v>212</v>
      </c>
      <c r="U224" s="103">
        <v>201</v>
      </c>
      <c r="V224" s="103">
        <v>208</v>
      </c>
      <c r="W224" s="103">
        <v>229</v>
      </c>
      <c r="X224" s="103">
        <v>207</v>
      </c>
      <c r="Y224" s="103">
        <v>257</v>
      </c>
      <c r="Z224" s="103">
        <v>257</v>
      </c>
      <c r="AA224" s="103">
        <v>272</v>
      </c>
      <c r="AB224" s="103">
        <v>278</v>
      </c>
      <c r="AC224" s="103">
        <v>301</v>
      </c>
      <c r="AL224" s="103">
        <f>+SUMIFS($B224:AF224,$B$4:AF$4,"&lt;="&amp;AL$3,$B$4:AF$4,"&gt;"&amp;AK$3)</f>
        <v>0</v>
      </c>
      <c r="AM224" s="103">
        <f>+SUMIFS($B224:AG224,$B$4:AG$4,"&lt;="&amp;AM$3,$B$4:AG$4,"&gt;"&amp;AL$3)</f>
        <v>320</v>
      </c>
      <c r="AN224" s="103">
        <f>+SUMIFS($B224:AG224,$B$4:AG$4,"&lt;="&amp;AN$3,$B$4:AG$4,"&gt;"&amp;AM$3)</f>
        <v>376</v>
      </c>
      <c r="AO224" s="103">
        <f>+SUMIFS($B224:AG224,$B$4:AG$4,"&lt;="&amp;AO$3,$B$4:AG$4,"&gt;"&amp;AN$3)</f>
        <v>597</v>
      </c>
      <c r="AP224" s="103">
        <f>+SUMIFS($B224:AG224,$B$4:AG$4,"&lt;="&amp;AP$3,$B$4:AG$4,"&gt;"&amp;AO$3)</f>
        <v>763</v>
      </c>
      <c r="AQ224" s="103">
        <f>+SUMIFS($B224:AG224,$B$4:AG$4,"&lt;="&amp;AQ$3,$B$4:AG$4,"&gt;"&amp;AP$3)</f>
        <v>901</v>
      </c>
      <c r="AR224" s="103">
        <f>+SUMIFS($B224:AG224,$B$4:AG$4,"&lt;="&amp;AR$3,$B$4:AG$4,"&gt;"&amp;AQ$3)</f>
        <v>1108</v>
      </c>
      <c r="AS224" s="103">
        <f t="shared" ref="AS224:AS230" si="865">+SUMIFS($B224:$AG224,$B$4:$AG$4,"&lt;="&amp;AS$3,$B$4:$AG$4,"&gt;"&amp;AR$3)</f>
        <v>0</v>
      </c>
    </row>
    <row r="225" spans="1:54" x14ac:dyDescent="0.25">
      <c r="A225" s="109" t="s">
        <v>146</v>
      </c>
      <c r="B225" s="100">
        <v>0</v>
      </c>
      <c r="C225" s="100"/>
      <c r="D225" s="100"/>
      <c r="E225" s="100"/>
      <c r="F225" s="100">
        <v>0</v>
      </c>
      <c r="G225" s="100">
        <v>0</v>
      </c>
      <c r="H225" s="100">
        <v>0</v>
      </c>
      <c r="I225" s="100">
        <v>0</v>
      </c>
      <c r="J225" s="100">
        <v>0</v>
      </c>
      <c r="K225" s="100">
        <v>0</v>
      </c>
      <c r="L225" s="100">
        <v>0</v>
      </c>
      <c r="M225" s="100">
        <v>0</v>
      </c>
      <c r="N225" s="100">
        <v>0</v>
      </c>
      <c r="O225" s="100">
        <v>0</v>
      </c>
      <c r="P225" s="100">
        <v>0</v>
      </c>
      <c r="Q225" s="100">
        <v>0</v>
      </c>
      <c r="R225" s="100">
        <v>0</v>
      </c>
      <c r="S225" s="100">
        <v>0</v>
      </c>
      <c r="T225" s="100">
        <v>0</v>
      </c>
      <c r="U225" s="100">
        <v>0</v>
      </c>
      <c r="V225" s="100">
        <v>0</v>
      </c>
      <c r="W225" s="100">
        <v>0</v>
      </c>
      <c r="X225" s="100">
        <v>0</v>
      </c>
      <c r="Y225" s="100">
        <v>0</v>
      </c>
      <c r="Z225" s="100">
        <v>0</v>
      </c>
      <c r="AA225" s="100">
        <v>0</v>
      </c>
      <c r="AB225" s="100">
        <v>0</v>
      </c>
      <c r="AC225" s="100">
        <v>0</v>
      </c>
      <c r="AL225" s="100">
        <f>+SUMIFS($B225:AF225,$B$4:AF$4,"&lt;="&amp;AL$3,$B$4:AF$4,"&gt;"&amp;AK$3)</f>
        <v>0</v>
      </c>
      <c r="AM225" s="100">
        <f>+SUMIFS($B225:AG225,$B$4:AG$4,"&lt;="&amp;AM$3,$B$4:AG$4,"&gt;"&amp;AL$3)</f>
        <v>0</v>
      </c>
      <c r="AN225" s="100">
        <f>+SUMIFS($B225:AG225,$B$4:AG$4,"&lt;="&amp;AN$3,$B$4:AG$4,"&gt;"&amp;AM$3)</f>
        <v>0</v>
      </c>
      <c r="AO225" s="100">
        <f>+SUMIFS($B225:AG225,$B$4:AG$4,"&lt;="&amp;AO$3,$B$4:AG$4,"&gt;"&amp;AN$3)</f>
        <v>0</v>
      </c>
      <c r="AP225" s="100">
        <f>+SUMIFS($B225:AG225,$B$4:AG$4,"&lt;="&amp;AP$3,$B$4:AG$4,"&gt;"&amp;AO$3)</f>
        <v>0</v>
      </c>
      <c r="AQ225" s="100">
        <f>+SUMIFS($B225:AG225,$B$4:AG$4,"&lt;="&amp;AQ$3,$B$4:AG$4,"&gt;"&amp;AP$3)</f>
        <v>0</v>
      </c>
      <c r="AR225" s="100">
        <f>+SUMIFS($B225:AG225,$B$4:AG$4,"&lt;="&amp;AR$3,$B$4:AG$4,"&gt;"&amp;AQ$3)</f>
        <v>0</v>
      </c>
      <c r="AS225" s="100">
        <f t="shared" si="865"/>
        <v>0</v>
      </c>
    </row>
    <row r="226" spans="1:54" x14ac:dyDescent="0.25">
      <c r="A226" s="109" t="s">
        <v>147</v>
      </c>
      <c r="B226" s="100">
        <v>39</v>
      </c>
      <c r="C226" s="100">
        <v>46</v>
      </c>
      <c r="D226" s="100">
        <v>49</v>
      </c>
      <c r="E226" s="100">
        <v>49</v>
      </c>
      <c r="F226" s="100">
        <v>46</v>
      </c>
      <c r="G226" s="101">
        <v>42</v>
      </c>
      <c r="H226" s="101">
        <v>43</v>
      </c>
      <c r="I226" s="101">
        <v>44</v>
      </c>
      <c r="J226" s="101">
        <v>43</v>
      </c>
      <c r="K226" s="101">
        <v>43</v>
      </c>
      <c r="L226" s="101">
        <v>44</v>
      </c>
      <c r="M226" s="101">
        <v>44</v>
      </c>
      <c r="N226" s="35">
        <v>43</v>
      </c>
      <c r="O226" s="35">
        <v>44</v>
      </c>
      <c r="P226" s="35">
        <v>44</v>
      </c>
      <c r="Q226" s="35">
        <v>44</v>
      </c>
      <c r="R226" s="35">
        <v>49</v>
      </c>
      <c r="S226" s="35">
        <v>56</v>
      </c>
      <c r="T226" s="35">
        <v>58</v>
      </c>
      <c r="U226" s="35">
        <v>57</v>
      </c>
      <c r="V226" s="35">
        <v>56</v>
      </c>
      <c r="W226" s="35">
        <v>55</v>
      </c>
      <c r="X226" s="35">
        <v>61</v>
      </c>
      <c r="Y226" s="35">
        <v>57</v>
      </c>
      <c r="Z226" s="35">
        <v>58</v>
      </c>
      <c r="AA226" s="35">
        <v>59</v>
      </c>
      <c r="AB226" s="35">
        <v>59</v>
      </c>
      <c r="AC226" s="35">
        <v>67</v>
      </c>
      <c r="AL226" s="35">
        <f>+SUMIFS($B226:AF226,$B$4:AF$4,"&lt;="&amp;AL$3,$B$4:AF$4,"&gt;"&amp;AK$3)</f>
        <v>0</v>
      </c>
      <c r="AM226" s="35">
        <f>+SUMIFS($B226:AG226,$B$4:AG$4,"&lt;="&amp;AM$3,$B$4:AG$4,"&gt;"&amp;AL$3)</f>
        <v>175</v>
      </c>
      <c r="AN226" s="35">
        <f>+SUMIFS($B226:AG226,$B$4:AG$4,"&lt;="&amp;AN$3,$B$4:AG$4,"&gt;"&amp;AM$3)</f>
        <v>174</v>
      </c>
      <c r="AO226" s="35">
        <f>+SUMIFS($B226:AG226,$B$4:AG$4,"&lt;="&amp;AO$3,$B$4:AG$4,"&gt;"&amp;AN$3)</f>
        <v>175</v>
      </c>
      <c r="AP226" s="35">
        <f>+SUMIFS($B226:AG226,$B$4:AG$4,"&lt;="&amp;AP$3,$B$4:AG$4,"&gt;"&amp;AO$3)</f>
        <v>220</v>
      </c>
      <c r="AQ226" s="35">
        <f>+SUMIFS($B226:AG226,$B$4:AG$4,"&lt;="&amp;AQ$3,$B$4:AG$4,"&gt;"&amp;AP$3)</f>
        <v>229</v>
      </c>
      <c r="AR226" s="35">
        <f>+SUMIFS($B226:AG226,$B$4:AG$4,"&lt;="&amp;AR$3,$B$4:AG$4,"&gt;"&amp;AQ$3)</f>
        <v>243</v>
      </c>
      <c r="AS226" s="35">
        <f t="shared" si="865"/>
        <v>0</v>
      </c>
    </row>
    <row r="227" spans="1:54" x14ac:dyDescent="0.25">
      <c r="A227" s="109" t="s">
        <v>148</v>
      </c>
      <c r="B227" s="100">
        <v>14</v>
      </c>
      <c r="C227" s="100">
        <v>14</v>
      </c>
      <c r="D227" s="100">
        <v>14</v>
      </c>
      <c r="E227" s="100">
        <v>14</v>
      </c>
      <c r="F227" s="100">
        <v>14</v>
      </c>
      <c r="G227" s="101">
        <v>14</v>
      </c>
      <c r="H227" s="101">
        <v>11</v>
      </c>
      <c r="I227" s="101">
        <v>15</v>
      </c>
      <c r="J227" s="101">
        <v>14</v>
      </c>
      <c r="K227" s="101">
        <v>14</v>
      </c>
      <c r="L227" s="101">
        <v>13</v>
      </c>
      <c r="M227" s="101">
        <v>14</v>
      </c>
      <c r="N227" s="35">
        <f>14-1</f>
        <v>13</v>
      </c>
      <c r="O227" s="35">
        <v>14</v>
      </c>
      <c r="P227" s="35">
        <f>14-2</f>
        <v>12</v>
      </c>
      <c r="Q227" s="35">
        <v>14</v>
      </c>
      <c r="R227" s="35">
        <v>14</v>
      </c>
      <c r="S227" s="35">
        <v>14</v>
      </c>
      <c r="T227" s="35">
        <v>14</v>
      </c>
      <c r="U227" s="35">
        <v>14</v>
      </c>
      <c r="V227" s="35">
        <v>14</v>
      </c>
      <c r="W227" s="35">
        <v>14</v>
      </c>
      <c r="X227" s="35">
        <v>14</v>
      </c>
      <c r="Y227" s="35">
        <v>14</v>
      </c>
      <c r="Z227" s="35">
        <v>14</v>
      </c>
      <c r="AA227" s="35">
        <v>14</v>
      </c>
      <c r="AB227" s="35">
        <v>14</v>
      </c>
      <c r="AC227" s="35">
        <v>14</v>
      </c>
      <c r="AL227" s="35">
        <f>+SUMIFS($B227:AF227,$B$4:AF$4,"&lt;="&amp;AL$3,$B$4:AF$4,"&gt;"&amp;AK$3)</f>
        <v>0</v>
      </c>
      <c r="AM227" s="35">
        <f>+SUMIFS($B227:AG227,$B$4:AG$4,"&lt;="&amp;AM$3,$B$4:AG$4,"&gt;"&amp;AL$3)</f>
        <v>54</v>
      </c>
      <c r="AN227" s="35">
        <f>+SUMIFS($B227:AG227,$B$4:AG$4,"&lt;="&amp;AN$3,$B$4:AG$4,"&gt;"&amp;AM$3)</f>
        <v>55</v>
      </c>
      <c r="AO227" s="35">
        <f>+SUMIFS($B227:AG227,$B$4:AG$4,"&lt;="&amp;AO$3,$B$4:AG$4,"&gt;"&amp;AN$3)</f>
        <v>53</v>
      </c>
      <c r="AP227" s="35">
        <f>+SUMIFS($B227:AG227,$B$4:AG$4,"&lt;="&amp;AP$3,$B$4:AG$4,"&gt;"&amp;AO$3)</f>
        <v>56</v>
      </c>
      <c r="AQ227" s="35">
        <f>+SUMIFS($B227:AG227,$B$4:AG$4,"&lt;="&amp;AQ$3,$B$4:AG$4,"&gt;"&amp;AP$3)</f>
        <v>56</v>
      </c>
      <c r="AR227" s="35">
        <f>+SUMIFS($B227:AG227,$B$4:AG$4,"&lt;="&amp;AR$3,$B$4:AG$4,"&gt;"&amp;AQ$3)</f>
        <v>56</v>
      </c>
      <c r="AS227" s="35">
        <f t="shared" si="865"/>
        <v>0</v>
      </c>
    </row>
    <row r="228" spans="1:54" x14ac:dyDescent="0.25">
      <c r="A228" s="109" t="s">
        <v>149</v>
      </c>
      <c r="B228" s="100">
        <v>12</v>
      </c>
      <c r="C228" s="100">
        <v>15</v>
      </c>
      <c r="D228" s="100">
        <v>17</v>
      </c>
      <c r="E228" s="100">
        <v>19</v>
      </c>
      <c r="F228" s="100">
        <v>12</v>
      </c>
      <c r="G228" s="101">
        <v>16</v>
      </c>
      <c r="H228" s="101">
        <v>22</v>
      </c>
      <c r="I228" s="101">
        <v>14</v>
      </c>
      <c r="J228" s="101">
        <v>22</v>
      </c>
      <c r="K228" s="101">
        <v>22</v>
      </c>
      <c r="L228" s="101">
        <v>25</v>
      </c>
      <c r="M228" s="101">
        <v>18</v>
      </c>
      <c r="N228" s="35">
        <v>33</v>
      </c>
      <c r="O228" s="35">
        <v>26</v>
      </c>
      <c r="P228" s="35">
        <v>30</v>
      </c>
      <c r="Q228" s="35">
        <v>23</v>
      </c>
      <c r="R228" s="35">
        <v>27</v>
      </c>
      <c r="S228" s="35">
        <v>33</v>
      </c>
      <c r="T228" s="35">
        <v>45</v>
      </c>
      <c r="U228" s="35">
        <v>43</v>
      </c>
      <c r="V228" s="35">
        <v>39</v>
      </c>
      <c r="W228" s="35">
        <v>38</v>
      </c>
      <c r="X228" s="35">
        <v>47</v>
      </c>
      <c r="Y228" s="35">
        <v>48</v>
      </c>
      <c r="Z228" s="35">
        <v>45</v>
      </c>
      <c r="AA228" s="35">
        <v>40</v>
      </c>
      <c r="AB228" s="35">
        <v>60</v>
      </c>
      <c r="AC228" s="35">
        <v>54</v>
      </c>
      <c r="AL228" s="35">
        <f>+SUMIFS($B228:AF228,$B$4:AF$4,"&lt;="&amp;AL$3,$B$4:AF$4,"&gt;"&amp;AK$3)</f>
        <v>0</v>
      </c>
      <c r="AM228" s="35">
        <f>+SUMIFS($B228:AG228,$B$4:AG$4,"&lt;="&amp;AM$3,$B$4:AG$4,"&gt;"&amp;AL$3)</f>
        <v>64</v>
      </c>
      <c r="AN228" s="35">
        <f>+SUMIFS($B228:AG228,$B$4:AG$4,"&lt;="&amp;AN$3,$B$4:AG$4,"&gt;"&amp;AM$3)</f>
        <v>87</v>
      </c>
      <c r="AO228" s="35">
        <f>+SUMIFS($B228:AG228,$B$4:AG$4,"&lt;="&amp;AO$3,$B$4:AG$4,"&gt;"&amp;AN$3)</f>
        <v>112</v>
      </c>
      <c r="AP228" s="35">
        <f>+SUMIFS($B228:AG228,$B$4:AG$4,"&lt;="&amp;AP$3,$B$4:AG$4,"&gt;"&amp;AO$3)</f>
        <v>148</v>
      </c>
      <c r="AQ228" s="35">
        <f>+SUMIFS($B228:AG228,$B$4:AG$4,"&lt;="&amp;AQ$3,$B$4:AG$4,"&gt;"&amp;AP$3)</f>
        <v>172</v>
      </c>
      <c r="AR228" s="35">
        <f>+SUMIFS($B228:AG228,$B$4:AG$4,"&lt;="&amp;AR$3,$B$4:AG$4,"&gt;"&amp;AQ$3)</f>
        <v>199</v>
      </c>
      <c r="AS228" s="35">
        <f t="shared" si="865"/>
        <v>0</v>
      </c>
    </row>
    <row r="229" spans="1:54" x14ac:dyDescent="0.25">
      <c r="A229" s="109" t="s">
        <v>150</v>
      </c>
      <c r="B229" s="100">
        <v>6</v>
      </c>
      <c r="C229" s="100">
        <v>8</v>
      </c>
      <c r="D229" s="100">
        <v>9</v>
      </c>
      <c r="E229" s="100">
        <v>10</v>
      </c>
      <c r="F229" s="100">
        <v>7</v>
      </c>
      <c r="G229" s="101">
        <v>10</v>
      </c>
      <c r="H229" s="101">
        <v>11</v>
      </c>
      <c r="I229" s="101">
        <v>13</v>
      </c>
      <c r="J229" s="101">
        <v>11</v>
      </c>
      <c r="K229" s="101">
        <v>13</v>
      </c>
      <c r="L229" s="101">
        <v>14</v>
      </c>
      <c r="M229" s="101">
        <v>16</v>
      </c>
      <c r="N229" s="35">
        <v>15</v>
      </c>
      <c r="O229" s="35">
        <v>17</v>
      </c>
      <c r="P229" s="35">
        <v>20</v>
      </c>
      <c r="Q229" s="35">
        <v>20</v>
      </c>
      <c r="R229" s="35">
        <v>16</v>
      </c>
      <c r="S229" s="35">
        <v>22</v>
      </c>
      <c r="T229" s="35">
        <v>21</v>
      </c>
      <c r="U229" s="35">
        <v>23</v>
      </c>
      <c r="V229" s="35">
        <v>20</v>
      </c>
      <c r="W229" s="35">
        <v>25</v>
      </c>
      <c r="X229" s="35">
        <v>27</v>
      </c>
      <c r="Y229" s="35">
        <v>29</v>
      </c>
      <c r="Z229" s="35">
        <v>26</v>
      </c>
      <c r="AA229" s="35">
        <v>27</v>
      </c>
      <c r="AB229" s="35">
        <v>25</v>
      </c>
      <c r="AC229" s="35">
        <v>33</v>
      </c>
      <c r="AL229" s="35">
        <f>+SUMIFS($B229:AF229,$B$4:AF$4,"&lt;="&amp;AL$3,$B$4:AF$4,"&gt;"&amp;AK$3)</f>
        <v>0</v>
      </c>
      <c r="AM229" s="35">
        <f>+SUMIFS($B229:AG229,$B$4:AG$4,"&lt;="&amp;AM$3,$B$4:AG$4,"&gt;"&amp;AL$3)</f>
        <v>41</v>
      </c>
      <c r="AN229" s="35">
        <f>+SUMIFS($B229:AG229,$B$4:AG$4,"&lt;="&amp;AN$3,$B$4:AG$4,"&gt;"&amp;AM$3)</f>
        <v>54</v>
      </c>
      <c r="AO229" s="35">
        <f>+SUMIFS($B229:AG229,$B$4:AG$4,"&lt;="&amp;AO$3,$B$4:AG$4,"&gt;"&amp;AN$3)</f>
        <v>72</v>
      </c>
      <c r="AP229" s="35">
        <f>+SUMIFS($B229:AG229,$B$4:AG$4,"&lt;="&amp;AP$3,$B$4:AG$4,"&gt;"&amp;AO$3)</f>
        <v>82</v>
      </c>
      <c r="AQ229" s="35">
        <f>+SUMIFS($B229:AG229,$B$4:AG$4,"&lt;="&amp;AQ$3,$B$4:AG$4,"&gt;"&amp;AP$3)</f>
        <v>101</v>
      </c>
      <c r="AR229" s="35">
        <f>+SUMIFS($B229:AG229,$B$4:AG$4,"&lt;="&amp;AR$3,$B$4:AG$4,"&gt;"&amp;AQ$3)</f>
        <v>111</v>
      </c>
      <c r="AS229" s="35">
        <f t="shared" si="865"/>
        <v>0</v>
      </c>
    </row>
    <row r="230" spans="1:54" x14ac:dyDescent="0.25">
      <c r="A230" s="109" t="s">
        <v>151</v>
      </c>
      <c r="B230" s="100">
        <v>39</v>
      </c>
      <c r="C230" s="100">
        <v>62</v>
      </c>
      <c r="D230" s="100">
        <v>58</v>
      </c>
      <c r="E230" s="100">
        <v>64</v>
      </c>
      <c r="F230" s="100">
        <v>69</v>
      </c>
      <c r="G230" s="101">
        <v>76</v>
      </c>
      <c r="H230" s="101">
        <v>80</v>
      </c>
      <c r="I230" s="101">
        <v>71</v>
      </c>
      <c r="J230" s="101">
        <v>72</v>
      </c>
      <c r="K230" s="101">
        <v>81</v>
      </c>
      <c r="L230" s="101">
        <v>84</v>
      </c>
      <c r="M230" s="101">
        <v>110</v>
      </c>
      <c r="N230" s="35">
        <v>98</v>
      </c>
      <c r="O230" s="35">
        <v>118</v>
      </c>
      <c r="P230" s="35">
        <v>126</v>
      </c>
      <c r="Q230" s="35">
        <v>155</v>
      </c>
      <c r="R230" s="35">
        <v>140</v>
      </c>
      <c r="S230" s="35">
        <v>169</v>
      </c>
      <c r="T230" s="35">
        <v>87</v>
      </c>
      <c r="U230" s="35">
        <v>140</v>
      </c>
      <c r="V230" s="35">
        <v>133</v>
      </c>
      <c r="W230" s="35">
        <v>140</v>
      </c>
      <c r="X230" s="35">
        <v>147</v>
      </c>
      <c r="Y230" s="35">
        <v>158</v>
      </c>
      <c r="Z230" s="35">
        <v>133</v>
      </c>
      <c r="AA230" s="35">
        <v>137</v>
      </c>
      <c r="AB230" s="35">
        <v>145</v>
      </c>
      <c r="AC230" s="35">
        <v>160</v>
      </c>
      <c r="AL230" s="35">
        <f>+SUMIFS($B230:AF230,$B$4:AF$4,"&lt;="&amp;AL$3,$B$4:AF$4,"&gt;"&amp;AK$3)</f>
        <v>0</v>
      </c>
      <c r="AM230" s="35">
        <f>+SUMIFS($B230:AG230,$B$4:AG$4,"&lt;="&amp;AM$3,$B$4:AG$4,"&gt;"&amp;AL$3)</f>
        <v>296</v>
      </c>
      <c r="AN230" s="35">
        <f>+SUMIFS($B230:AG230,$B$4:AG$4,"&lt;="&amp;AN$3,$B$4:AG$4,"&gt;"&amp;AM$3)</f>
        <v>347</v>
      </c>
      <c r="AO230" s="35">
        <f>+SUMIFS($B230:AG230,$B$4:AG$4,"&lt;="&amp;AO$3,$B$4:AG$4,"&gt;"&amp;AN$3)</f>
        <v>497</v>
      </c>
      <c r="AP230" s="35">
        <f>+SUMIFS($B230:AG230,$B$4:AG$4,"&lt;="&amp;AP$3,$B$4:AG$4,"&gt;"&amp;AO$3)</f>
        <v>536</v>
      </c>
      <c r="AQ230" s="35">
        <f>+SUMIFS($B230:AG230,$B$4:AG$4,"&lt;="&amp;AQ$3,$B$4:AG$4,"&gt;"&amp;AP$3)</f>
        <v>578</v>
      </c>
      <c r="AR230" s="35">
        <f>+SUMIFS($B230:AG230,$B$4:AG$4,"&lt;="&amp;AR$3,$B$4:AG$4,"&gt;"&amp;AQ$3)</f>
        <v>575</v>
      </c>
      <c r="AS230" s="35">
        <f t="shared" si="865"/>
        <v>0</v>
      </c>
    </row>
    <row r="232" spans="1:54" x14ac:dyDescent="0.25">
      <c r="A232" s="109" t="s">
        <v>152</v>
      </c>
      <c r="B232" s="92">
        <f t="shared" ref="B232:Z232" si="866">+B168-B223</f>
        <v>0</v>
      </c>
      <c r="C232" s="92">
        <f t="shared" si="866"/>
        <v>0</v>
      </c>
      <c r="D232" s="92">
        <f t="shared" si="866"/>
        <v>0</v>
      </c>
      <c r="E232" s="92">
        <f t="shared" si="866"/>
        <v>0</v>
      </c>
      <c r="F232" s="92">
        <f t="shared" si="866"/>
        <v>0</v>
      </c>
      <c r="G232" s="92">
        <f t="shared" si="866"/>
        <v>0</v>
      </c>
      <c r="H232" s="92">
        <f t="shared" si="866"/>
        <v>0</v>
      </c>
      <c r="I232" s="92">
        <f t="shared" si="866"/>
        <v>-1</v>
      </c>
      <c r="J232" s="92">
        <f t="shared" si="866"/>
        <v>0</v>
      </c>
      <c r="K232" s="92">
        <f t="shared" si="866"/>
        <v>0</v>
      </c>
      <c r="L232" s="92">
        <f t="shared" si="866"/>
        <v>1</v>
      </c>
      <c r="M232" s="92">
        <f t="shared" si="866"/>
        <v>-1</v>
      </c>
      <c r="N232" s="92">
        <f t="shared" si="866"/>
        <v>0</v>
      </c>
      <c r="O232" s="92">
        <f t="shared" si="866"/>
        <v>0</v>
      </c>
      <c r="P232" s="92">
        <f t="shared" si="866"/>
        <v>0</v>
      </c>
      <c r="Q232" s="92">
        <f t="shared" si="866"/>
        <v>-1</v>
      </c>
      <c r="R232" s="92">
        <f t="shared" si="866"/>
        <v>0</v>
      </c>
      <c r="S232" s="92">
        <f t="shared" si="866"/>
        <v>0</v>
      </c>
      <c r="T232" s="92">
        <f t="shared" si="866"/>
        <v>0</v>
      </c>
      <c r="U232" s="92">
        <f t="shared" si="866"/>
        <v>0</v>
      </c>
      <c r="V232" s="92">
        <f t="shared" si="866"/>
        <v>0</v>
      </c>
      <c r="W232" s="92">
        <f t="shared" si="866"/>
        <v>0</v>
      </c>
      <c r="X232" s="92">
        <f t="shared" si="866"/>
        <v>-1</v>
      </c>
      <c r="Y232" s="92">
        <f t="shared" si="866"/>
        <v>0</v>
      </c>
      <c r="Z232" s="92">
        <f t="shared" si="866"/>
        <v>0</v>
      </c>
      <c r="AA232" s="92">
        <f t="shared" ref="AA232:AB232" si="867">+AA168-AA223</f>
        <v>0</v>
      </c>
      <c r="AB232" s="92">
        <f t="shared" si="867"/>
        <v>-1</v>
      </c>
      <c r="AC232" s="92">
        <f t="shared" ref="AC232" si="868">+AC168-AC223</f>
        <v>0</v>
      </c>
      <c r="AD232" s="104">
        <f t="shared" ref="AD232:AG232" si="869">+Z232*(1+AD233)</f>
        <v>0</v>
      </c>
      <c r="AE232" s="104">
        <f t="shared" si="869"/>
        <v>0</v>
      </c>
      <c r="AF232" s="104">
        <f t="shared" si="869"/>
        <v>-1.1000000000000001</v>
      </c>
      <c r="AG232" s="104">
        <f t="shared" si="869"/>
        <v>0</v>
      </c>
      <c r="AI232" s="104">
        <v>0</v>
      </c>
      <c r="AL232" s="92">
        <f t="shared" ref="AL232:AS232" si="870">+AL168-AL223</f>
        <v>0</v>
      </c>
      <c r="AM232" s="92">
        <f t="shared" si="870"/>
        <v>-1</v>
      </c>
      <c r="AN232" s="92">
        <f t="shared" si="870"/>
        <v>0</v>
      </c>
      <c r="AO232" s="92">
        <f t="shared" si="870"/>
        <v>-1</v>
      </c>
      <c r="AP232" s="92">
        <f t="shared" si="870"/>
        <v>0</v>
      </c>
      <c r="AQ232" s="92">
        <f t="shared" si="870"/>
        <v>-1</v>
      </c>
      <c r="AR232" s="92">
        <f t="shared" si="870"/>
        <v>-1</v>
      </c>
      <c r="AS232" s="92">
        <f t="shared" si="870"/>
        <v>-1.0999999999999091</v>
      </c>
      <c r="AT232" s="93">
        <f>+AVERAGE(AR232:AS232)</f>
        <v>-1.0499999999999545</v>
      </c>
      <c r="AU232" s="93">
        <f t="shared" ref="AU232:BB232" si="871">+AVERAGE(AS232:AT232)</f>
        <v>-1.0749999999999318</v>
      </c>
      <c r="AV232" s="93">
        <f t="shared" si="871"/>
        <v>-1.0624999999999432</v>
      </c>
      <c r="AW232" s="93">
        <f t="shared" si="871"/>
        <v>-1.0687499999999375</v>
      </c>
      <c r="AX232" s="93">
        <f t="shared" si="871"/>
        <v>-1.0656249999999403</v>
      </c>
      <c r="AY232" s="93">
        <f t="shared" si="871"/>
        <v>-1.0671874999999389</v>
      </c>
      <c r="AZ232" s="93">
        <f t="shared" si="871"/>
        <v>-1.0664062499999396</v>
      </c>
      <c r="BA232" s="93">
        <f t="shared" si="871"/>
        <v>-1.0667968749999392</v>
      </c>
      <c r="BB232" s="93">
        <f t="shared" si="871"/>
        <v>-1.0666015624999394</v>
      </c>
    </row>
    <row r="233" spans="1:54" x14ac:dyDescent="0.25">
      <c r="A233" s="109" t="s">
        <v>2</v>
      </c>
      <c r="B233" s="73"/>
      <c r="C233" s="73"/>
      <c r="D233" s="73"/>
      <c r="E233" s="73"/>
      <c r="F233" s="73"/>
      <c r="G233" s="73"/>
      <c r="H233" s="73"/>
      <c r="I233" s="73"/>
      <c r="J233" s="73"/>
      <c r="K233" s="73"/>
      <c r="L233" s="73"/>
      <c r="M233" s="73"/>
      <c r="N233" s="73"/>
      <c r="O233" s="73"/>
      <c r="P233" s="73"/>
      <c r="Q233" s="73"/>
      <c r="R233" s="73"/>
      <c r="S233" s="73"/>
      <c r="T233" s="73"/>
      <c r="U233" s="73"/>
      <c r="V233" s="73"/>
      <c r="W233" s="73"/>
      <c r="X233" s="73" t="e">
        <f t="shared" ref="X233:Y233" si="872">+X232/T232-1</f>
        <v>#DIV/0!</v>
      </c>
      <c r="Y233" s="73" t="e">
        <f t="shared" si="872"/>
        <v>#DIV/0!</v>
      </c>
      <c r="Z233" s="73" t="e">
        <f>+Z232/V232-1</f>
        <v>#DIV/0!</v>
      </c>
      <c r="AA233" s="73" t="e">
        <f>+AA232/W232-1</f>
        <v>#DIV/0!</v>
      </c>
      <c r="AB233" s="73">
        <f>+AB232/X232-1</f>
        <v>0</v>
      </c>
      <c r="AC233" s="73" t="e">
        <f>+AC232/Y232-1</f>
        <v>#DIV/0!</v>
      </c>
      <c r="AD233" s="98">
        <v>0.1</v>
      </c>
      <c r="AE233" s="98">
        <v>0.1</v>
      </c>
      <c r="AF233" s="98">
        <v>0.1</v>
      </c>
      <c r="AG233" s="98">
        <v>0.1</v>
      </c>
      <c r="AI233" s="98">
        <v>0.1</v>
      </c>
    </row>
    <row r="234" spans="1:54" x14ac:dyDescent="0.25">
      <c r="A234" s="109"/>
      <c r="X234" s="92"/>
      <c r="Y234" s="92"/>
      <c r="Z234" s="92"/>
      <c r="AA234" s="92"/>
      <c r="AB234" s="92"/>
      <c r="AC234" s="92"/>
    </row>
    <row r="235" spans="1:54" x14ac:dyDescent="0.25">
      <c r="A235" s="109"/>
    </row>
    <row r="237" spans="1:54" s="47" customFormat="1" x14ac:dyDescent="0.25">
      <c r="A237" s="8" t="s">
        <v>116</v>
      </c>
      <c r="B237" s="126">
        <f>+B238+B242+B246</f>
        <v>175</v>
      </c>
      <c r="C237" s="126">
        <f t="shared" ref="C237:X237" si="873">+C238+C242+C246</f>
        <v>217</v>
      </c>
      <c r="D237" s="126">
        <f t="shared" si="873"/>
        <v>226</v>
      </c>
      <c r="E237" s="126">
        <f t="shared" si="873"/>
        <v>236</v>
      </c>
      <c r="F237" s="126">
        <f t="shared" si="873"/>
        <v>229</v>
      </c>
      <c r="G237" s="126">
        <f t="shared" si="873"/>
        <v>209</v>
      </c>
      <c r="H237" s="126">
        <f t="shared" si="873"/>
        <v>255</v>
      </c>
      <c r="I237" s="126">
        <f t="shared" si="873"/>
        <v>257</v>
      </c>
      <c r="J237" s="126">
        <f t="shared" si="873"/>
        <v>251</v>
      </c>
      <c r="K237" s="126">
        <f t="shared" si="873"/>
        <v>266</v>
      </c>
      <c r="L237" s="126">
        <f t="shared" si="873"/>
        <v>267</v>
      </c>
      <c r="M237" s="126">
        <f t="shared" si="873"/>
        <v>309</v>
      </c>
      <c r="N237" s="126">
        <f t="shared" si="873"/>
        <v>330</v>
      </c>
      <c r="O237" s="126">
        <f t="shared" si="873"/>
        <v>373</v>
      </c>
      <c r="P237" s="126">
        <f t="shared" si="873"/>
        <v>380</v>
      </c>
      <c r="Q237" s="126">
        <f t="shared" si="873"/>
        <v>423</v>
      </c>
      <c r="R237" s="126">
        <f t="shared" si="873"/>
        <v>415</v>
      </c>
      <c r="S237" s="126">
        <f t="shared" si="873"/>
        <v>475</v>
      </c>
      <c r="T237" s="126">
        <f t="shared" si="873"/>
        <v>437</v>
      </c>
      <c r="U237" s="126">
        <f t="shared" si="873"/>
        <v>478</v>
      </c>
      <c r="V237" s="126">
        <f t="shared" si="873"/>
        <v>470</v>
      </c>
      <c r="W237" s="126">
        <f t="shared" si="873"/>
        <v>501</v>
      </c>
      <c r="X237" s="126">
        <f t="shared" si="873"/>
        <v>503</v>
      </c>
      <c r="Y237" s="126">
        <f t="shared" ref="Y237:Z237" si="874">+Y238+Y242+Y246</f>
        <v>563</v>
      </c>
      <c r="Z237" s="126">
        <f t="shared" si="874"/>
        <v>533</v>
      </c>
      <c r="AA237" s="126">
        <f t="shared" ref="AA237:AB237" si="875">+AA238+AA242+AA246</f>
        <v>549</v>
      </c>
      <c r="AB237" s="126">
        <f t="shared" si="875"/>
        <v>581</v>
      </c>
      <c r="AC237" s="126">
        <f t="shared" ref="AC237" si="876">+AC238+AC242+AC246</f>
        <v>629</v>
      </c>
      <c r="AD237" s="466">
        <f t="shared" ref="AD237" si="877">+AD238+AD242+AD246</f>
        <v>610.43041732361485</v>
      </c>
      <c r="AE237" s="466">
        <f t="shared" ref="AE237" si="878">+AE238+AE242+AE246</f>
        <v>616.53567889518058</v>
      </c>
      <c r="AF237" s="466">
        <f t="shared" ref="AF237" si="879">+AF238+AF242+AF246</f>
        <v>666.20557271882581</v>
      </c>
      <c r="AG237" s="466">
        <f t="shared" ref="AG237" si="880">+AG238+AG242+AG246</f>
        <v>620.54334067297077</v>
      </c>
      <c r="AH237" s="439"/>
      <c r="AI237" s="466">
        <v>563.51426628635261</v>
      </c>
      <c r="AJ237" s="439"/>
      <c r="AL237" s="126">
        <f>+SUMIFS($B237:AF237,$B$4:AF$4,"&lt;="&amp;AL$3,$B$4:AF$4,"&gt;"&amp;AK$3)</f>
        <v>0</v>
      </c>
      <c r="AM237" s="126">
        <f>+SUMIFS($B237:AG237,$B$4:AG$4,"&lt;="&amp;AM$3,$B$4:AG$4,"&gt;"&amp;AL$3)</f>
        <v>950</v>
      </c>
      <c r="AN237" s="126">
        <f>+SUMIFS($B237:AG237,$B$4:AG$4,"&lt;="&amp;AN$3,$B$4:AG$4,"&gt;"&amp;AM$3)</f>
        <v>1093</v>
      </c>
      <c r="AO237" s="126">
        <f>+SUMIFS($B237:AG237,$B$4:AG$4,"&lt;="&amp;AO$3,$B$4:AG$4,"&gt;"&amp;AN$3)</f>
        <v>1506</v>
      </c>
      <c r="AP237" s="126">
        <f>+SUMIFS($B237:AG237,$B$4:AG$4,"&lt;="&amp;AP$3,$B$4:AG$4,"&gt;"&amp;AO$3)</f>
        <v>1805</v>
      </c>
      <c r="AQ237" s="126">
        <f>+SUMIFS($B237:AG237,$B$4:AG$4,"&lt;="&amp;AQ$3,$B$4:AG$4,"&gt;"&amp;AP$3)</f>
        <v>2037</v>
      </c>
      <c r="AR237" s="126">
        <f>+SUMIFS($B237:AG237,$B$4:AG$4,"&lt;="&amp;AR$3,$B$4:AG$4,"&gt;"&amp;AQ$3)</f>
        <v>2292</v>
      </c>
      <c r="AS237" s="126">
        <f>+SUMIFS($B237:$AG237,$B$4:$AG$4,"&lt;="&amp;AS$3,$B$4:$AG$4,"&gt;"&amp;AR$3)</f>
        <v>2513.715009610592</v>
      </c>
      <c r="AT237" s="126">
        <f t="shared" ref="AT237:BB237" si="881">+AT238+AT242+AT246</f>
        <v>2875.0725876501838</v>
      </c>
      <c r="AU237" s="126">
        <f t="shared" si="881"/>
        <v>3077.4968243616863</v>
      </c>
      <c r="AV237" s="126">
        <f t="shared" si="881"/>
        <v>3296.0049658967409</v>
      </c>
      <c r="AW237" s="126">
        <f t="shared" si="881"/>
        <v>3531.4853749077597</v>
      </c>
      <c r="AX237" s="126">
        <f t="shared" si="881"/>
        <v>3785.3089578095978</v>
      </c>
      <c r="AY237" s="126">
        <f t="shared" si="881"/>
        <v>4019.8650175538664</v>
      </c>
      <c r="AZ237" s="126">
        <f t="shared" si="881"/>
        <v>4270.9553442102151</v>
      </c>
      <c r="BA237" s="126">
        <f t="shared" si="881"/>
        <v>4540.0640309992432</v>
      </c>
      <c r="BB237" s="126">
        <f t="shared" si="881"/>
        <v>4828.6941099917121</v>
      </c>
    </row>
    <row r="238" spans="1:54" x14ac:dyDescent="0.25">
      <c r="A238" s="22" t="s">
        <v>153</v>
      </c>
      <c r="B238" s="92">
        <f>+B224</f>
        <v>65</v>
      </c>
      <c r="C238" s="92">
        <f t="shared" ref="C238:X238" si="882">+C224</f>
        <v>72</v>
      </c>
      <c r="D238" s="92">
        <f t="shared" si="882"/>
        <v>79</v>
      </c>
      <c r="E238" s="92">
        <f t="shared" si="882"/>
        <v>80</v>
      </c>
      <c r="F238" s="92">
        <f t="shared" si="882"/>
        <v>81</v>
      </c>
      <c r="G238" s="92">
        <f t="shared" si="882"/>
        <v>51</v>
      </c>
      <c r="H238" s="92">
        <f t="shared" si="882"/>
        <v>88</v>
      </c>
      <c r="I238" s="92">
        <f t="shared" si="882"/>
        <v>100</v>
      </c>
      <c r="J238" s="92">
        <f t="shared" si="882"/>
        <v>89</v>
      </c>
      <c r="K238" s="92">
        <f t="shared" si="882"/>
        <v>93</v>
      </c>
      <c r="L238" s="92">
        <f t="shared" si="882"/>
        <v>87</v>
      </c>
      <c r="M238" s="92">
        <f t="shared" si="882"/>
        <v>107</v>
      </c>
      <c r="N238" s="92">
        <f t="shared" si="882"/>
        <v>128</v>
      </c>
      <c r="O238" s="92">
        <f t="shared" si="882"/>
        <v>154</v>
      </c>
      <c r="P238" s="92">
        <f t="shared" si="882"/>
        <v>148</v>
      </c>
      <c r="Q238" s="92">
        <f t="shared" si="882"/>
        <v>167</v>
      </c>
      <c r="R238" s="92">
        <f t="shared" si="882"/>
        <v>169</v>
      </c>
      <c r="S238" s="92">
        <f t="shared" si="882"/>
        <v>181</v>
      </c>
      <c r="T238" s="92">
        <f t="shared" si="882"/>
        <v>212</v>
      </c>
      <c r="U238" s="92">
        <f t="shared" si="882"/>
        <v>201</v>
      </c>
      <c r="V238" s="92">
        <f t="shared" si="882"/>
        <v>208</v>
      </c>
      <c r="W238" s="92">
        <f t="shared" si="882"/>
        <v>229</v>
      </c>
      <c r="X238" s="92">
        <f t="shared" si="882"/>
        <v>207</v>
      </c>
      <c r="Y238" s="92">
        <f t="shared" ref="Y238:Z238" si="883">+Y224</f>
        <v>257</v>
      </c>
      <c r="Z238" s="92">
        <f t="shared" si="883"/>
        <v>257</v>
      </c>
      <c r="AA238" s="92">
        <f t="shared" ref="AA238:AB238" si="884">+AA224</f>
        <v>272</v>
      </c>
      <c r="AB238" s="92">
        <f t="shared" si="884"/>
        <v>278</v>
      </c>
      <c r="AC238" s="92">
        <f t="shared" ref="AC238" si="885">+AC224</f>
        <v>301</v>
      </c>
      <c r="AD238" s="104">
        <f t="shared" ref="AD238:AG238" si="886">+AD239*AD240/4</f>
        <v>294.46319745263094</v>
      </c>
      <c r="AE238" s="104">
        <f t="shared" si="886"/>
        <v>303.36290551404522</v>
      </c>
      <c r="AF238" s="104">
        <f t="shared" si="886"/>
        <v>313.64088022951546</v>
      </c>
      <c r="AG238" s="104">
        <f t="shared" si="886"/>
        <v>321.90193953151112</v>
      </c>
      <c r="AH238" s="104"/>
      <c r="AI238" s="104">
        <v>276.87634245777519</v>
      </c>
      <c r="AJ238" s="104"/>
      <c r="AL238" s="92">
        <f>+SUMIFS($B238:AF238,$B$4:AF$4,"&lt;="&amp;AL$3,$B$4:AF$4,"&gt;"&amp;AK$3)</f>
        <v>0</v>
      </c>
      <c r="AM238" s="92">
        <f>+SUMIFS($B238:AG238,$B$4:AG$4,"&lt;="&amp;AM$3,$B$4:AG$4,"&gt;"&amp;AL$3)</f>
        <v>320</v>
      </c>
      <c r="AN238" s="92">
        <f>+SUMIFS($B238:AG238,$B$4:AG$4,"&lt;="&amp;AN$3,$B$4:AG$4,"&gt;"&amp;AM$3)</f>
        <v>376</v>
      </c>
      <c r="AO238" s="92">
        <f>+SUMIFS($B238:AG238,$B$4:AG$4,"&lt;="&amp;AO$3,$B$4:AG$4,"&gt;"&amp;AN$3)</f>
        <v>597</v>
      </c>
      <c r="AP238" s="92">
        <f>+SUMIFS($B238:AG238,$B$4:AG$4,"&lt;="&amp;AP$3,$B$4:AG$4,"&gt;"&amp;AO$3)</f>
        <v>763</v>
      </c>
      <c r="AQ238" s="92">
        <f>+SUMIFS($B238:AG238,$B$4:AG$4,"&lt;="&amp;AQ$3,$B$4:AG$4,"&gt;"&amp;AP$3)</f>
        <v>901</v>
      </c>
      <c r="AR238" s="92">
        <f>+SUMIFS($B238:AG238,$B$4:AG$4,"&lt;="&amp;AR$3,$B$4:AG$4,"&gt;"&amp;AQ$3)</f>
        <v>1108</v>
      </c>
      <c r="AS238" s="92">
        <f>+SUMIFS($B238:$AG238,$B$4:$AG$4,"&lt;="&amp;AS$3,$B$4:$AG$4,"&gt;"&amp;AR$3)</f>
        <v>1233.3689227277027</v>
      </c>
      <c r="AT238" s="104">
        <f t="shared" ref="AT238:BB238" si="887">+AT239*AT240/4</f>
        <v>1343.0923411987578</v>
      </c>
      <c r="AU238" s="104">
        <f t="shared" si="887"/>
        <v>1447.9964719069289</v>
      </c>
      <c r="AV238" s="104">
        <f t="shared" si="887"/>
        <v>1561.6267094812149</v>
      </c>
      <c r="AW238" s="104">
        <f t="shared" si="887"/>
        <v>1684.7498062359448</v>
      </c>
      <c r="AX238" s="104">
        <f t="shared" si="887"/>
        <v>1818.2028382145445</v>
      </c>
      <c r="AY238" s="104">
        <f t="shared" si="887"/>
        <v>1948.9786318859185</v>
      </c>
      <c r="AZ238" s="104">
        <f t="shared" si="887"/>
        <v>2090.5350028676762</v>
      </c>
      <c r="BA238" s="104">
        <f t="shared" si="887"/>
        <v>2243.8466437983025</v>
      </c>
      <c r="BB238" s="104">
        <f t="shared" si="887"/>
        <v>2409.9810651509647</v>
      </c>
    </row>
    <row r="239" spans="1:54" x14ac:dyDescent="0.25">
      <c r="A239" s="36" t="s">
        <v>154</v>
      </c>
      <c r="B239" s="43">
        <f>+PROJ!B38</f>
        <v>14718</v>
      </c>
      <c r="C239" s="43">
        <f>+PROJ!C38</f>
        <v>15364</v>
      </c>
      <c r="D239" s="43">
        <f>+PROJ!D38</f>
        <v>15726</v>
      </c>
      <c r="E239" s="43">
        <f>+PROJ!E38</f>
        <v>16109</v>
      </c>
      <c r="F239" s="43">
        <f>+PROJ!F38</f>
        <v>16218</v>
      </c>
      <c r="G239" s="43">
        <f>+PROJ!G38</f>
        <v>16066</v>
      </c>
      <c r="H239" s="43">
        <f>+PROJ!H38</f>
        <v>16601</v>
      </c>
      <c r="I239" s="43">
        <f>+PROJ!I38</f>
        <v>16903</v>
      </c>
      <c r="J239" s="43">
        <f>+PROJ!J38</f>
        <v>17085</v>
      </c>
      <c r="K239" s="43">
        <f>+PROJ!K38</f>
        <v>17428</v>
      </c>
      <c r="L239" s="43">
        <f>+PROJ!L38</f>
        <v>17800</v>
      </c>
      <c r="M239" s="43">
        <f>+PROJ!M38</f>
        <v>18353</v>
      </c>
      <c r="N239" s="43">
        <f>+PROJ!N38</f>
        <v>18904</v>
      </c>
      <c r="O239" s="43">
        <f>+PROJ!O38</f>
        <v>19636</v>
      </c>
      <c r="P239" s="43">
        <f>+PROJ!P38</f>
        <v>20794</v>
      </c>
      <c r="Q239" s="43">
        <f>+PROJ!Q38</f>
        <v>22373</v>
      </c>
      <c r="R239" s="43">
        <f>+PROJ!R38</f>
        <v>23726</v>
      </c>
      <c r="S239" s="43">
        <f>+PROJ!S38</f>
        <v>25264</v>
      </c>
      <c r="T239" s="43">
        <f>+PROJ!T38</f>
        <v>26122</v>
      </c>
      <c r="U239" s="43">
        <f>+PROJ!U38</f>
        <v>26918</v>
      </c>
      <c r="V239" s="43">
        <f>+PROJ!V38</f>
        <v>27086</v>
      </c>
      <c r="W239" s="43">
        <f>+PROJ!W38</f>
        <v>27745</v>
      </c>
      <c r="X239" s="43">
        <f>+PROJ!X38</f>
        <v>28215</v>
      </c>
      <c r="Y239" s="43">
        <f>+PROJ!Y38</f>
        <v>28962</v>
      </c>
      <c r="Z239" s="43">
        <f>+PROJ!Z38</f>
        <v>29364</v>
      </c>
      <c r="AA239" s="43">
        <f>+PROJ!AA38</f>
        <v>30145</v>
      </c>
      <c r="AB239" s="43">
        <f>+PROJ!AB38</f>
        <v>30906</v>
      </c>
      <c r="AC239" s="43">
        <f>+PROJ!AC38</f>
        <v>31719</v>
      </c>
      <c r="AD239" s="43">
        <f>+PROJ!AD38</f>
        <v>31030.160000000003</v>
      </c>
      <c r="AE239" s="43">
        <f>+PROJ!AE38</f>
        <v>31968</v>
      </c>
      <c r="AF239" s="43">
        <f>+PROJ!AF38</f>
        <v>33051.08</v>
      </c>
      <c r="AG239" s="43">
        <f>+PROJ!AG38</f>
        <v>33921.620000000003</v>
      </c>
      <c r="AH239" s="43"/>
      <c r="AI239" s="43">
        <v>30781.08</v>
      </c>
      <c r="AJ239" s="43"/>
      <c r="AK239" s="43">
        <f>+PROJ!AK38</f>
        <v>0</v>
      </c>
      <c r="AL239" s="43">
        <f>+PROJ!AL38</f>
        <v>16109</v>
      </c>
      <c r="AM239" s="43">
        <f>+PROJ!AM38</f>
        <v>16903</v>
      </c>
      <c r="AN239" s="43">
        <f>+PROJ!AN38</f>
        <v>18353</v>
      </c>
      <c r="AO239" s="43">
        <f>+PROJ!AO38</f>
        <v>22373</v>
      </c>
      <c r="AP239" s="43">
        <f>+PROJ!AP38</f>
        <v>26918</v>
      </c>
      <c r="AQ239" s="43">
        <f>+PROJ!AQ38</f>
        <v>28962</v>
      </c>
      <c r="AR239" s="43">
        <f>+PROJ!AR38</f>
        <v>31719</v>
      </c>
      <c r="AS239" s="43">
        <f>+PROJ!AS38</f>
        <v>33921.620000000003</v>
      </c>
      <c r="AT239" s="43">
        <f>+PROJ!AT38</f>
        <v>36939.367600000005</v>
      </c>
      <c r="AU239" s="43">
        <f>+PROJ!AU38</f>
        <v>39824.56925600001</v>
      </c>
      <c r="AV239" s="43">
        <f>+PROJ!AV38</f>
        <v>42949.766971360019</v>
      </c>
      <c r="AW239" s="43">
        <f>+PROJ!AW38</f>
        <v>46336.048905641619</v>
      </c>
      <c r="AX239" s="43">
        <f>+PROJ!AX38</f>
        <v>50006.437347580126</v>
      </c>
      <c r="AY239" s="43">
        <f>+PROJ!AY38</f>
        <v>53603.193108466228</v>
      </c>
      <c r="AZ239" s="43">
        <f>+PROJ!AZ38</f>
        <v>57496.449486616708</v>
      </c>
      <c r="BA239" s="43">
        <f>+PROJ!BA38</f>
        <v>61713.013670610912</v>
      </c>
      <c r="BB239" s="43">
        <f>+PROJ!BB38</f>
        <v>66282.245638594497</v>
      </c>
    </row>
    <row r="240" spans="1:54" x14ac:dyDescent="0.25">
      <c r="A240" s="36" t="s">
        <v>155</v>
      </c>
      <c r="B240" s="73">
        <f>+B238/B239*4</f>
        <v>1.7665443674412286E-2</v>
      </c>
      <c r="C240" s="73">
        <f t="shared" ref="C240:X240" si="888">+C238/C239*4</f>
        <v>1.8745118458734705E-2</v>
      </c>
      <c r="D240" s="73">
        <f t="shared" si="888"/>
        <v>2.009411166221544E-2</v>
      </c>
      <c r="E240" s="73">
        <f t="shared" si="888"/>
        <v>1.986467192252778E-2</v>
      </c>
      <c r="F240" s="73">
        <f t="shared" si="888"/>
        <v>1.9977802441731411E-2</v>
      </c>
      <c r="G240" s="73">
        <f t="shared" si="888"/>
        <v>1.2697622307979585E-2</v>
      </c>
      <c r="H240" s="73">
        <f t="shared" si="888"/>
        <v>2.1203541955303898E-2</v>
      </c>
      <c r="I240" s="73">
        <f t="shared" si="888"/>
        <v>2.3664438265396676E-2</v>
      </c>
      <c r="J240" s="73">
        <f t="shared" si="888"/>
        <v>2.083699151302312E-2</v>
      </c>
      <c r="K240" s="73">
        <f t="shared" si="888"/>
        <v>2.1344962129905897E-2</v>
      </c>
      <c r="L240" s="73">
        <f t="shared" si="888"/>
        <v>1.9550561797752809E-2</v>
      </c>
      <c r="M240" s="73">
        <f t="shared" si="888"/>
        <v>2.3320438075518989E-2</v>
      </c>
      <c r="N240" s="73">
        <f t="shared" si="888"/>
        <v>2.7084214980956412E-2</v>
      </c>
      <c r="O240" s="73">
        <f t="shared" si="888"/>
        <v>3.1370951313913223E-2</v>
      </c>
      <c r="P240" s="73">
        <f t="shared" si="888"/>
        <v>2.8469750889679714E-2</v>
      </c>
      <c r="Q240" s="73">
        <f t="shared" si="888"/>
        <v>2.9857417422786393E-2</v>
      </c>
      <c r="R240" s="73">
        <f t="shared" si="888"/>
        <v>2.8491949759757228E-2</v>
      </c>
      <c r="S240" s="73">
        <f t="shared" si="888"/>
        <v>2.8657378087397087E-2</v>
      </c>
      <c r="T240" s="73">
        <f t="shared" si="888"/>
        <v>3.2463057958808668E-2</v>
      </c>
      <c r="U240" s="73">
        <f t="shared" si="888"/>
        <v>2.9868489486588899E-2</v>
      </c>
      <c r="V240" s="73">
        <f t="shared" si="888"/>
        <v>3.0716975559329542E-2</v>
      </c>
      <c r="W240" s="73">
        <f t="shared" si="888"/>
        <v>3.301495765002703E-2</v>
      </c>
      <c r="X240" s="73">
        <f t="shared" si="888"/>
        <v>2.9346092503987242E-2</v>
      </c>
      <c r="Y240" s="73">
        <f t="shared" ref="Y240:Z240" si="889">+Y238/Y239*4</f>
        <v>3.5494786271666322E-2</v>
      </c>
      <c r="Z240" s="73">
        <f t="shared" si="889"/>
        <v>3.500885437951233E-2</v>
      </c>
      <c r="AA240" s="73">
        <f t="shared" ref="AA240:AB240" si="890">+AA238/AA239*4</f>
        <v>3.6092220932161218E-2</v>
      </c>
      <c r="AB240" s="73">
        <f t="shared" si="890"/>
        <v>3.5980068595094804E-2</v>
      </c>
      <c r="AC240" s="73">
        <f t="shared" ref="AC240" si="891">+AC238/AC239*4</f>
        <v>3.7958321510766418E-2</v>
      </c>
      <c r="AD240" s="85">
        <f t="shared" ref="AD240:AG240" si="892">+AC240</f>
        <v>3.7958321510766418E-2</v>
      </c>
      <c r="AE240" s="85">
        <f t="shared" si="892"/>
        <v>3.7958321510766418E-2</v>
      </c>
      <c r="AF240" s="85">
        <f t="shared" si="892"/>
        <v>3.7958321510766418E-2</v>
      </c>
      <c r="AG240" s="85">
        <f t="shared" si="892"/>
        <v>3.7958321510766418E-2</v>
      </c>
      <c r="AH240" s="85"/>
      <c r="AI240" s="85">
        <v>3.5980068595094804E-2</v>
      </c>
      <c r="AJ240" s="85"/>
      <c r="AL240" s="73">
        <f t="shared" ref="AL240:AS240" si="893">+AL238/AL239*4</f>
        <v>0</v>
      </c>
      <c r="AM240" s="73">
        <f t="shared" si="893"/>
        <v>7.5726202449269364E-2</v>
      </c>
      <c r="AN240" s="73">
        <f t="shared" si="893"/>
        <v>8.194845529341252E-2</v>
      </c>
      <c r="AO240" s="73">
        <f t="shared" si="893"/>
        <v>0.10673579761319447</v>
      </c>
      <c r="AP240" s="73">
        <f t="shared" si="893"/>
        <v>0.11338138048889219</v>
      </c>
      <c r="AQ240" s="73">
        <f t="shared" si="893"/>
        <v>0.12443891996409087</v>
      </c>
      <c r="AR240" s="73">
        <f t="shared" si="893"/>
        <v>0.13972697752135943</v>
      </c>
      <c r="AS240" s="73">
        <f t="shared" si="893"/>
        <v>0.14543750242207804</v>
      </c>
      <c r="AT240" s="85">
        <f t="shared" ref="AT240" si="894">+AS240</f>
        <v>0.14543750242207804</v>
      </c>
      <c r="AU240" s="85">
        <f t="shared" ref="AU240" si="895">+AT240</f>
        <v>0.14543750242207804</v>
      </c>
      <c r="AV240" s="85">
        <f t="shared" ref="AV240" si="896">+AU240</f>
        <v>0.14543750242207804</v>
      </c>
      <c r="AW240" s="85">
        <f t="shared" ref="AW240" si="897">+AV240</f>
        <v>0.14543750242207804</v>
      </c>
      <c r="AX240" s="85">
        <f t="shared" ref="AX240" si="898">+AW240</f>
        <v>0.14543750242207804</v>
      </c>
      <c r="AY240" s="85">
        <f t="shared" ref="AY240" si="899">+AX240</f>
        <v>0.14543750242207804</v>
      </c>
      <c r="AZ240" s="85">
        <f t="shared" ref="AZ240" si="900">+AY240</f>
        <v>0.14543750242207804</v>
      </c>
      <c r="BA240" s="85">
        <f t="shared" ref="BA240" si="901">+AZ240</f>
        <v>0.14543750242207804</v>
      </c>
      <c r="BB240" s="85">
        <f t="shared" ref="BB240" si="902">+BA240</f>
        <v>0.14543750242207804</v>
      </c>
    </row>
    <row r="241" spans="1:54" x14ac:dyDescent="0.25">
      <c r="A241" s="22"/>
    </row>
    <row r="242" spans="1:54" x14ac:dyDescent="0.25">
      <c r="A242" s="22" t="s">
        <v>156</v>
      </c>
      <c r="B242" s="92">
        <f>+B226</f>
        <v>39</v>
      </c>
      <c r="C242" s="92">
        <f t="shared" ref="C242:X242" si="903">+C226</f>
        <v>46</v>
      </c>
      <c r="D242" s="92">
        <f t="shared" si="903"/>
        <v>49</v>
      </c>
      <c r="E242" s="92">
        <f t="shared" si="903"/>
        <v>49</v>
      </c>
      <c r="F242" s="92">
        <f t="shared" si="903"/>
        <v>46</v>
      </c>
      <c r="G242" s="92">
        <f t="shared" si="903"/>
        <v>42</v>
      </c>
      <c r="H242" s="92">
        <f t="shared" si="903"/>
        <v>43</v>
      </c>
      <c r="I242" s="92">
        <f t="shared" si="903"/>
        <v>44</v>
      </c>
      <c r="J242" s="92">
        <f t="shared" si="903"/>
        <v>43</v>
      </c>
      <c r="K242" s="92">
        <f t="shared" si="903"/>
        <v>43</v>
      </c>
      <c r="L242" s="92">
        <f t="shared" si="903"/>
        <v>44</v>
      </c>
      <c r="M242" s="92">
        <f t="shared" si="903"/>
        <v>44</v>
      </c>
      <c r="N242" s="92">
        <f t="shared" si="903"/>
        <v>43</v>
      </c>
      <c r="O242" s="92">
        <f t="shared" si="903"/>
        <v>44</v>
      </c>
      <c r="P242" s="92">
        <f t="shared" si="903"/>
        <v>44</v>
      </c>
      <c r="Q242" s="92">
        <f t="shared" si="903"/>
        <v>44</v>
      </c>
      <c r="R242" s="92">
        <f t="shared" si="903"/>
        <v>49</v>
      </c>
      <c r="S242" s="92">
        <f t="shared" si="903"/>
        <v>56</v>
      </c>
      <c r="T242" s="92">
        <f t="shared" si="903"/>
        <v>58</v>
      </c>
      <c r="U242" s="92">
        <f t="shared" si="903"/>
        <v>57</v>
      </c>
      <c r="V242" s="92">
        <f t="shared" si="903"/>
        <v>56</v>
      </c>
      <c r="W242" s="92">
        <f t="shared" si="903"/>
        <v>55</v>
      </c>
      <c r="X242" s="92">
        <f t="shared" si="903"/>
        <v>61</v>
      </c>
      <c r="Y242" s="92">
        <f t="shared" ref="Y242:Z242" si="904">+Y226</f>
        <v>57</v>
      </c>
      <c r="Z242" s="92">
        <f t="shared" si="904"/>
        <v>58</v>
      </c>
      <c r="AA242" s="92">
        <f t="shared" ref="AA242:AB242" si="905">+AA226</f>
        <v>59</v>
      </c>
      <c r="AB242" s="92">
        <f t="shared" si="905"/>
        <v>59</v>
      </c>
      <c r="AC242" s="92">
        <f t="shared" ref="AC242" si="906">+AC226</f>
        <v>67</v>
      </c>
      <c r="AD242" s="104">
        <f t="shared" ref="AD242:AG242" si="907">+AD243*AD244/4</f>
        <v>64.542084546816838</v>
      </c>
      <c r="AE242" s="104">
        <f t="shared" si="907"/>
        <v>63.971267733341698</v>
      </c>
      <c r="AF242" s="104">
        <f t="shared" si="907"/>
        <v>72.01778779507255</v>
      </c>
      <c r="AG242" s="104">
        <f t="shared" si="907"/>
        <v>61.002969135603031</v>
      </c>
      <c r="AH242" s="104"/>
      <c r="AI242" s="104">
        <v>55.813985167940821</v>
      </c>
      <c r="AJ242" s="104"/>
      <c r="AL242" s="92">
        <f>+SUMIFS($B242:AF242,$B$4:AF$4,"&lt;="&amp;AL$3,$B$4:AF$4,"&gt;"&amp;AK$3)</f>
        <v>0</v>
      </c>
      <c r="AM242" s="92">
        <f>+SUMIFS($B242:AG242,$B$4:AG$4,"&lt;="&amp;AM$3,$B$4:AG$4,"&gt;"&amp;AL$3)</f>
        <v>175</v>
      </c>
      <c r="AN242" s="92">
        <f>+SUMIFS($B242:AG242,$B$4:AG$4,"&lt;="&amp;AN$3,$B$4:AG$4,"&gt;"&amp;AM$3)</f>
        <v>174</v>
      </c>
      <c r="AO242" s="92">
        <f>+SUMIFS($B242:AG242,$B$4:AG$4,"&lt;="&amp;AO$3,$B$4:AG$4,"&gt;"&amp;AN$3)</f>
        <v>175</v>
      </c>
      <c r="AP242" s="92">
        <f>+SUMIFS($B242:AG242,$B$4:AG$4,"&lt;="&amp;AP$3,$B$4:AG$4,"&gt;"&amp;AO$3)</f>
        <v>220</v>
      </c>
      <c r="AQ242" s="92">
        <f>+SUMIFS($B242:AG242,$B$4:AG$4,"&lt;="&amp;AQ$3,$B$4:AG$4,"&gt;"&amp;AP$3)</f>
        <v>229</v>
      </c>
      <c r="AR242" s="92">
        <f>+SUMIFS($B242:AG242,$B$4:AG$4,"&lt;="&amp;AR$3,$B$4:AG$4,"&gt;"&amp;AQ$3)</f>
        <v>243</v>
      </c>
      <c r="AS242" s="92">
        <f>+SUMIFS($B242:$AG242,$B$4:$AG$4,"&lt;="&amp;AS$3,$B$4:$AG$4,"&gt;"&amp;AR$3)</f>
        <v>261.53410921083412</v>
      </c>
      <c r="AT242" s="104">
        <f t="shared" ref="AT242:BB242" si="908">+AT243*AT244/4</f>
        <v>312.93498936660234</v>
      </c>
      <c r="AU242" s="104">
        <f t="shared" si="908"/>
        <v>332.85525492216084</v>
      </c>
      <c r="AV242" s="104">
        <f t="shared" si="908"/>
        <v>354.27848530439104</v>
      </c>
      <c r="AW242" s="104">
        <f t="shared" si="908"/>
        <v>377.22952164942569</v>
      </c>
      <c r="AX242" s="104">
        <f t="shared" si="908"/>
        <v>401.81740857581883</v>
      </c>
      <c r="AY242" s="104">
        <f t="shared" si="908"/>
        <v>423.0164263407089</v>
      </c>
      <c r="AZ242" s="104">
        <f t="shared" si="908"/>
        <v>445.39074045716507</v>
      </c>
      <c r="BA242" s="104">
        <f t="shared" si="908"/>
        <v>469.04440531238725</v>
      </c>
      <c r="BB242" s="104">
        <f t="shared" si="908"/>
        <v>494.06638415954296</v>
      </c>
    </row>
    <row r="243" spans="1:54" x14ac:dyDescent="0.25">
      <c r="A243" s="36" t="s">
        <v>157</v>
      </c>
      <c r="B243" s="43">
        <f>+B107+B113</f>
        <v>100432</v>
      </c>
      <c r="C243" s="43">
        <f>+C107+C113</f>
        <v>103163</v>
      </c>
      <c r="D243" s="43">
        <f>+D107+D113</f>
        <v>105687</v>
      </c>
      <c r="E243" s="43">
        <f>+E107+E113</f>
        <v>108850</v>
      </c>
      <c r="F243" s="43">
        <f>+F107+F113</f>
        <v>113480</v>
      </c>
      <c r="G243" s="43">
        <f>+G107+G113</f>
        <v>108897</v>
      </c>
      <c r="H243" s="43">
        <f>+H107+H113</f>
        <v>108029</v>
      </c>
      <c r="I243" s="43">
        <f>+I107+I113</f>
        <v>111470</v>
      </c>
      <c r="J243" s="43">
        <f>+J107+J113</f>
        <v>113674</v>
      </c>
      <c r="K243" s="43">
        <f>+K107+K113</f>
        <v>118272</v>
      </c>
      <c r="L243" s="43">
        <f>+L107+L113</f>
        <v>118238</v>
      </c>
      <c r="M243" s="43">
        <f>+M107+M113</f>
        <v>118901</v>
      </c>
      <c r="N243" s="43">
        <f>+N107+N113</f>
        <v>130371</v>
      </c>
      <c r="O243" s="43">
        <f>+O107+O113</f>
        <v>138254</v>
      </c>
      <c r="P243" s="43">
        <f>+P107+P113</f>
        <v>138338</v>
      </c>
      <c r="Q243" s="43">
        <f>+Q107+Q113</f>
        <v>138388</v>
      </c>
      <c r="R243" s="43">
        <f>+R107+R113</f>
        <v>151202</v>
      </c>
      <c r="S243" s="43">
        <f>+S107+S113</f>
        <v>162280</v>
      </c>
      <c r="T243" s="43">
        <f>+T107+T113</f>
        <v>163041</v>
      </c>
      <c r="U243" s="43">
        <f>+U107+U113</f>
        <v>164122</v>
      </c>
      <c r="V243" s="43">
        <f>+V107+V113</f>
        <v>168512</v>
      </c>
      <c r="W243" s="43">
        <f>+W107+W113</f>
        <v>176955</v>
      </c>
      <c r="X243" s="43">
        <f>+X107+X113</f>
        <v>183341</v>
      </c>
      <c r="Y243" s="43">
        <f>+Y107+Y113</f>
        <v>181065</v>
      </c>
      <c r="Z243" s="43">
        <f>+Z107+Z113</f>
        <v>188995</v>
      </c>
      <c r="AA243" s="43">
        <f>+AA107+AA113</f>
        <v>191152</v>
      </c>
      <c r="AB243" s="43">
        <f>+AB107+AB113</f>
        <v>199193</v>
      </c>
      <c r="AC243" s="43">
        <f>+AC107+AC113</f>
        <v>208780</v>
      </c>
      <c r="AD243" s="43">
        <f>+AD106+AD113</f>
        <v>201120.84196543909</v>
      </c>
      <c r="AE243" s="43">
        <f>+AE106+AE113</f>
        <v>199342.10861741909</v>
      </c>
      <c r="AF243" s="43">
        <f>+AF106+AF113</f>
        <v>224416.02590828727</v>
      </c>
      <c r="AG243" s="43">
        <f>+AG106+AG113</f>
        <v>190092.53576315223</v>
      </c>
      <c r="AH243" s="43"/>
      <c r="AI243" s="43">
        <v>190497.11892030056</v>
      </c>
      <c r="AJ243" s="43"/>
      <c r="AL243" s="43">
        <f>+SUMIFS($B243:AF243,$B$4:AF$4,"="&amp;AL$3)</f>
        <v>108850</v>
      </c>
      <c r="AM243" s="43">
        <f>+SUMIFS($B243:AG243,$B$4:AG$4,"="&amp;AM$3)</f>
        <v>111470</v>
      </c>
      <c r="AN243" s="43">
        <f>+SUMIFS($B243:AG243,$B$4:AG$4,"="&amp;AN$3)</f>
        <v>118901</v>
      </c>
      <c r="AO243" s="43">
        <f>+SUMIFS($B243:AG243,$B$4:AG$4,"="&amp;AO$3)</f>
        <v>138388</v>
      </c>
      <c r="AP243" s="43">
        <f>+SUMIFS($B243:AG243,$B$4:AG$4,"="&amp;AP$3)</f>
        <v>164122</v>
      </c>
      <c r="AQ243" s="43">
        <f>+SUMIFS($B243:AG243,$B$4:AG$4,"="&amp;AQ$3)</f>
        <v>181065</v>
      </c>
      <c r="AR243" s="43">
        <f>+SUMIFS($B243:AG243,$B$4:AG$4,"="&amp;AR$3)</f>
        <v>208780</v>
      </c>
      <c r="AS243" s="43">
        <f>+SUMIFS($B243:$AG243,$B$4:$AG$4,"="&amp;AS$3)</f>
        <v>190092.53576315223</v>
      </c>
      <c r="AT243" s="43">
        <f>+AT106+AT113</f>
        <v>227452.57143402949</v>
      </c>
      <c r="AU243" s="43">
        <f>+AU106+AU113</f>
        <v>241931.34746809117</v>
      </c>
      <c r="AV243" s="43">
        <f>+AV106+AV113</f>
        <v>257502.53319176062</v>
      </c>
      <c r="AW243" s="43">
        <f>+AW106+AW113</f>
        <v>274184.18404940399</v>
      </c>
      <c r="AX243" s="43">
        <f>+AX106+AX113</f>
        <v>292055.55764957878</v>
      </c>
      <c r="AY243" s="43">
        <f>+AY106+AY113</f>
        <v>307463.77745989611</v>
      </c>
      <c r="AZ243" s="43">
        <f>+AZ106+AZ113</f>
        <v>323726.24555322522</v>
      </c>
      <c r="BA243" s="43">
        <f>+BA106+BA113</f>
        <v>340918.59245584742</v>
      </c>
      <c r="BB243" s="43">
        <f>+BB106+BB113</f>
        <v>359105.47990704933</v>
      </c>
    </row>
    <row r="244" spans="1:54" x14ac:dyDescent="0.25">
      <c r="A244" s="36" t="s">
        <v>158</v>
      </c>
      <c r="B244" s="73">
        <f>+B242/B243*4</f>
        <v>1.5532897881153417E-3</v>
      </c>
      <c r="C244" s="73">
        <f t="shared" ref="C244:X244" si="909">+C242/C243*4</f>
        <v>1.783585200120198E-3</v>
      </c>
      <c r="D244" s="73">
        <f t="shared" si="909"/>
        <v>1.8545327239868669E-3</v>
      </c>
      <c r="E244" s="73">
        <f t="shared" si="909"/>
        <v>1.8006430868167203E-3</v>
      </c>
      <c r="F244" s="73">
        <f t="shared" si="909"/>
        <v>1.62143108917871E-3</v>
      </c>
      <c r="G244" s="73">
        <f t="shared" si="909"/>
        <v>1.5427422243036999E-3</v>
      </c>
      <c r="H244" s="73">
        <f t="shared" si="909"/>
        <v>1.5921650667876219E-3</v>
      </c>
      <c r="I244" s="73">
        <f t="shared" si="909"/>
        <v>1.5789001525074011E-3</v>
      </c>
      <c r="J244" s="73">
        <f t="shared" si="909"/>
        <v>1.5130988616570192E-3</v>
      </c>
      <c r="K244" s="73">
        <f t="shared" si="909"/>
        <v>1.4542748917748918E-3</v>
      </c>
      <c r="L244" s="73">
        <f t="shared" si="909"/>
        <v>1.4885231482264585E-3</v>
      </c>
      <c r="M244" s="73">
        <f t="shared" si="909"/>
        <v>1.4802230426993886E-3</v>
      </c>
      <c r="N244" s="73">
        <f t="shared" si="909"/>
        <v>1.3193118101418261E-3</v>
      </c>
      <c r="O244" s="73">
        <f t="shared" si="909"/>
        <v>1.2730192254835303E-3</v>
      </c>
      <c r="P244" s="73">
        <f t="shared" si="909"/>
        <v>1.272246237476326E-3</v>
      </c>
      <c r="Q244" s="73">
        <f t="shared" si="909"/>
        <v>1.2717865710899789E-3</v>
      </c>
      <c r="R244" s="73">
        <f t="shared" si="909"/>
        <v>1.2962791497466964E-3</v>
      </c>
      <c r="S244" s="73">
        <f t="shared" si="909"/>
        <v>1.3803302933201873E-3</v>
      </c>
      <c r="T244" s="73">
        <f t="shared" si="909"/>
        <v>1.4229549622487596E-3</v>
      </c>
      <c r="U244" s="73">
        <f t="shared" si="909"/>
        <v>1.3892104653855058E-3</v>
      </c>
      <c r="V244" s="73">
        <f t="shared" si="909"/>
        <v>1.329282187618686E-3</v>
      </c>
      <c r="W244" s="73">
        <f t="shared" si="909"/>
        <v>1.2432539346161453E-3</v>
      </c>
      <c r="X244" s="73">
        <f t="shared" si="909"/>
        <v>1.3308534370380875E-3</v>
      </c>
      <c r="Y244" s="73">
        <f t="shared" ref="Y244:Z244" si="910">+Y242/Y243*4</f>
        <v>1.2592163035374036E-3</v>
      </c>
      <c r="Z244" s="73">
        <f t="shared" si="910"/>
        <v>1.2275457022672557E-3</v>
      </c>
      <c r="AA244" s="73">
        <f t="shared" ref="AA244:AB244" si="911">+AA242/AA243*4</f>
        <v>1.2346195697664685E-3</v>
      </c>
      <c r="AB244" s="73">
        <f t="shared" si="911"/>
        <v>1.1847805896793562E-3</v>
      </c>
      <c r="AC244" s="73">
        <f t="shared" ref="AC244" si="912">+AC242/AC243*4</f>
        <v>1.2836478589903248E-3</v>
      </c>
      <c r="AD244" s="85">
        <f t="shared" ref="AD244:AG244" si="913">+AC244</f>
        <v>1.2836478589903248E-3</v>
      </c>
      <c r="AE244" s="85">
        <f t="shared" si="913"/>
        <v>1.2836478589903248E-3</v>
      </c>
      <c r="AF244" s="85">
        <f t="shared" si="913"/>
        <v>1.2836478589903248E-3</v>
      </c>
      <c r="AG244" s="85">
        <f t="shared" si="913"/>
        <v>1.2836478589903248E-3</v>
      </c>
      <c r="AH244" s="85"/>
      <c r="AI244" s="85">
        <v>1.1719649196645762E-3</v>
      </c>
      <c r="AJ244" s="85"/>
      <c r="AL244" s="73">
        <f t="shared" ref="AL244:AS244" si="914">+AL242/AL243*4</f>
        <v>0</v>
      </c>
      <c r="AM244" s="73">
        <f t="shared" si="914"/>
        <v>6.2797165156544361E-3</v>
      </c>
      <c r="AN244" s="73">
        <f t="shared" si="914"/>
        <v>5.8536093052203092E-3</v>
      </c>
      <c r="AO244" s="73">
        <f t="shared" si="914"/>
        <v>5.0582420441078703E-3</v>
      </c>
      <c r="AP244" s="73">
        <f t="shared" si="914"/>
        <v>5.3618649541194961E-3</v>
      </c>
      <c r="AQ244" s="73">
        <f t="shared" si="914"/>
        <v>5.0589567282467622E-3</v>
      </c>
      <c r="AR244" s="73">
        <f t="shared" si="914"/>
        <v>4.655618354248491E-3</v>
      </c>
      <c r="AS244" s="73">
        <f t="shared" si="914"/>
        <v>5.503300972042274E-3</v>
      </c>
      <c r="AT244" s="85">
        <f t="shared" ref="AT244" si="915">+AS244</f>
        <v>5.503300972042274E-3</v>
      </c>
      <c r="AU244" s="85">
        <f t="shared" ref="AU244" si="916">+AT244</f>
        <v>5.503300972042274E-3</v>
      </c>
      <c r="AV244" s="85">
        <f t="shared" ref="AV244" si="917">+AU244</f>
        <v>5.503300972042274E-3</v>
      </c>
      <c r="AW244" s="85">
        <f t="shared" ref="AW244" si="918">+AV244</f>
        <v>5.503300972042274E-3</v>
      </c>
      <c r="AX244" s="85">
        <f t="shared" ref="AX244" si="919">+AW244</f>
        <v>5.503300972042274E-3</v>
      </c>
      <c r="AY244" s="85">
        <f t="shared" ref="AY244" si="920">+AX244</f>
        <v>5.503300972042274E-3</v>
      </c>
      <c r="AZ244" s="85">
        <f t="shared" ref="AZ244" si="921">+AY244</f>
        <v>5.503300972042274E-3</v>
      </c>
      <c r="BA244" s="85">
        <f t="shared" ref="BA244" si="922">+AZ244</f>
        <v>5.503300972042274E-3</v>
      </c>
      <c r="BB244" s="85">
        <f t="shared" ref="BB244" si="923">+BA244</f>
        <v>5.503300972042274E-3</v>
      </c>
    </row>
    <row r="245" spans="1:54" x14ac:dyDescent="0.25">
      <c r="A245" s="22"/>
    </row>
    <row r="246" spans="1:54" x14ac:dyDescent="0.25">
      <c r="A246" s="22" t="s">
        <v>159</v>
      </c>
      <c r="B246" s="92">
        <f>+B223-B238-B242</f>
        <v>71</v>
      </c>
      <c r="C246" s="92">
        <f t="shared" ref="C246:X246" si="924">+C223-C238-C242</f>
        <v>99</v>
      </c>
      <c r="D246" s="92">
        <f t="shared" si="924"/>
        <v>98</v>
      </c>
      <c r="E246" s="92">
        <f t="shared" si="924"/>
        <v>107</v>
      </c>
      <c r="F246" s="92">
        <f t="shared" si="924"/>
        <v>102</v>
      </c>
      <c r="G246" s="92">
        <f t="shared" si="924"/>
        <v>116</v>
      </c>
      <c r="H246" s="92">
        <f t="shared" si="924"/>
        <v>124</v>
      </c>
      <c r="I246" s="92">
        <f t="shared" si="924"/>
        <v>113</v>
      </c>
      <c r="J246" s="92">
        <f t="shared" si="924"/>
        <v>119</v>
      </c>
      <c r="K246" s="92">
        <f t="shared" si="924"/>
        <v>130</v>
      </c>
      <c r="L246" s="92">
        <f t="shared" si="924"/>
        <v>136</v>
      </c>
      <c r="M246" s="92">
        <f t="shared" si="924"/>
        <v>158</v>
      </c>
      <c r="N246" s="92">
        <f t="shared" si="924"/>
        <v>159</v>
      </c>
      <c r="O246" s="92">
        <f t="shared" si="924"/>
        <v>175</v>
      </c>
      <c r="P246" s="92">
        <f t="shared" si="924"/>
        <v>188</v>
      </c>
      <c r="Q246" s="92">
        <f t="shared" si="924"/>
        <v>212</v>
      </c>
      <c r="R246" s="92">
        <f t="shared" si="924"/>
        <v>197</v>
      </c>
      <c r="S246" s="92">
        <f t="shared" si="924"/>
        <v>238</v>
      </c>
      <c r="T246" s="92">
        <f t="shared" si="924"/>
        <v>167</v>
      </c>
      <c r="U246" s="92">
        <f t="shared" si="924"/>
        <v>220</v>
      </c>
      <c r="V246" s="92">
        <f t="shared" si="924"/>
        <v>206</v>
      </c>
      <c r="W246" s="92">
        <f t="shared" si="924"/>
        <v>217</v>
      </c>
      <c r="X246" s="92">
        <f t="shared" si="924"/>
        <v>235</v>
      </c>
      <c r="Y246" s="92">
        <f t="shared" ref="Y246:Z246" si="925">+Y223-Y238-Y242</f>
        <v>249</v>
      </c>
      <c r="Z246" s="92">
        <f t="shared" si="925"/>
        <v>218</v>
      </c>
      <c r="AA246" s="92">
        <f t="shared" ref="AA246:AB246" si="926">+AA223-AA238-AA242</f>
        <v>218</v>
      </c>
      <c r="AB246" s="92">
        <f t="shared" si="926"/>
        <v>244</v>
      </c>
      <c r="AC246" s="92">
        <f t="shared" ref="AC246" si="927">+AC223-AC238-AC242</f>
        <v>261</v>
      </c>
      <c r="AD246" s="104">
        <f t="shared" ref="AD246:AG246" si="928">+AD247*AD248/4</f>
        <v>251.42513532416706</v>
      </c>
      <c r="AE246" s="104">
        <f t="shared" si="928"/>
        <v>249.20150564779374</v>
      </c>
      <c r="AF246" s="104">
        <f t="shared" si="928"/>
        <v>280.54690469423781</v>
      </c>
      <c r="AG246" s="104">
        <f t="shared" si="928"/>
        <v>237.63843200585654</v>
      </c>
      <c r="AH246" s="104"/>
      <c r="AI246" s="104">
        <v>230.8239386606366</v>
      </c>
      <c r="AJ246" s="104"/>
      <c r="AL246" s="92">
        <f>+SUMIFS($B246:AF246,$B$4:AF$4,"&lt;="&amp;AL$3,$B$4:AF$4,"&gt;"&amp;AK$3)</f>
        <v>0</v>
      </c>
      <c r="AM246" s="92">
        <f>+SUMIFS($B246:AG246,$B$4:AG$4,"&lt;="&amp;AM$3,$B$4:AG$4,"&gt;"&amp;AL$3)</f>
        <v>455</v>
      </c>
      <c r="AN246" s="92">
        <f>+SUMIFS($B246:AG246,$B$4:AG$4,"&lt;="&amp;AN$3,$B$4:AG$4,"&gt;"&amp;AM$3)</f>
        <v>543</v>
      </c>
      <c r="AO246" s="92">
        <f>+SUMIFS($B246:AG246,$B$4:AG$4,"&lt;="&amp;AO$3,$B$4:AG$4,"&gt;"&amp;AN$3)</f>
        <v>734</v>
      </c>
      <c r="AP246" s="92">
        <f>+SUMIFS($B246:AG246,$B$4:AG$4,"&lt;="&amp;AP$3,$B$4:AG$4,"&gt;"&amp;AO$3)</f>
        <v>822</v>
      </c>
      <c r="AQ246" s="92">
        <f>+SUMIFS($B246:AG246,$B$4:AG$4,"&lt;="&amp;AQ$3,$B$4:AG$4,"&gt;"&amp;AP$3)</f>
        <v>907</v>
      </c>
      <c r="AR246" s="92">
        <f>+SUMIFS($B246:AG246,$B$4:AG$4,"&lt;="&amp;AR$3,$B$4:AG$4,"&gt;"&amp;AQ$3)</f>
        <v>941</v>
      </c>
      <c r="AS246" s="92">
        <f>+SUMIFS($B246:$AG246,$B$4:$AG$4,"&lt;="&amp;AS$3,$B$4:$AG$4,"&gt;"&amp;AR$3)</f>
        <v>1018.8119776720551</v>
      </c>
      <c r="AT246" s="104">
        <f t="shared" ref="AT246:BB246" si="929">+AT247*AT248/4</f>
        <v>1219.0452570848238</v>
      </c>
      <c r="AU246" s="104">
        <f t="shared" si="929"/>
        <v>1296.6450975325965</v>
      </c>
      <c r="AV246" s="104">
        <f t="shared" si="929"/>
        <v>1380.0997711111349</v>
      </c>
      <c r="AW246" s="104">
        <f t="shared" si="929"/>
        <v>1469.5060470223893</v>
      </c>
      <c r="AX246" s="104">
        <f t="shared" si="929"/>
        <v>1565.2887110192344</v>
      </c>
      <c r="AY246" s="104">
        <f t="shared" si="929"/>
        <v>1647.869959327239</v>
      </c>
      <c r="AZ246" s="104">
        <f t="shared" si="929"/>
        <v>1735.0296008853741</v>
      </c>
      <c r="BA246" s="104">
        <f t="shared" si="929"/>
        <v>1827.1729818885531</v>
      </c>
      <c r="BB246" s="104">
        <f t="shared" si="929"/>
        <v>1924.6466606812044</v>
      </c>
    </row>
    <row r="247" spans="1:54" x14ac:dyDescent="0.25">
      <c r="A247" s="36" t="s">
        <v>157</v>
      </c>
      <c r="B247" s="43">
        <f>+B107+B113</f>
        <v>100432</v>
      </c>
      <c r="C247" s="43">
        <f>+C107+C113</f>
        <v>103163</v>
      </c>
      <c r="D247" s="43">
        <f>+D107+D113</f>
        <v>105687</v>
      </c>
      <c r="E247" s="43">
        <f>+E107+E113</f>
        <v>108850</v>
      </c>
      <c r="F247" s="43">
        <f>+F107+F113</f>
        <v>113480</v>
      </c>
      <c r="G247" s="43">
        <f>+G107+G113</f>
        <v>108897</v>
      </c>
      <c r="H247" s="43">
        <f>+H107+H113</f>
        <v>108029</v>
      </c>
      <c r="I247" s="43">
        <f>+I107+I113</f>
        <v>111470</v>
      </c>
      <c r="J247" s="43">
        <f>+J107+J113</f>
        <v>113674</v>
      </c>
      <c r="K247" s="43">
        <f>+K107+K113</f>
        <v>118272</v>
      </c>
      <c r="L247" s="43">
        <f>+L107+L113</f>
        <v>118238</v>
      </c>
      <c r="M247" s="43">
        <f>+M107+M113</f>
        <v>118901</v>
      </c>
      <c r="N247" s="43">
        <f>+N107+N113</f>
        <v>130371</v>
      </c>
      <c r="O247" s="43">
        <f>+O107+O113</f>
        <v>138254</v>
      </c>
      <c r="P247" s="43">
        <f>+P107+P113</f>
        <v>138338</v>
      </c>
      <c r="Q247" s="43">
        <f>+Q107+Q113</f>
        <v>138388</v>
      </c>
      <c r="R247" s="43">
        <f>+R107+R113</f>
        <v>151202</v>
      </c>
      <c r="S247" s="43">
        <f>+S107+S113</f>
        <v>162280</v>
      </c>
      <c r="T247" s="43">
        <f>+T107+T113</f>
        <v>163041</v>
      </c>
      <c r="U247" s="43">
        <f>+U107+U113</f>
        <v>164122</v>
      </c>
      <c r="V247" s="43">
        <f>+V107+V113</f>
        <v>168512</v>
      </c>
      <c r="W247" s="43">
        <f>+W107+W113</f>
        <v>176955</v>
      </c>
      <c r="X247" s="43">
        <f>+X107+X113</f>
        <v>183341</v>
      </c>
      <c r="Y247" s="43">
        <f>+Y107+Y113</f>
        <v>181065</v>
      </c>
      <c r="Z247" s="43">
        <f>+Z107+Z113</f>
        <v>188995</v>
      </c>
      <c r="AA247" s="43">
        <f>+AA107+AA113</f>
        <v>191152</v>
      </c>
      <c r="AB247" s="43">
        <f>+AB107+AB113</f>
        <v>199193</v>
      </c>
      <c r="AC247" s="43">
        <f>+AC107+AC113</f>
        <v>208780</v>
      </c>
      <c r="AD247" s="43">
        <f>+AD106+AD113</f>
        <v>201120.84196543909</v>
      </c>
      <c r="AE247" s="43">
        <f>+AE106+AE113</f>
        <v>199342.10861741909</v>
      </c>
      <c r="AF247" s="43">
        <f>+AF106+AF113</f>
        <v>224416.02590828727</v>
      </c>
      <c r="AG247" s="43">
        <f>+AG106+AG113</f>
        <v>190092.53576315223</v>
      </c>
      <c r="AH247" s="43"/>
      <c r="AI247" s="43">
        <v>190497.11892030056</v>
      </c>
      <c r="AJ247" s="43"/>
      <c r="AL247" s="43">
        <f>+SUMIFS($B247:AF247,$B$4:AF$4,"="&amp;AL$3)</f>
        <v>108850</v>
      </c>
      <c r="AM247" s="43">
        <f>+SUMIFS($B247:AG247,$B$4:AG$4,"="&amp;AM$3)</f>
        <v>111470</v>
      </c>
      <c r="AN247" s="43">
        <f>+SUMIFS($B247:AG247,$B$4:AG$4,"="&amp;AN$3)</f>
        <v>118901</v>
      </c>
      <c r="AO247" s="43">
        <f>+SUMIFS($B247:AG247,$B$4:AG$4,"="&amp;AO$3)</f>
        <v>138388</v>
      </c>
      <c r="AP247" s="43">
        <f>+SUMIFS($B247:AG247,$B$4:AG$4,"="&amp;AP$3)</f>
        <v>164122</v>
      </c>
      <c r="AQ247" s="43">
        <f>+SUMIFS($B247:AG247,$B$4:AG$4,"="&amp;AQ$3)</f>
        <v>181065</v>
      </c>
      <c r="AR247" s="43">
        <f>+SUMIFS($B247:AG247,$B$4:AG$4,"="&amp;AR$3)</f>
        <v>208780</v>
      </c>
      <c r="AS247" s="43">
        <f>+SUMIFS($B247:$AG247,$B$4:$AG$4,"="&amp;AS$3)</f>
        <v>190092.53576315223</v>
      </c>
      <c r="AT247" s="43">
        <f>+AT106+AT113</f>
        <v>227452.57143402949</v>
      </c>
      <c r="AU247" s="43">
        <f>+AU106+AU113</f>
        <v>241931.34746809117</v>
      </c>
      <c r="AV247" s="43">
        <f>+AV106+AV113</f>
        <v>257502.53319176062</v>
      </c>
      <c r="AW247" s="43">
        <f>+AW106+AW113</f>
        <v>274184.18404940399</v>
      </c>
      <c r="AX247" s="43">
        <f>+AX106+AX113</f>
        <v>292055.55764957878</v>
      </c>
      <c r="AY247" s="43">
        <f>+AY106+AY113</f>
        <v>307463.77745989611</v>
      </c>
      <c r="AZ247" s="43">
        <f>+AZ106+AZ113</f>
        <v>323726.24555322522</v>
      </c>
      <c r="BA247" s="43">
        <f>+BA106+BA113</f>
        <v>340918.59245584742</v>
      </c>
      <c r="BB247" s="43">
        <f>+BB106+BB113</f>
        <v>359105.47990704933</v>
      </c>
    </row>
    <row r="248" spans="1:54" x14ac:dyDescent="0.25">
      <c r="A248" s="36" t="s">
        <v>158</v>
      </c>
      <c r="B248" s="73">
        <f>+B246/B247*4</f>
        <v>2.8277839732356222E-3</v>
      </c>
      <c r="C248" s="73">
        <f t="shared" ref="C248:X248" si="930">+C246/C247*4</f>
        <v>3.8385855393891222E-3</v>
      </c>
      <c r="D248" s="73">
        <f t="shared" si="930"/>
        <v>3.7090654479737337E-3</v>
      </c>
      <c r="E248" s="73">
        <f t="shared" si="930"/>
        <v>3.9320165365181441E-3</v>
      </c>
      <c r="F248" s="73">
        <f t="shared" si="930"/>
        <v>3.5953471977440959E-3</v>
      </c>
      <c r="G248" s="73">
        <f t="shared" si="930"/>
        <v>4.2609070956959325E-3</v>
      </c>
      <c r="H248" s="73">
        <f t="shared" si="930"/>
        <v>4.5913597274805842E-3</v>
      </c>
      <c r="I248" s="73">
        <f t="shared" si="930"/>
        <v>4.0549026643940077E-3</v>
      </c>
      <c r="J248" s="73">
        <f t="shared" si="930"/>
        <v>4.1874131287717511E-3</v>
      </c>
      <c r="K248" s="73">
        <f t="shared" si="930"/>
        <v>4.396645021645022E-3</v>
      </c>
      <c r="L248" s="73">
        <f t="shared" si="930"/>
        <v>4.6008897308817808E-3</v>
      </c>
      <c r="M248" s="73">
        <f t="shared" si="930"/>
        <v>5.3153463806023494E-3</v>
      </c>
      <c r="N248" s="73">
        <f t="shared" si="930"/>
        <v>4.8783855305244263E-3</v>
      </c>
      <c r="O248" s="73">
        <f t="shared" si="930"/>
        <v>5.0631446468094952E-3</v>
      </c>
      <c r="P248" s="73">
        <f t="shared" si="930"/>
        <v>5.4359611964897572E-3</v>
      </c>
      <c r="Q248" s="73">
        <f t="shared" si="930"/>
        <v>6.1276989334335345E-3</v>
      </c>
      <c r="R248" s="73">
        <f t="shared" si="930"/>
        <v>5.2115712755122284E-3</v>
      </c>
      <c r="S248" s="73">
        <f t="shared" si="930"/>
        <v>5.8664037466107958E-3</v>
      </c>
      <c r="T248" s="73">
        <f t="shared" si="930"/>
        <v>4.0971289430266006E-3</v>
      </c>
      <c r="U248" s="73">
        <f t="shared" si="930"/>
        <v>5.3618649541194961E-3</v>
      </c>
      <c r="V248" s="73">
        <f t="shared" si="930"/>
        <v>4.889859475883023E-3</v>
      </c>
      <c r="W248" s="73">
        <f t="shared" si="930"/>
        <v>4.9052018874855188E-3</v>
      </c>
      <c r="X248" s="73">
        <f t="shared" si="930"/>
        <v>5.1270583230155833E-3</v>
      </c>
      <c r="Y248" s="73">
        <f t="shared" ref="Y248:Z248" si="931">+Y246/Y247*4</f>
        <v>5.5007870101897111E-3</v>
      </c>
      <c r="Z248" s="73">
        <f t="shared" si="931"/>
        <v>4.6138786740389957E-3</v>
      </c>
      <c r="AA248" s="73">
        <f t="shared" ref="AA248:AB248" si="932">+AA246/AA247*4</f>
        <v>4.5618146815100029E-3</v>
      </c>
      <c r="AB248" s="73">
        <f t="shared" si="932"/>
        <v>4.899770574267168E-3</v>
      </c>
      <c r="AC248" s="73">
        <f t="shared" ref="AC248" si="933">+AC246/AC247*4</f>
        <v>5.0004789730817125E-3</v>
      </c>
      <c r="AD248" s="85">
        <f t="shared" ref="AD248:AG248" si="934">+AC248</f>
        <v>5.0004789730817125E-3</v>
      </c>
      <c r="AE248" s="85">
        <f t="shared" si="934"/>
        <v>5.0004789730817125E-3</v>
      </c>
      <c r="AF248" s="85">
        <f t="shared" si="934"/>
        <v>5.0004789730817125E-3</v>
      </c>
      <c r="AG248" s="85">
        <f t="shared" si="934"/>
        <v>5.0004789730817125E-3</v>
      </c>
      <c r="AH248" s="85"/>
      <c r="AI248" s="85">
        <v>4.8467701762399422E-3</v>
      </c>
      <c r="AJ248" s="85"/>
      <c r="AL248" s="73">
        <f t="shared" ref="AL248:AS248" si="935">+AL246/AL247*4</f>
        <v>0</v>
      </c>
      <c r="AM248" s="73">
        <f t="shared" si="935"/>
        <v>1.6327262940701533E-2</v>
      </c>
      <c r="AN248" s="73">
        <f t="shared" si="935"/>
        <v>1.8267298004221999E-2</v>
      </c>
      <c r="AO248" s="73">
        <f t="shared" si="935"/>
        <v>2.1215712345001012E-2</v>
      </c>
      <c r="AP248" s="73">
        <f t="shared" si="935"/>
        <v>2.0033877237664664E-2</v>
      </c>
      <c r="AQ248" s="73">
        <f t="shared" si="935"/>
        <v>2.0037003286112721E-2</v>
      </c>
      <c r="AR248" s="73">
        <f t="shared" si="935"/>
        <v>1.8028546795670085E-2</v>
      </c>
      <c r="AS248" s="73">
        <f t="shared" si="935"/>
        <v>2.1438232144821392E-2</v>
      </c>
      <c r="AT248" s="85">
        <f t="shared" ref="AT248" si="936">+AS248</f>
        <v>2.1438232144821392E-2</v>
      </c>
      <c r="AU248" s="85">
        <f t="shared" ref="AU248" si="937">+AT248</f>
        <v>2.1438232144821392E-2</v>
      </c>
      <c r="AV248" s="85">
        <f t="shared" ref="AV248" si="938">+AU248</f>
        <v>2.1438232144821392E-2</v>
      </c>
      <c r="AW248" s="85">
        <f t="shared" ref="AW248" si="939">+AV248</f>
        <v>2.1438232144821392E-2</v>
      </c>
      <c r="AX248" s="85">
        <f t="shared" ref="AX248" si="940">+AW248</f>
        <v>2.1438232144821392E-2</v>
      </c>
      <c r="AY248" s="85">
        <f t="shared" ref="AY248" si="941">+AX248</f>
        <v>2.1438232144821392E-2</v>
      </c>
      <c r="AZ248" s="85">
        <f t="shared" ref="AZ248" si="942">+AY248</f>
        <v>2.1438232144821392E-2</v>
      </c>
      <c r="BA248" s="85">
        <f t="shared" ref="BA248" si="943">+AZ248</f>
        <v>2.1438232144821392E-2</v>
      </c>
      <c r="BB248" s="85">
        <f t="shared" ref="BB248" si="944">+BA248</f>
        <v>2.1438232144821392E-2</v>
      </c>
    </row>
    <row r="253" spans="1:54" s="297" customFormat="1" x14ac:dyDescent="0.25">
      <c r="A253" s="296" t="s">
        <v>160</v>
      </c>
      <c r="B253" s="297">
        <f t="shared" ref="B253:Q253" si="945">+B170</f>
        <v>167</v>
      </c>
      <c r="C253" s="297">
        <f t="shared" si="945"/>
        <v>181</v>
      </c>
      <c r="D253" s="297">
        <f t="shared" si="945"/>
        <v>185</v>
      </c>
      <c r="E253" s="297">
        <f t="shared" si="945"/>
        <v>207</v>
      </c>
      <c r="F253" s="297">
        <f t="shared" si="945"/>
        <v>224</v>
      </c>
      <c r="G253" s="297">
        <f t="shared" si="945"/>
        <v>203</v>
      </c>
      <c r="H253" s="297">
        <f t="shared" si="945"/>
        <v>190</v>
      </c>
      <c r="I253" s="297">
        <f t="shared" si="945"/>
        <v>228</v>
      </c>
      <c r="J253" s="297">
        <f t="shared" si="945"/>
        <v>252</v>
      </c>
      <c r="K253" s="297">
        <f t="shared" si="945"/>
        <v>261</v>
      </c>
      <c r="L253" s="297">
        <f t="shared" si="945"/>
        <v>221</v>
      </c>
      <c r="M253" s="297">
        <f t="shared" si="945"/>
        <v>286</v>
      </c>
      <c r="N253" s="297">
        <f t="shared" si="945"/>
        <v>309</v>
      </c>
      <c r="O253" s="297">
        <f t="shared" si="945"/>
        <v>283</v>
      </c>
      <c r="P253" s="297">
        <f t="shared" si="945"/>
        <v>287</v>
      </c>
      <c r="Q253" s="297">
        <f t="shared" si="945"/>
        <v>291</v>
      </c>
      <c r="AD253" s="298"/>
      <c r="AE253" s="298"/>
      <c r="AF253" s="298"/>
      <c r="AG253" s="298"/>
      <c r="AH253" s="443"/>
      <c r="AI253" s="298"/>
      <c r="AJ253" s="443"/>
      <c r="AL253" s="297">
        <f>+SUMIFS($B253:AF253,$B$4:AF$4,"&lt;="&amp;AL$3,$B$4:AF$4,"&gt;"&amp;AK$3)</f>
        <v>0</v>
      </c>
      <c r="AM253" s="297">
        <f>+SUMIFS($B253:AG253,$B$4:AG$4,"&lt;="&amp;AM$3,$B$4:AG$4,"&gt;"&amp;AL$3)</f>
        <v>845</v>
      </c>
      <c r="AN253" s="297">
        <f>+SUMIFS($B253:AG253,$B$4:AG$4,"&lt;="&amp;AN$3,$B$4:AG$4,"&gt;"&amp;AM$3)</f>
        <v>1020</v>
      </c>
      <c r="AO253" s="297">
        <f>+SUMIFS($B253:AG253,$B$4:AG$4,"&lt;="&amp;AO$3,$B$4:AG$4,"&gt;"&amp;AN$3)</f>
        <v>1170</v>
      </c>
      <c r="AP253" s="297">
        <f>+SUMIFS($B253:AG253,$B$4:AG$4,"&lt;="&amp;AP$3,$B$4:AG$4,"&gt;"&amp;AO$3)</f>
        <v>0</v>
      </c>
      <c r="AQ253" s="297">
        <f>+SUMIFS($B253:AG253,$B$4:AG$4,"&lt;="&amp;AQ$3,$B$4:AG$4,"&gt;"&amp;AP$3)</f>
        <v>0</v>
      </c>
      <c r="AR253" s="297">
        <f>+SUMIFS($B253:AG253,$B$4:AG$4,"&lt;="&amp;AR$3,$B$4:AG$4,"&gt;"&amp;AQ$3)</f>
        <v>0</v>
      </c>
      <c r="AS253" s="297">
        <f>+SUMIFS($B253:$AG253,$B$4:$AG$4,"&lt;="&amp;AS$3,$B$4:$AG$4,"&gt;"&amp;AR$3)</f>
        <v>0</v>
      </c>
      <c r="AT253" s="298">
        <f t="shared" ref="AT253:BB253" si="946">+AT255*AT257</f>
        <v>0</v>
      </c>
      <c r="AU253" s="298">
        <f t="shared" si="946"/>
        <v>0</v>
      </c>
      <c r="AV253" s="298">
        <f t="shared" si="946"/>
        <v>0</v>
      </c>
      <c r="AW253" s="298">
        <f t="shared" si="946"/>
        <v>0</v>
      </c>
      <c r="AX253" s="298">
        <f t="shared" si="946"/>
        <v>0</v>
      </c>
      <c r="AY253" s="298">
        <f t="shared" si="946"/>
        <v>0</v>
      </c>
      <c r="AZ253" s="298">
        <f t="shared" si="946"/>
        <v>0</v>
      </c>
      <c r="BA253" s="298">
        <f t="shared" si="946"/>
        <v>0</v>
      </c>
      <c r="BB253" s="298">
        <f t="shared" si="946"/>
        <v>0</v>
      </c>
    </row>
    <row r="254" spans="1:54" s="41" customFormat="1" x14ac:dyDescent="0.25">
      <c r="A254" s="164" t="s">
        <v>161</v>
      </c>
      <c r="B254" s="41">
        <f>+PROJ!B30</f>
        <v>16436</v>
      </c>
      <c r="C254" s="41">
        <f>+PROJ!C30</f>
        <v>16128</v>
      </c>
      <c r="D254" s="41">
        <f>+PROJ!D30</f>
        <v>11561</v>
      </c>
      <c r="E254" s="41">
        <f>+PROJ!E30</f>
        <v>12104</v>
      </c>
      <c r="F254" s="41">
        <f>+PROJ!F30</f>
        <v>12374</v>
      </c>
      <c r="G254" s="41">
        <f>+PROJ!G30</f>
        <v>11960</v>
      </c>
      <c r="H254" s="41">
        <f>+PROJ!H30</f>
        <v>11530</v>
      </c>
      <c r="I254" s="41">
        <f>+PROJ!I30</f>
        <v>13650</v>
      </c>
      <c r="J254" s="41">
        <f>+PROJ!J30</f>
        <v>16390</v>
      </c>
      <c r="K254" s="41">
        <f>+PROJ!K30</f>
        <v>20015</v>
      </c>
      <c r="L254" s="41">
        <f>+PROJ!L30</f>
        <v>22534</v>
      </c>
      <c r="M254" s="41">
        <f>+PROJ!M30</f>
        <v>23884</v>
      </c>
      <c r="N254" s="41">
        <f>+PROJ!N30</f>
        <v>25797</v>
      </c>
      <c r="O254" s="41">
        <f>+PROJ!O30</f>
        <v>26480</v>
      </c>
      <c r="P254" s="41">
        <f>+PROJ!P30</f>
        <v>41019</v>
      </c>
      <c r="Q254" s="41">
        <f>+PROJ!Q30</f>
        <v>45818</v>
      </c>
      <c r="R254" s="41">
        <f>+PROJ!R30</f>
        <v>48367</v>
      </c>
      <c r="S254" s="41">
        <f>+PROJ!S30</f>
        <v>58853</v>
      </c>
      <c r="T254" s="41">
        <f>+PROJ!T30</f>
        <v>59431</v>
      </c>
      <c r="U254" s="41">
        <f>+PROJ!U30</f>
        <v>44366</v>
      </c>
      <c r="V254" s="41">
        <f>+PROJ!V30</f>
        <v>37414</v>
      </c>
      <c r="W254" s="41">
        <f>+PROJ!W30</f>
        <v>36296</v>
      </c>
      <c r="X254" s="41">
        <f>+PROJ!X30</f>
        <v>43608</v>
      </c>
      <c r="Y254" s="41">
        <f>+PROJ!Y30</f>
        <v>43929</v>
      </c>
      <c r="Z254" s="41">
        <f>+PROJ!Z30</f>
        <v>46164</v>
      </c>
      <c r="AA254" s="41">
        <f>+PROJ!AA30</f>
        <v>46173.25</v>
      </c>
      <c r="AB254" s="41">
        <f>+PROJ!AB30</f>
        <v>47703.25</v>
      </c>
      <c r="AC254" s="41">
        <f>+PROJ!AC30</f>
        <v>49520.25</v>
      </c>
      <c r="AD254" s="41">
        <f>+PROJ!AD30</f>
        <v>51252.532544473157</v>
      </c>
      <c r="AE254" s="41">
        <f>+PROJ!AE30</f>
        <v>50788.126092820406</v>
      </c>
      <c r="AF254" s="41">
        <f>+PROJ!AF30</f>
        <v>52361.416761872119</v>
      </c>
      <c r="AG254" s="41">
        <f>+PROJ!AG30</f>
        <v>53927.334824516649</v>
      </c>
      <c r="AH254" s="433"/>
      <c r="AI254" s="41">
        <v>49467.010883973853</v>
      </c>
      <c r="AJ254" s="433"/>
      <c r="AL254" s="41">
        <f>+SUMIFS($B254:AF254,$B$4:AF$4,"="&amp;AL$3)</f>
        <v>12104</v>
      </c>
      <c r="AM254" s="41">
        <f>+SUMIFS($B254:AG254,$B$4:AG$4,"="&amp;AM$3)</f>
        <v>13650</v>
      </c>
      <c r="AN254" s="41">
        <f>+SUMIFS($B254:AG254,$B$4:AG$4,"="&amp;AN$3)</f>
        <v>23884</v>
      </c>
      <c r="AO254" s="41">
        <f>+SUMIFS($B254:AG254,$B$4:AG$4,"="&amp;AO$3)</f>
        <v>45818</v>
      </c>
      <c r="AP254" s="41">
        <f>+SUMIFS($B254:AG254,$B$4:AG$4,"="&amp;AP$3)</f>
        <v>44366</v>
      </c>
      <c r="AQ254" s="41">
        <f>+SUMIFS($B254:AG254,$B$4:AG$4,"="&amp;AQ$3)</f>
        <v>43929</v>
      </c>
      <c r="AR254" s="41">
        <f>+SUMIFS($B254:AG254,$B$4:AG$4,"="&amp;AR$3)</f>
        <v>49520.25</v>
      </c>
      <c r="AS254" s="41">
        <f>+SUMIFS($B254:$AG254,$B$4:$AG$4,"="&amp;AS$3)</f>
        <v>53927.334824516649</v>
      </c>
      <c r="AT254" s="41">
        <f>+PROJ!AT30</f>
        <v>59257.360791465144</v>
      </c>
      <c r="AU254" s="41">
        <f>+PROJ!AU30</f>
        <v>65198.025656879523</v>
      </c>
      <c r="AV254" s="41">
        <f>+PROJ!AV30</f>
        <v>71622.107268976557</v>
      </c>
      <c r="AW254" s="41">
        <f>+PROJ!AW30</f>
        <v>78638.938459302051</v>
      </c>
      <c r="AX254" s="41">
        <f>+PROJ!AX30</f>
        <v>86294.343052325959</v>
      </c>
      <c r="AY254" s="41">
        <f>+PROJ!AY30</f>
        <v>94486.044072270175</v>
      </c>
      <c r="AZ254" s="41">
        <f>+PROJ!AZ30</f>
        <v>103193.1251638368</v>
      </c>
      <c r="BA254" s="41">
        <f>+PROJ!BA30</f>
        <v>112484.87394599352</v>
      </c>
      <c r="BB254" s="41">
        <f>+PROJ!BB30</f>
        <v>122404.04128069326</v>
      </c>
    </row>
    <row r="255" spans="1:54" s="346" customFormat="1" x14ac:dyDescent="0.25">
      <c r="A255" s="345" t="s">
        <v>91</v>
      </c>
      <c r="B255" s="346">
        <v>16436</v>
      </c>
      <c r="C255" s="346">
        <v>16128</v>
      </c>
      <c r="D255" s="346">
        <v>11561</v>
      </c>
      <c r="E255" s="346">
        <v>12104</v>
      </c>
      <c r="F255" s="346">
        <v>12374</v>
      </c>
      <c r="G255" s="346">
        <v>11960</v>
      </c>
      <c r="H255" s="346">
        <v>11530</v>
      </c>
      <c r="I255" s="346">
        <v>13650</v>
      </c>
      <c r="J255" s="346">
        <v>16390</v>
      </c>
      <c r="K255" s="346">
        <v>20015</v>
      </c>
      <c r="L255" s="346">
        <v>22534</v>
      </c>
      <c r="M255" s="346">
        <v>23884</v>
      </c>
      <c r="N255" s="346">
        <v>25797</v>
      </c>
      <c r="O255" s="346">
        <v>26480</v>
      </c>
      <c r="P255" s="346">
        <v>41019</v>
      </c>
      <c r="Q255" s="346">
        <v>45818</v>
      </c>
      <c r="R255" s="346">
        <v>48367</v>
      </c>
      <c r="S255" s="346">
        <v>58853</v>
      </c>
      <c r="T255" s="346">
        <v>59431</v>
      </c>
      <c r="U255" s="346">
        <v>44366</v>
      </c>
      <c r="V255" s="346">
        <v>37414</v>
      </c>
      <c r="W255" s="346">
        <v>36296</v>
      </c>
      <c r="X255" s="346">
        <v>43608</v>
      </c>
      <c r="Y255" s="346">
        <v>43929</v>
      </c>
      <c r="Z255" s="346">
        <v>46164</v>
      </c>
      <c r="AA255" s="346">
        <v>46173.25</v>
      </c>
      <c r="AB255" s="346">
        <v>47703.25</v>
      </c>
      <c r="AC255" s="346">
        <v>49520.25</v>
      </c>
      <c r="AD255" s="346">
        <v>50765.845843347226</v>
      </c>
      <c r="AE255" s="346">
        <v>49856.304324972145</v>
      </c>
      <c r="AF255" s="346">
        <v>50947.79932858071</v>
      </c>
      <c r="AG255" s="346">
        <v>51921.544563636227</v>
      </c>
      <c r="AH255" s="433"/>
      <c r="AI255" s="346">
        <v>49704.806019260293</v>
      </c>
      <c r="AJ255" s="433"/>
      <c r="AL255" s="346">
        <v>12104</v>
      </c>
      <c r="AM255" s="346">
        <v>13650</v>
      </c>
      <c r="AN255" s="346">
        <v>23884</v>
      </c>
      <c r="AO255" s="346">
        <v>45818</v>
      </c>
      <c r="AP255" s="346">
        <v>44366</v>
      </c>
      <c r="AQ255" s="346">
        <v>45301</v>
      </c>
      <c r="AR255" s="346">
        <v>50939.066511340701</v>
      </c>
      <c r="AS255" s="346">
        <v>57092.325877167437</v>
      </c>
      <c r="AT255" s="346">
        <v>64607.012622624461</v>
      </c>
      <c r="AU255" s="346">
        <v>72307.549833938741</v>
      </c>
      <c r="AV255" s="346">
        <v>80734.876563768208</v>
      </c>
      <c r="AW255" s="346">
        <v>89690.182678244993</v>
      </c>
      <c r="AX255" s="346">
        <v>99247.235146520557</v>
      </c>
      <c r="AY255" s="346">
        <v>109351.02427726639</v>
      </c>
      <c r="AZ255" s="346">
        <v>119947.6186990416</v>
      </c>
      <c r="BA255" s="346">
        <v>131043.34832883195</v>
      </c>
      <c r="BB255" s="346">
        <v>142715.25258448333</v>
      </c>
    </row>
    <row r="256" spans="1:54" s="348" customFormat="1" ht="11.25" x14ac:dyDescent="0.2">
      <c r="A256" s="347"/>
      <c r="B256" s="348">
        <f>+B254-B255</f>
        <v>0</v>
      </c>
      <c r="C256" s="348">
        <f t="shared" ref="C256:X256" si="947">+C254-C255</f>
        <v>0</v>
      </c>
      <c r="D256" s="348">
        <f t="shared" si="947"/>
        <v>0</v>
      </c>
      <c r="E256" s="348">
        <f t="shared" si="947"/>
        <v>0</v>
      </c>
      <c r="F256" s="348">
        <f t="shared" si="947"/>
        <v>0</v>
      </c>
      <c r="G256" s="348">
        <f t="shared" si="947"/>
        <v>0</v>
      </c>
      <c r="H256" s="348">
        <f t="shared" si="947"/>
        <v>0</v>
      </c>
      <c r="I256" s="348">
        <f t="shared" si="947"/>
        <v>0</v>
      </c>
      <c r="J256" s="348">
        <f t="shared" si="947"/>
        <v>0</v>
      </c>
      <c r="K256" s="348">
        <f t="shared" si="947"/>
        <v>0</v>
      </c>
      <c r="L256" s="348">
        <f t="shared" si="947"/>
        <v>0</v>
      </c>
      <c r="M256" s="348">
        <f t="shared" si="947"/>
        <v>0</v>
      </c>
      <c r="N256" s="348">
        <f t="shared" si="947"/>
        <v>0</v>
      </c>
      <c r="O256" s="348">
        <f t="shared" si="947"/>
        <v>0</v>
      </c>
      <c r="P256" s="348">
        <f t="shared" si="947"/>
        <v>0</v>
      </c>
      <c r="Q256" s="348">
        <f t="shared" si="947"/>
        <v>0</v>
      </c>
      <c r="R256" s="348">
        <f t="shared" si="947"/>
        <v>0</v>
      </c>
      <c r="S256" s="348">
        <f t="shared" si="947"/>
        <v>0</v>
      </c>
      <c r="T256" s="348">
        <f t="shared" si="947"/>
        <v>0</v>
      </c>
      <c r="U256" s="348">
        <f t="shared" si="947"/>
        <v>0</v>
      </c>
      <c r="V256" s="348">
        <f t="shared" si="947"/>
        <v>0</v>
      </c>
      <c r="W256" s="348">
        <f t="shared" si="947"/>
        <v>0</v>
      </c>
      <c r="X256" s="348">
        <f t="shared" si="947"/>
        <v>0</v>
      </c>
      <c r="Y256" s="348">
        <f t="shared" ref="Y256:Z256" si="948">+Y254-Y255</f>
        <v>0</v>
      </c>
      <c r="Z256" s="348">
        <f t="shared" si="948"/>
        <v>0</v>
      </c>
      <c r="AA256" s="348">
        <f t="shared" ref="AA256:AB256" si="949">+AA254-AA255</f>
        <v>0</v>
      </c>
      <c r="AB256" s="348">
        <f t="shared" si="949"/>
        <v>0</v>
      </c>
      <c r="AC256" s="348">
        <f t="shared" ref="AC256" si="950">+AC254-AC255</f>
        <v>0</v>
      </c>
      <c r="AD256" s="348">
        <f t="shared" ref="AD256" si="951">+AD254-AD255</f>
        <v>486.68670112593099</v>
      </c>
      <c r="AE256" s="348">
        <f t="shared" ref="AE256" si="952">+AE254-AE255</f>
        <v>931.82176784826152</v>
      </c>
      <c r="AF256" s="348">
        <f t="shared" ref="AF256" si="953">+AF254-AF255</f>
        <v>1413.6174332914088</v>
      </c>
      <c r="AG256" s="348">
        <f t="shared" ref="AG256" si="954">+AG254-AG255</f>
        <v>2005.7902608804216</v>
      </c>
      <c r="AH256" s="444"/>
      <c r="AI256" s="348">
        <v>-237.7951352864402</v>
      </c>
      <c r="AJ256" s="444"/>
      <c r="AL256" s="348">
        <f t="shared" ref="AL256" si="955">+AL254-AL255</f>
        <v>0</v>
      </c>
      <c r="AM256" s="348">
        <f t="shared" ref="AM256" si="956">+AM254-AM255</f>
        <v>0</v>
      </c>
      <c r="AN256" s="348">
        <f t="shared" ref="AN256" si="957">+AN254-AN255</f>
        <v>0</v>
      </c>
      <c r="AO256" s="348">
        <f t="shared" ref="AO256" si="958">+AO254-AO255</f>
        <v>0</v>
      </c>
      <c r="AP256" s="348">
        <f t="shared" ref="AP256" si="959">+AP254-AP255</f>
        <v>0</v>
      </c>
      <c r="AQ256" s="348">
        <f t="shared" ref="AQ256" si="960">+AQ254-AQ255</f>
        <v>-1372</v>
      </c>
      <c r="AR256" s="348">
        <f t="shared" ref="AR256" si="961">+AR254-AR255</f>
        <v>-1418.8165113407013</v>
      </c>
      <c r="AS256" s="348">
        <f t="shared" ref="AS256" si="962">+AS254-AS255</f>
        <v>-3164.9910526507883</v>
      </c>
      <c r="AT256" s="348">
        <f t="shared" ref="AT256" si="963">+AT254-AT255</f>
        <v>-5349.6518311593172</v>
      </c>
      <c r="AU256" s="348">
        <f t="shared" ref="AU256" si="964">+AU254-AU255</f>
        <v>-7109.5241770592183</v>
      </c>
      <c r="AV256" s="348">
        <f t="shared" ref="AV256" si="965">+AV254-AV255</f>
        <v>-9112.7692947916512</v>
      </c>
      <c r="AW256" s="348">
        <f t="shared" ref="AW256" si="966">+AW254-AW255</f>
        <v>-11051.244218942942</v>
      </c>
      <c r="AX256" s="348">
        <f t="shared" ref="AX256" si="967">+AX254-AX255</f>
        <v>-12952.892094194598</v>
      </c>
      <c r="AY256" s="348">
        <f t="shared" ref="AY256" si="968">+AY254-AY255</f>
        <v>-14864.980204996216</v>
      </c>
      <c r="AZ256" s="348">
        <f t="shared" ref="AZ256" si="969">+AZ254-AZ255</f>
        <v>-16754.493535204805</v>
      </c>
      <c r="BA256" s="348">
        <f t="shared" ref="BA256" si="970">+BA254-BA255</f>
        <v>-18558.474382838438</v>
      </c>
      <c r="BB256" s="348">
        <f t="shared" ref="BB256" si="971">+BB254-BB255</f>
        <v>-20311.211303790071</v>
      </c>
    </row>
    <row r="257" spans="1:54" s="91" customFormat="1" x14ac:dyDescent="0.25">
      <c r="A257" s="333" t="s">
        <v>162</v>
      </c>
      <c r="B257" s="68">
        <f>+B253/B255</f>
        <v>1.0160623022633245E-2</v>
      </c>
      <c r="C257" s="68">
        <f t="shared" ref="C257:X257" si="972">+C253/C255</f>
        <v>1.1222718253968254E-2</v>
      </c>
      <c r="D257" s="68">
        <f t="shared" si="972"/>
        <v>1.6002075944987457E-2</v>
      </c>
      <c r="E257" s="68">
        <f t="shared" si="972"/>
        <v>1.7101784534038333E-2</v>
      </c>
      <c r="F257" s="68">
        <f t="shared" si="972"/>
        <v>1.810247292710522E-2</v>
      </c>
      <c r="G257" s="68">
        <f t="shared" si="972"/>
        <v>1.6973244147157191E-2</v>
      </c>
      <c r="H257" s="68">
        <f t="shared" si="972"/>
        <v>1.647875108412836E-2</v>
      </c>
      <c r="I257" s="68">
        <f t="shared" si="972"/>
        <v>1.6703296703296705E-2</v>
      </c>
      <c r="J257" s="68">
        <f t="shared" si="972"/>
        <v>1.5375228798047589E-2</v>
      </c>
      <c r="K257" s="68">
        <f t="shared" si="972"/>
        <v>1.3040219835123656E-2</v>
      </c>
      <c r="L257" s="68">
        <f t="shared" si="972"/>
        <v>9.8074021478654471E-3</v>
      </c>
      <c r="M257" s="68">
        <f t="shared" si="972"/>
        <v>1.1974543627533077E-2</v>
      </c>
      <c r="N257" s="68">
        <f t="shared" si="972"/>
        <v>1.1978136992673567E-2</v>
      </c>
      <c r="O257" s="68">
        <f t="shared" si="972"/>
        <v>1.0687311178247734E-2</v>
      </c>
      <c r="P257" s="68">
        <f t="shared" si="972"/>
        <v>6.9967576001365222E-3</v>
      </c>
      <c r="Q257" s="68">
        <f t="shared" si="972"/>
        <v>6.3512156794272995E-3</v>
      </c>
      <c r="R257" s="68">
        <f t="shared" si="972"/>
        <v>0</v>
      </c>
      <c r="S257" s="68">
        <f t="shared" si="972"/>
        <v>0</v>
      </c>
      <c r="T257" s="68">
        <f t="shared" si="972"/>
        <v>0</v>
      </c>
      <c r="U257" s="68">
        <f t="shared" si="972"/>
        <v>0</v>
      </c>
      <c r="V257" s="68">
        <f t="shared" si="972"/>
        <v>0</v>
      </c>
      <c r="W257" s="68">
        <f t="shared" si="972"/>
        <v>0</v>
      </c>
      <c r="X257" s="68">
        <f t="shared" si="972"/>
        <v>0</v>
      </c>
      <c r="Y257" s="68">
        <f t="shared" ref="Y257:Z257" si="973">+Y253/Y255</f>
        <v>0</v>
      </c>
      <c r="Z257" s="68">
        <f t="shared" si="973"/>
        <v>0</v>
      </c>
      <c r="AA257" s="68">
        <f t="shared" ref="AA257:AG257" si="974">+W257</f>
        <v>0</v>
      </c>
      <c r="AB257" s="68">
        <f t="shared" si="974"/>
        <v>0</v>
      </c>
      <c r="AC257" s="68">
        <f t="shared" si="974"/>
        <v>0</v>
      </c>
      <c r="AD257" s="334">
        <f t="shared" si="974"/>
        <v>0</v>
      </c>
      <c r="AE257" s="334">
        <f t="shared" si="974"/>
        <v>0</v>
      </c>
      <c r="AF257" s="334">
        <f t="shared" si="974"/>
        <v>0</v>
      </c>
      <c r="AG257" s="334">
        <f t="shared" si="974"/>
        <v>0</v>
      </c>
      <c r="AH257" s="334"/>
      <c r="AI257" s="334">
        <v>0</v>
      </c>
      <c r="AJ257" s="334"/>
      <c r="AL257" s="68">
        <f t="shared" ref="AL257:AS257" si="975">+AL253/AL254</f>
        <v>0</v>
      </c>
      <c r="AM257" s="68">
        <f t="shared" si="975"/>
        <v>6.1904761904761907E-2</v>
      </c>
      <c r="AN257" s="68">
        <f t="shared" si="975"/>
        <v>4.2706414335957128E-2</v>
      </c>
      <c r="AO257" s="68">
        <f t="shared" si="975"/>
        <v>2.5535815618315947E-2</v>
      </c>
      <c r="AP257" s="68">
        <f t="shared" si="975"/>
        <v>0</v>
      </c>
      <c r="AQ257" s="68">
        <f t="shared" si="975"/>
        <v>0</v>
      </c>
      <c r="AR257" s="68">
        <f t="shared" si="975"/>
        <v>0</v>
      </c>
      <c r="AS257" s="68">
        <f t="shared" si="975"/>
        <v>0</v>
      </c>
      <c r="AT257" s="334">
        <f t="shared" ref="AT257" si="976">+AS257</f>
        <v>0</v>
      </c>
      <c r="AU257" s="334">
        <f t="shared" ref="AU257" si="977">+AT257</f>
        <v>0</v>
      </c>
      <c r="AV257" s="334">
        <f t="shared" ref="AV257" si="978">+AU257</f>
        <v>0</v>
      </c>
      <c r="AW257" s="334">
        <f t="shared" ref="AW257" si="979">+AV257</f>
        <v>0</v>
      </c>
      <c r="AX257" s="334">
        <f t="shared" ref="AX257" si="980">+AW257</f>
        <v>0</v>
      </c>
      <c r="AY257" s="334">
        <f t="shared" ref="AY257" si="981">+AX257</f>
        <v>0</v>
      </c>
      <c r="AZ257" s="334">
        <f t="shared" ref="AZ257" si="982">+AY257</f>
        <v>0</v>
      </c>
      <c r="BA257" s="334">
        <f t="shared" ref="BA257" si="983">+AZ257</f>
        <v>0</v>
      </c>
      <c r="BB257" s="334">
        <f t="shared" ref="BB257" si="984">+BA257</f>
        <v>0</v>
      </c>
    </row>
    <row r="260" spans="1:54" s="297" customFormat="1" x14ac:dyDescent="0.25">
      <c r="A260" s="296" t="s">
        <v>119</v>
      </c>
      <c r="B260" s="297">
        <f t="shared" ref="B260:Z260" si="985">+B172</f>
        <v>179</v>
      </c>
      <c r="C260" s="297">
        <f t="shared" si="985"/>
        <v>192</v>
      </c>
      <c r="D260" s="297">
        <f t="shared" si="985"/>
        <v>268</v>
      </c>
      <c r="E260" s="297">
        <f t="shared" si="985"/>
        <v>236</v>
      </c>
      <c r="F260" s="297">
        <f t="shared" si="985"/>
        <v>220</v>
      </c>
      <c r="G260" s="297">
        <f t="shared" si="985"/>
        <v>213</v>
      </c>
      <c r="H260" s="297">
        <f t="shared" si="985"/>
        <v>207</v>
      </c>
      <c r="I260" s="297">
        <f t="shared" si="985"/>
        <v>215</v>
      </c>
      <c r="J260" s="297">
        <f t="shared" si="985"/>
        <v>206</v>
      </c>
      <c r="K260" s="297">
        <f t="shared" si="985"/>
        <v>276</v>
      </c>
      <c r="L260" s="297">
        <f t="shared" si="985"/>
        <v>228</v>
      </c>
      <c r="M260" s="297">
        <f t="shared" si="985"/>
        <v>269</v>
      </c>
      <c r="N260" s="297">
        <f t="shared" si="985"/>
        <v>211</v>
      </c>
      <c r="O260" s="297">
        <f t="shared" si="985"/>
        <v>249</v>
      </c>
      <c r="P260" s="297">
        <f t="shared" si="985"/>
        <v>235</v>
      </c>
      <c r="Q260" s="297">
        <f t="shared" si="985"/>
        <v>-519</v>
      </c>
      <c r="R260" s="297">
        <f t="shared" si="985"/>
        <v>-232</v>
      </c>
      <c r="S260" s="297">
        <f t="shared" si="985"/>
        <v>-191</v>
      </c>
      <c r="T260" s="297">
        <f t="shared" si="985"/>
        <v>-248</v>
      </c>
      <c r="U260" s="297">
        <f t="shared" si="985"/>
        <v>-127</v>
      </c>
      <c r="V260" s="297">
        <f t="shared" si="985"/>
        <v>-240</v>
      </c>
      <c r="W260" s="297">
        <f t="shared" si="985"/>
        <v>-143</v>
      </c>
      <c r="X260" s="297">
        <f t="shared" si="985"/>
        <v>-266</v>
      </c>
      <c r="Y260" s="297">
        <f t="shared" si="985"/>
        <v>-241</v>
      </c>
      <c r="Z260" s="297">
        <f t="shared" si="985"/>
        <v>-309</v>
      </c>
      <c r="AA260" s="297">
        <f>+AA172</f>
        <v>-248</v>
      </c>
      <c r="AB260" s="297">
        <f t="shared" ref="AB260:AC260" si="986">+AB172</f>
        <v>-410</v>
      </c>
      <c r="AC260" s="297">
        <f t="shared" si="986"/>
        <v>-16</v>
      </c>
      <c r="AD260" s="297">
        <f>+AD172</f>
        <v>-240</v>
      </c>
      <c r="AE260" s="297">
        <f>+AE172</f>
        <v>-240</v>
      </c>
      <c r="AF260" s="297">
        <f>+AF172</f>
        <v>-240</v>
      </c>
      <c r="AG260" s="297">
        <f>+AG172</f>
        <v>-240</v>
      </c>
      <c r="AH260" s="443"/>
      <c r="AI260" s="298">
        <v>-302</v>
      </c>
      <c r="AJ260" s="443"/>
      <c r="AL260" s="297">
        <f>+SUMIFS($B260:AF260,$B$4:AF$4,"&lt;="&amp;AL$3,$B$4:AF$4,"&gt;"&amp;AK$3)</f>
        <v>0</v>
      </c>
      <c r="AM260" s="297">
        <f>+SUMIFS($B260:AG260,$B$4:AG$4,"&lt;="&amp;AM$3,$B$4:AG$4,"&gt;"&amp;AL$3)</f>
        <v>855</v>
      </c>
      <c r="AN260" s="297">
        <f>+SUMIFS($B260:AG260,$B$4:AG$4,"&lt;="&amp;AN$3,$B$4:AG$4,"&gt;"&amp;AM$3)</f>
        <v>979</v>
      </c>
      <c r="AO260" s="297">
        <f>+SUMIFS($B260:AG260,$B$4:AG$4,"&lt;="&amp;AO$3,$B$4:AG$4,"&gt;"&amp;AN$3)</f>
        <v>176</v>
      </c>
      <c r="AP260" s="297">
        <f>+SUMIFS($B260:AG260,$B$4:AG$4,"&lt;="&amp;AP$3,$B$4:AG$4,"&gt;"&amp;AO$3)</f>
        <v>-798</v>
      </c>
      <c r="AQ260" s="297">
        <f>+SUMIFS($B260:AG260,$B$4:AG$4,"&lt;="&amp;AQ$3,$B$4:AG$4,"&gt;"&amp;AP$3)</f>
        <v>-890</v>
      </c>
      <c r="AR260" s="297">
        <f>+SUMIFS($B260:AG260,$B$4:AG$4,"&lt;="&amp;AR$3,$B$4:AG$4,"&gt;"&amp;AQ$3)</f>
        <v>-983</v>
      </c>
      <c r="AS260" s="297">
        <f>+SUMIFS($B260:$AG260,$B$4:$AG$4,"&lt;="&amp;AS$3,$B$4:$AG$4,"&gt;"&amp;AR$3)</f>
        <v>-960</v>
      </c>
      <c r="AT260" s="298">
        <f t="shared" ref="AT260:BB260" si="987">+AT261*AT262/4</f>
        <v>-1056</v>
      </c>
      <c r="AU260" s="298">
        <f t="shared" si="987"/>
        <v>-1119.3600000000001</v>
      </c>
      <c r="AV260" s="298">
        <f t="shared" si="987"/>
        <v>-1186.5216000000003</v>
      </c>
      <c r="AW260" s="298">
        <f t="shared" si="987"/>
        <v>-1257.7128960000002</v>
      </c>
      <c r="AX260" s="298">
        <f t="shared" si="987"/>
        <v>-1333.1756697600003</v>
      </c>
      <c r="AY260" s="298">
        <f t="shared" si="987"/>
        <v>-1393.1685748992004</v>
      </c>
      <c r="AZ260" s="298">
        <f t="shared" si="987"/>
        <v>-1455.8611607696641</v>
      </c>
      <c r="BA260" s="298">
        <f t="shared" si="987"/>
        <v>-1521.3749130042988</v>
      </c>
      <c r="BB260" s="298">
        <f t="shared" si="987"/>
        <v>-1589.8367840894921</v>
      </c>
    </row>
    <row r="261" spans="1:54" x14ac:dyDescent="0.25">
      <c r="A261" s="37" t="s">
        <v>163</v>
      </c>
      <c r="B261" s="43">
        <f>+PROJ!B35</f>
        <v>85331</v>
      </c>
      <c r="C261" s="43">
        <f>+PROJ!C35</f>
        <v>88630</v>
      </c>
      <c r="D261" s="43">
        <f>+PROJ!D35</f>
        <v>90411</v>
      </c>
      <c r="E261" s="43">
        <f>+PROJ!E35</f>
        <v>90977</v>
      </c>
      <c r="F261" s="43">
        <f>+PROJ!F35</f>
        <v>96427</v>
      </c>
      <c r="G261" s="43">
        <f>+PROJ!G35</f>
        <v>94805</v>
      </c>
      <c r="H261" s="43">
        <f>+PROJ!H35</f>
        <v>93900</v>
      </c>
      <c r="I261" s="43">
        <f>+PROJ!I35</f>
        <v>92761</v>
      </c>
      <c r="J261" s="43">
        <f>+PROJ!J35</f>
        <v>94973</v>
      </c>
      <c r="K261" s="43">
        <f>+PROJ!K35</f>
        <v>94115</v>
      </c>
      <c r="L261" s="43">
        <f>+PROJ!L35</f>
        <v>94652</v>
      </c>
      <c r="M261" s="43">
        <f>+PROJ!M35</f>
        <v>98105</v>
      </c>
      <c r="N261" s="43">
        <f>+PROJ!N35</f>
        <v>100332</v>
      </c>
      <c r="O261" s="43">
        <f>+PROJ!O35</f>
        <v>101865</v>
      </c>
      <c r="P261" s="43">
        <f>+PROJ!P35</f>
        <v>103192</v>
      </c>
      <c r="Q261" s="43">
        <f>+PROJ!Q35</f>
        <v>113470</v>
      </c>
      <c r="R261" s="43">
        <f>+PROJ!R35</f>
        <v>117211</v>
      </c>
      <c r="S261" s="43">
        <f>+PROJ!S35</f>
        <v>120366</v>
      </c>
      <c r="T261" s="43">
        <f>+PROJ!T35</f>
        <v>123454</v>
      </c>
      <c r="U261" s="43">
        <f>+PROJ!U35</f>
        <v>125432</v>
      </c>
      <c r="V261" s="43">
        <f>+PROJ!V35</f>
        <v>130186</v>
      </c>
      <c r="W261" s="43">
        <f>+PROJ!W35</f>
        <v>134029</v>
      </c>
      <c r="X261" s="43">
        <f>+PROJ!X35</f>
        <v>138604</v>
      </c>
      <c r="Y261" s="43">
        <f>+PROJ!Y35</f>
        <v>143518</v>
      </c>
      <c r="Z261" s="43">
        <f>+PROJ!Z35</f>
        <v>145700</v>
      </c>
      <c r="AA261" s="43">
        <f>+PROJ!AA35</f>
        <v>147843</v>
      </c>
      <c r="AB261" s="43">
        <f>+PROJ!AB35</f>
        <v>151564</v>
      </c>
      <c r="AC261" s="43">
        <f>+PROJ!AC35</f>
        <v>151134</v>
      </c>
      <c r="AD261" s="43">
        <f>+PROJ!AD35</f>
        <v>150923.85</v>
      </c>
      <c r="AE261" s="43">
        <f>+PROJ!AE35</f>
        <v>152877.9</v>
      </c>
      <c r="AF261" s="43">
        <f>+PROJ!AF35</f>
        <v>160972.92000000001</v>
      </c>
      <c r="AG261" s="43">
        <f>+PROJ!AG35</f>
        <v>161194.32</v>
      </c>
      <c r="AH261" s="43"/>
      <c r="AI261" s="43">
        <v>153172.08000000002</v>
      </c>
      <c r="AJ261" s="43"/>
      <c r="AK261" s="43">
        <f>+PROJ!AK35</f>
        <v>0</v>
      </c>
      <c r="AL261" s="43">
        <f>+PROJ!AL35</f>
        <v>90977</v>
      </c>
      <c r="AM261" s="43">
        <f>+PROJ!AM35</f>
        <v>92761</v>
      </c>
      <c r="AN261" s="43">
        <f>+PROJ!AN35</f>
        <v>98105</v>
      </c>
      <c r="AO261" s="43">
        <f>+PROJ!AO35</f>
        <v>113470</v>
      </c>
      <c r="AP261" s="43">
        <f>+PROJ!AP35</f>
        <v>125432</v>
      </c>
      <c r="AQ261" s="43">
        <f>+PROJ!AQ35</f>
        <v>143518</v>
      </c>
      <c r="AR261" s="43">
        <f>+PROJ!AR35</f>
        <v>151134</v>
      </c>
      <c r="AS261" s="43">
        <f>+PROJ!AS35</f>
        <v>161194.32</v>
      </c>
      <c r="AT261" s="43">
        <f>+PROJ!AT35</f>
        <v>177313.75200000001</v>
      </c>
      <c r="AU261" s="43">
        <f>+PROJ!AU35</f>
        <v>187952.57712000003</v>
      </c>
      <c r="AV261" s="43">
        <f>+PROJ!AV35</f>
        <v>199229.73174720004</v>
      </c>
      <c r="AW261" s="43">
        <f>+PROJ!AW35</f>
        <v>211183.51565203205</v>
      </c>
      <c r="AX261" s="43">
        <f>+PROJ!AX35</f>
        <v>223854.52659115399</v>
      </c>
      <c r="AY261" s="43">
        <f>+PROJ!AY35</f>
        <v>233927.9802877559</v>
      </c>
      <c r="AZ261" s="43">
        <f>+PROJ!AZ35</f>
        <v>244454.73940070489</v>
      </c>
      <c r="BA261" s="43">
        <f>+PROJ!BA35</f>
        <v>255455.20267373658</v>
      </c>
      <c r="BB261" s="43">
        <f>+PROJ!BB35</f>
        <v>266950.68679405469</v>
      </c>
    </row>
    <row r="262" spans="1:54" s="91" customFormat="1" x14ac:dyDescent="0.25">
      <c r="A262" s="465" t="s">
        <v>164</v>
      </c>
      <c r="B262" s="68">
        <f>+B260/B261*4</f>
        <v>8.3908544374260239E-3</v>
      </c>
      <c r="C262" s="68">
        <f t="shared" ref="C262:X262" si="988">+C260/C261*4</f>
        <v>8.6652375042310728E-3</v>
      </c>
      <c r="D262" s="68">
        <f t="shared" si="988"/>
        <v>1.1856964307440467E-2</v>
      </c>
      <c r="E262" s="68">
        <f t="shared" si="988"/>
        <v>1.0376248942040296E-2</v>
      </c>
      <c r="F262" s="68">
        <f t="shared" si="988"/>
        <v>9.1260746471423983E-3</v>
      </c>
      <c r="G262" s="68">
        <f t="shared" si="988"/>
        <v>8.9868677812351676E-3</v>
      </c>
      <c r="H262" s="68">
        <f t="shared" si="988"/>
        <v>8.8178913738019161E-3</v>
      </c>
      <c r="I262" s="68">
        <f t="shared" si="988"/>
        <v>9.2711376548333894E-3</v>
      </c>
      <c r="J262" s="68">
        <f t="shared" si="988"/>
        <v>8.6761500637023148E-3</v>
      </c>
      <c r="K262" s="68">
        <f t="shared" si="988"/>
        <v>1.1730329915528874E-2</v>
      </c>
      <c r="L262" s="68">
        <f t="shared" si="988"/>
        <v>9.6352956091788865E-3</v>
      </c>
      <c r="M262" s="68">
        <f t="shared" si="988"/>
        <v>1.0967840578971511E-2</v>
      </c>
      <c r="N262" s="68">
        <f t="shared" si="988"/>
        <v>8.4120719212215436E-3</v>
      </c>
      <c r="O262" s="68">
        <f t="shared" si="988"/>
        <v>9.7776468855838607E-3</v>
      </c>
      <c r="P262" s="68">
        <f t="shared" si="988"/>
        <v>9.1092332738972014E-3</v>
      </c>
      <c r="Q262" s="68">
        <f t="shared" si="988"/>
        <v>-1.8295584736053583E-2</v>
      </c>
      <c r="R262" s="68">
        <f t="shared" si="988"/>
        <v>-7.9173456416206673E-3</v>
      </c>
      <c r="S262" s="68">
        <f t="shared" si="988"/>
        <v>-6.3473073791602283E-3</v>
      </c>
      <c r="T262" s="68">
        <f t="shared" si="988"/>
        <v>-8.0353815996241518E-3</v>
      </c>
      <c r="U262" s="68">
        <f t="shared" si="988"/>
        <v>-4.0500031889788889E-3</v>
      </c>
      <c r="V262" s="68">
        <f t="shared" si="988"/>
        <v>-7.3740647995944267E-3</v>
      </c>
      <c r="W262" s="68">
        <f t="shared" si="988"/>
        <v>-4.2677331025375107E-3</v>
      </c>
      <c r="X262" s="68">
        <f t="shared" si="988"/>
        <v>-7.6765461314247784E-3</v>
      </c>
      <c r="Y262" s="68">
        <f t="shared" ref="Y262:Z262" si="989">+Y260/Y261*4</f>
        <v>-6.7169274934154597E-3</v>
      </c>
      <c r="Z262" s="68">
        <f t="shared" si="989"/>
        <v>-8.48318462594372E-3</v>
      </c>
      <c r="AA262" s="68">
        <f t="shared" ref="AA262:AG262" si="990">+AA260/AA261*4</f>
        <v>-6.7098205528838021E-3</v>
      </c>
      <c r="AB262" s="68">
        <f t="shared" ref="AB262:AC262" si="991">+AB260/AB261*4</f>
        <v>-1.0820511467103005E-2</v>
      </c>
      <c r="AC262" s="68">
        <f t="shared" si="991"/>
        <v>-4.2346526923127821E-4</v>
      </c>
      <c r="AD262" s="68">
        <f t="shared" si="990"/>
        <v>-6.3608236869123072E-3</v>
      </c>
      <c r="AE262" s="68">
        <f t="shared" si="990"/>
        <v>-6.2795211080214994E-3</v>
      </c>
      <c r="AF262" s="68">
        <f t="shared" si="990"/>
        <v>-5.9637360122435498E-3</v>
      </c>
      <c r="AG262" s="68">
        <f t="shared" si="990"/>
        <v>-5.9555448355748516E-3</v>
      </c>
      <c r="AH262" s="334"/>
      <c r="AI262" s="334">
        <v>-7.8865547820464402E-3</v>
      </c>
      <c r="AJ262" s="334"/>
      <c r="AL262" s="68">
        <f t="shared" ref="AL262:AS262" si="992">+AL260/AL261*4</f>
        <v>0</v>
      </c>
      <c r="AM262" s="68">
        <f t="shared" si="992"/>
        <v>3.686894276689557E-2</v>
      </c>
      <c r="AN262" s="68">
        <f t="shared" si="992"/>
        <v>3.9916416084807095E-2</v>
      </c>
      <c r="AO262" s="68">
        <f t="shared" si="992"/>
        <v>6.2042830704150875E-3</v>
      </c>
      <c r="AP262" s="68">
        <f t="shared" si="992"/>
        <v>-2.5448051533898845E-2</v>
      </c>
      <c r="AQ262" s="68">
        <f t="shared" si="992"/>
        <v>-2.4805250909293607E-2</v>
      </c>
      <c r="AR262" s="68">
        <f t="shared" si="992"/>
        <v>-2.6016647478396656E-2</v>
      </c>
      <c r="AS262" s="68">
        <f t="shared" si="992"/>
        <v>-2.3822179342299406E-2</v>
      </c>
      <c r="AT262" s="334">
        <f t="shared" ref="AT262" si="993">+AS262</f>
        <v>-2.3822179342299406E-2</v>
      </c>
      <c r="AU262" s="334">
        <f t="shared" ref="AU262" si="994">+AT262</f>
        <v>-2.3822179342299406E-2</v>
      </c>
      <c r="AV262" s="334">
        <f t="shared" ref="AV262" si="995">+AU262</f>
        <v>-2.3822179342299406E-2</v>
      </c>
      <c r="AW262" s="334">
        <f t="shared" ref="AW262" si="996">+AV262</f>
        <v>-2.3822179342299406E-2</v>
      </c>
      <c r="AX262" s="334">
        <f t="shared" ref="AX262" si="997">+AW262</f>
        <v>-2.3822179342299406E-2</v>
      </c>
      <c r="AY262" s="334">
        <f t="shared" ref="AY262" si="998">+AX262</f>
        <v>-2.3822179342299406E-2</v>
      </c>
      <c r="AZ262" s="334">
        <f t="shared" ref="AZ262" si="999">+AY262</f>
        <v>-2.3822179342299406E-2</v>
      </c>
      <c r="BA262" s="334">
        <f t="shared" ref="BA262" si="1000">+AZ262</f>
        <v>-2.3822179342299406E-2</v>
      </c>
      <c r="BB262" s="334">
        <f t="shared" ref="BB262" si="1001">+BA262</f>
        <v>-2.3822179342299406E-2</v>
      </c>
    </row>
    <row r="264" spans="1:54" s="297" customFormat="1" x14ac:dyDescent="0.25">
      <c r="A264" s="296" t="s">
        <v>165</v>
      </c>
      <c r="B264" s="297">
        <f t="shared" ref="B264:Z264" si="1002">+B173</f>
        <v>0</v>
      </c>
      <c r="C264" s="297">
        <f t="shared" si="1002"/>
        <v>0</v>
      </c>
      <c r="D264" s="297">
        <f t="shared" si="1002"/>
        <v>0</v>
      </c>
      <c r="E264" s="297">
        <f t="shared" si="1002"/>
        <v>0</v>
      </c>
      <c r="F264" s="297">
        <f t="shared" si="1002"/>
        <v>0</v>
      </c>
      <c r="G264" s="297">
        <f t="shared" si="1002"/>
        <v>0</v>
      </c>
      <c r="H264" s="297">
        <f t="shared" si="1002"/>
        <v>0</v>
      </c>
      <c r="I264" s="297">
        <f t="shared" si="1002"/>
        <v>0</v>
      </c>
      <c r="J264" s="297">
        <f t="shared" si="1002"/>
        <v>0</v>
      </c>
      <c r="K264" s="297">
        <f t="shared" si="1002"/>
        <v>0</v>
      </c>
      <c r="L264" s="297">
        <f t="shared" si="1002"/>
        <v>0</v>
      </c>
      <c r="M264" s="297">
        <f t="shared" si="1002"/>
        <v>0</v>
      </c>
      <c r="N264" s="297">
        <f t="shared" si="1002"/>
        <v>0</v>
      </c>
      <c r="O264" s="297">
        <f t="shared" si="1002"/>
        <v>0</v>
      </c>
      <c r="P264" s="297">
        <f t="shared" si="1002"/>
        <v>0</v>
      </c>
      <c r="Q264" s="297">
        <f t="shared" si="1002"/>
        <v>0</v>
      </c>
      <c r="R264" s="297">
        <f t="shared" si="1002"/>
        <v>0</v>
      </c>
      <c r="S264" s="297">
        <f t="shared" si="1002"/>
        <v>0</v>
      </c>
      <c r="T264" s="297">
        <f t="shared" si="1002"/>
        <v>0</v>
      </c>
      <c r="U264" s="297">
        <f t="shared" si="1002"/>
        <v>0</v>
      </c>
      <c r="V264" s="297">
        <f t="shared" si="1002"/>
        <v>0</v>
      </c>
      <c r="W264" s="297">
        <f t="shared" si="1002"/>
        <v>0</v>
      </c>
      <c r="X264" s="297">
        <f t="shared" si="1002"/>
        <v>0</v>
      </c>
      <c r="Y264" s="297">
        <f t="shared" si="1002"/>
        <v>0</v>
      </c>
      <c r="Z264" s="297">
        <f t="shared" si="1002"/>
        <v>0</v>
      </c>
      <c r="AA264" s="297">
        <f>+AA173</f>
        <v>0</v>
      </c>
      <c r="AB264" s="297">
        <f t="shared" ref="AB264:AC264" si="1003">+AB173</f>
        <v>0</v>
      </c>
      <c r="AC264" s="297">
        <f t="shared" si="1003"/>
        <v>0</v>
      </c>
      <c r="AD264" s="297">
        <f>+AD173</f>
        <v>0</v>
      </c>
      <c r="AE264" s="297">
        <f>+AE173</f>
        <v>0</v>
      </c>
      <c r="AF264" s="297">
        <f>+AF173</f>
        <v>0</v>
      </c>
      <c r="AG264" s="297">
        <f>+AG173</f>
        <v>0</v>
      </c>
      <c r="AH264" s="443"/>
      <c r="AI264" s="298">
        <v>0</v>
      </c>
      <c r="AJ264" s="443"/>
      <c r="AL264" s="297">
        <f>+SUMIFS($B264:AF264,$B$4:AF$4,"&lt;="&amp;AL$3,$B$4:AF$4,"&gt;"&amp;AK$3)</f>
        <v>0</v>
      </c>
      <c r="AM264" s="297">
        <f>+SUMIFS($B264:AG264,$B$4:AG$4,"&lt;="&amp;AM$3,$B$4:AG$4,"&gt;"&amp;AL$3)</f>
        <v>0</v>
      </c>
      <c r="AN264" s="297">
        <f>+SUMIFS($B264:AG264,$B$4:AG$4,"&lt;="&amp;AN$3,$B$4:AG$4,"&gt;"&amp;AM$3)</f>
        <v>0</v>
      </c>
      <c r="AO264" s="297">
        <f>+SUMIFS($B264:AG264,$B$4:AG$4,"&lt;="&amp;AO$3,$B$4:AG$4,"&gt;"&amp;AN$3)</f>
        <v>0</v>
      </c>
      <c r="AP264" s="297">
        <f>+SUMIFS($B264:AG264,$B$4:AG$4,"&lt;="&amp;AP$3,$B$4:AG$4,"&gt;"&amp;AO$3)</f>
        <v>0</v>
      </c>
      <c r="AQ264" s="297">
        <f>+SUMIFS($B264:AG264,$B$4:AG$4,"&lt;="&amp;AQ$3,$B$4:AG$4,"&gt;"&amp;AP$3)</f>
        <v>0</v>
      </c>
      <c r="AR264" s="297">
        <f>+SUMIFS($B264:AG264,$B$4:AG$4,"&lt;="&amp;AR$3,$B$4:AG$4,"&gt;"&amp;AQ$3)</f>
        <v>0</v>
      </c>
      <c r="AS264" s="297">
        <f>+SUMIFS($B264:$AG264,$B$4:$AG$4,"&lt;="&amp;AS$3,$B$4:$AG$4,"&gt;"&amp;AR$3)</f>
        <v>0</v>
      </c>
      <c r="AT264" s="298">
        <f t="shared" ref="AT264:BB264" si="1004">+AT265*AT266</f>
        <v>0</v>
      </c>
      <c r="AU264" s="298">
        <f t="shared" si="1004"/>
        <v>0</v>
      </c>
      <c r="AV264" s="298">
        <f t="shared" si="1004"/>
        <v>0</v>
      </c>
      <c r="AW264" s="298">
        <f t="shared" si="1004"/>
        <v>0</v>
      </c>
      <c r="AX264" s="298">
        <f t="shared" si="1004"/>
        <v>0</v>
      </c>
      <c r="AY264" s="298">
        <f t="shared" si="1004"/>
        <v>0</v>
      </c>
      <c r="AZ264" s="298">
        <f t="shared" si="1004"/>
        <v>0</v>
      </c>
      <c r="BA264" s="298">
        <f t="shared" si="1004"/>
        <v>0</v>
      </c>
      <c r="BB264" s="298">
        <f t="shared" si="1004"/>
        <v>0</v>
      </c>
    </row>
    <row r="265" spans="1:54" s="41" customFormat="1" x14ac:dyDescent="0.25">
      <c r="A265" s="164" t="s">
        <v>157</v>
      </c>
      <c r="B265" s="41">
        <f>+B106+B113</f>
        <v>100432</v>
      </c>
      <c r="C265" s="41">
        <f>+C106+C113</f>
        <v>103163</v>
      </c>
      <c r="D265" s="41">
        <f>+D106+D113</f>
        <v>105687</v>
      </c>
      <c r="E265" s="41">
        <f>+E106+E113</f>
        <v>108850</v>
      </c>
      <c r="F265" s="41">
        <f>+F106+F113</f>
        <v>113480</v>
      </c>
      <c r="G265" s="41">
        <f>+G106+G113</f>
        <v>108897</v>
      </c>
      <c r="H265" s="41">
        <f>+H106+H113</f>
        <v>108029</v>
      </c>
      <c r="I265" s="41">
        <f>+I106+I113</f>
        <v>111470</v>
      </c>
      <c r="J265" s="41">
        <f>+J106+J113</f>
        <v>113674</v>
      </c>
      <c r="K265" s="41">
        <f>+K106+K113</f>
        <v>118272</v>
      </c>
      <c r="L265" s="41">
        <f>+L106+L113</f>
        <v>118238</v>
      </c>
      <c r="M265" s="41">
        <f>+M106+M113</f>
        <v>118901</v>
      </c>
      <c r="N265" s="41">
        <f>+N106+N113</f>
        <v>130371</v>
      </c>
      <c r="O265" s="41">
        <f>+O106+O113</f>
        <v>138254</v>
      </c>
      <c r="P265" s="41">
        <f>+P106+P113</f>
        <v>138338</v>
      </c>
      <c r="Q265" s="41">
        <f>+Q106+Q113</f>
        <v>138388</v>
      </c>
      <c r="R265" s="41">
        <f>+R106+R113</f>
        <v>151202</v>
      </c>
      <c r="S265" s="41">
        <f>+S106+S113</f>
        <v>162280</v>
      </c>
      <c r="T265" s="41">
        <f>+T106+T113</f>
        <v>163041</v>
      </c>
      <c r="U265" s="41">
        <f>+U106+U113</f>
        <v>164122</v>
      </c>
      <c r="V265" s="41">
        <f>+V106+V113</f>
        <v>168512</v>
      </c>
      <c r="W265" s="41">
        <f>+W106+W113</f>
        <v>176955</v>
      </c>
      <c r="X265" s="41">
        <f>+X106+X113</f>
        <v>183341</v>
      </c>
      <c r="Y265" s="41">
        <f>+Y106+Y113</f>
        <v>181065</v>
      </c>
      <c r="Z265" s="41">
        <f>+Z106+Z113</f>
        <v>188995</v>
      </c>
      <c r="AA265" s="41">
        <f>+AA106+AA113</f>
        <v>191152</v>
      </c>
      <c r="AB265" s="41">
        <f>+AB106+AB113</f>
        <v>199193</v>
      </c>
      <c r="AC265" s="41">
        <f>+AC106+AC113</f>
        <v>208780</v>
      </c>
      <c r="AD265" s="41">
        <f>+AD106+AD113</f>
        <v>201120.84196543909</v>
      </c>
      <c r="AE265" s="41">
        <f>+AE106+AE113</f>
        <v>199342.10861741909</v>
      </c>
      <c r="AF265" s="41">
        <f>+AF106+AF113</f>
        <v>224416.02590828727</v>
      </c>
      <c r="AG265" s="41">
        <f>+AG106+AG113</f>
        <v>190092.53576315223</v>
      </c>
      <c r="AH265" s="433"/>
      <c r="AI265" s="41">
        <v>190497.11892030056</v>
      </c>
      <c r="AJ265" s="433"/>
      <c r="AL265" s="41">
        <f>+AL106+AL113</f>
        <v>108850</v>
      </c>
      <c r="AM265" s="41">
        <f>+AM106+AM113</f>
        <v>111470</v>
      </c>
      <c r="AN265" s="41">
        <f>+AN106+AN113</f>
        <v>118901</v>
      </c>
      <c r="AO265" s="41">
        <f>+AO106+AO113</f>
        <v>138388</v>
      </c>
      <c r="AP265" s="41">
        <f>+AP106+AP113</f>
        <v>164122</v>
      </c>
      <c r="AQ265" s="41">
        <f>+AQ106+AQ113</f>
        <v>181065</v>
      </c>
      <c r="AR265" s="41">
        <f>+AR106+AR113</f>
        <v>198068.86442265462</v>
      </c>
      <c r="AS265" s="41">
        <f>+AS106+AS113</f>
        <v>209032.58691429353</v>
      </c>
      <c r="AT265" s="41">
        <f>+AT106+AT113</f>
        <v>227452.57143402949</v>
      </c>
      <c r="AU265" s="41">
        <f>+AU106+AU113</f>
        <v>241931.34746809117</v>
      </c>
      <c r="AV265" s="41">
        <f>+AV106+AV113</f>
        <v>257502.53319176062</v>
      </c>
      <c r="AW265" s="41">
        <f>+AW106+AW113</f>
        <v>274184.18404940399</v>
      </c>
      <c r="AX265" s="41">
        <f>+AX106+AX113</f>
        <v>292055.55764957878</v>
      </c>
      <c r="AY265" s="41">
        <f>+AY106+AY113</f>
        <v>307463.77745989611</v>
      </c>
      <c r="AZ265" s="41">
        <f>+AZ106+AZ113</f>
        <v>323726.24555322522</v>
      </c>
      <c r="BA265" s="41">
        <f>+BA106+BA113</f>
        <v>340918.59245584742</v>
      </c>
      <c r="BB265" s="41">
        <f>+BB106+BB113</f>
        <v>359105.47990704933</v>
      </c>
    </row>
    <row r="266" spans="1:54" s="91" customFormat="1" x14ac:dyDescent="0.25">
      <c r="A266" s="333" t="s">
        <v>166</v>
      </c>
      <c r="B266" s="68">
        <f>+B264/B265</f>
        <v>0</v>
      </c>
      <c r="C266" s="68">
        <f t="shared" ref="C266:X266" si="1005">+C264/C265</f>
        <v>0</v>
      </c>
      <c r="D266" s="68">
        <f t="shared" si="1005"/>
        <v>0</v>
      </c>
      <c r="E266" s="68">
        <f t="shared" si="1005"/>
        <v>0</v>
      </c>
      <c r="F266" s="68">
        <f t="shared" si="1005"/>
        <v>0</v>
      </c>
      <c r="G266" s="68">
        <f t="shared" si="1005"/>
        <v>0</v>
      </c>
      <c r="H266" s="68">
        <f t="shared" si="1005"/>
        <v>0</v>
      </c>
      <c r="I266" s="68">
        <f t="shared" si="1005"/>
        <v>0</v>
      </c>
      <c r="J266" s="68">
        <f t="shared" si="1005"/>
        <v>0</v>
      </c>
      <c r="K266" s="68">
        <f t="shared" si="1005"/>
        <v>0</v>
      </c>
      <c r="L266" s="68">
        <f t="shared" si="1005"/>
        <v>0</v>
      </c>
      <c r="M266" s="68">
        <f t="shared" si="1005"/>
        <v>0</v>
      </c>
      <c r="N266" s="68">
        <f t="shared" si="1005"/>
        <v>0</v>
      </c>
      <c r="O266" s="68">
        <f t="shared" si="1005"/>
        <v>0</v>
      </c>
      <c r="P266" s="68">
        <f t="shared" si="1005"/>
        <v>0</v>
      </c>
      <c r="Q266" s="68">
        <f t="shared" si="1005"/>
        <v>0</v>
      </c>
      <c r="R266" s="68">
        <f t="shared" si="1005"/>
        <v>0</v>
      </c>
      <c r="S266" s="68">
        <f t="shared" si="1005"/>
        <v>0</v>
      </c>
      <c r="T266" s="68">
        <f t="shared" si="1005"/>
        <v>0</v>
      </c>
      <c r="U266" s="68">
        <f t="shared" si="1005"/>
        <v>0</v>
      </c>
      <c r="V266" s="68">
        <f t="shared" si="1005"/>
        <v>0</v>
      </c>
      <c r="W266" s="68">
        <f t="shared" si="1005"/>
        <v>0</v>
      </c>
      <c r="X266" s="68">
        <f t="shared" si="1005"/>
        <v>0</v>
      </c>
      <c r="Y266" s="68">
        <f t="shared" ref="Y266:Z266" si="1006">+Y264/Y265</f>
        <v>0</v>
      </c>
      <c r="Z266" s="68">
        <f t="shared" si="1006"/>
        <v>0</v>
      </c>
      <c r="AA266" s="68">
        <f t="shared" ref="AA266:AG266" si="1007">+AA264/AA265</f>
        <v>0</v>
      </c>
      <c r="AB266" s="68">
        <f t="shared" ref="AB266:AC266" si="1008">+AB264/AB265</f>
        <v>0</v>
      </c>
      <c r="AC266" s="68">
        <f t="shared" si="1008"/>
        <v>0</v>
      </c>
      <c r="AD266" s="68">
        <f t="shared" si="1007"/>
        <v>0</v>
      </c>
      <c r="AE266" s="68">
        <f t="shared" si="1007"/>
        <v>0</v>
      </c>
      <c r="AF266" s="68">
        <f t="shared" si="1007"/>
        <v>0</v>
      </c>
      <c r="AG266" s="68">
        <f t="shared" si="1007"/>
        <v>0</v>
      </c>
      <c r="AH266" s="334"/>
      <c r="AI266" s="334">
        <v>0</v>
      </c>
      <c r="AJ266" s="334"/>
      <c r="AL266" s="68">
        <f t="shared" ref="AL266:AS266" si="1009">+AL264/AL265</f>
        <v>0</v>
      </c>
      <c r="AM266" s="68">
        <f t="shared" si="1009"/>
        <v>0</v>
      </c>
      <c r="AN266" s="68">
        <f t="shared" si="1009"/>
        <v>0</v>
      </c>
      <c r="AO266" s="68">
        <f t="shared" si="1009"/>
        <v>0</v>
      </c>
      <c r="AP266" s="68">
        <f t="shared" si="1009"/>
        <v>0</v>
      </c>
      <c r="AQ266" s="68">
        <f t="shared" si="1009"/>
        <v>0</v>
      </c>
      <c r="AR266" s="68">
        <f t="shared" si="1009"/>
        <v>0</v>
      </c>
      <c r="AS266" s="68">
        <f t="shared" si="1009"/>
        <v>0</v>
      </c>
      <c r="AT266" s="334">
        <f t="shared" ref="AT266" si="1010">+AS266</f>
        <v>0</v>
      </c>
      <c r="AU266" s="334">
        <f t="shared" ref="AU266" si="1011">+AT266</f>
        <v>0</v>
      </c>
      <c r="AV266" s="334">
        <f t="shared" ref="AV266" si="1012">+AU266</f>
        <v>0</v>
      </c>
      <c r="AW266" s="334">
        <f t="shared" ref="AW266" si="1013">+AV266</f>
        <v>0</v>
      </c>
      <c r="AX266" s="334">
        <f t="shared" ref="AX266" si="1014">+AW266</f>
        <v>0</v>
      </c>
      <c r="AY266" s="334">
        <f t="shared" ref="AY266" si="1015">+AX266</f>
        <v>0</v>
      </c>
      <c r="AZ266" s="334">
        <f t="shared" ref="AZ266" si="1016">+AY266</f>
        <v>0</v>
      </c>
      <c r="BA266" s="334">
        <f t="shared" ref="BA266" si="1017">+AZ266</f>
        <v>0</v>
      </c>
      <c r="BB266" s="334">
        <f t="shared" ref="BB266" si="1018">+BA266</f>
        <v>0</v>
      </c>
    </row>
  </sheetData>
  <pageMargins left="0.511811024" right="0.511811024" top="0.78740157499999996" bottom="0.78740157499999996" header="0.31496062000000002" footer="0.31496062000000002"/>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2D18E-1018-4D88-AE9D-F85D6203CAC8}">
  <dimension ref="J2:Y34"/>
  <sheetViews>
    <sheetView workbookViewId="0">
      <selection activeCell="L10" sqref="L10"/>
    </sheetView>
  </sheetViews>
  <sheetFormatPr defaultRowHeight="15" x14ac:dyDescent="0.25"/>
  <cols>
    <col min="22" max="22" width="24.140625" bestFit="1" customWidth="1"/>
    <col min="23" max="25" width="11.5703125" bestFit="1" customWidth="1"/>
  </cols>
  <sheetData>
    <row r="2" spans="10:25" x14ac:dyDescent="0.25">
      <c r="V2" s="375" t="s">
        <v>83</v>
      </c>
      <c r="W2" s="376">
        <f>+FAT!AQ$2</f>
        <v>0.10244999999999999</v>
      </c>
      <c r="X2" s="376">
        <f>+FAT!AR$2</f>
        <v>7.4999999999999997E-2</v>
      </c>
      <c r="Y2" s="376">
        <f>+FAT!AS$2</f>
        <v>6.8000000000000005E-2</v>
      </c>
    </row>
    <row r="5" spans="10:25" x14ac:dyDescent="0.25">
      <c r="K5" t="s">
        <v>9</v>
      </c>
      <c r="L5" t="s">
        <v>83</v>
      </c>
      <c r="W5">
        <v>2024</v>
      </c>
      <c r="X5">
        <v>2025</v>
      </c>
      <c r="Y5">
        <v>2026</v>
      </c>
    </row>
    <row r="6" spans="10:25" x14ac:dyDescent="0.25">
      <c r="K6" s="351">
        <f>+X23</f>
        <v>8.5917318312899713E-2</v>
      </c>
      <c r="L6" s="372">
        <f>+M6-1%</f>
        <v>5.0500000000000003E-2</v>
      </c>
      <c r="M6" s="372">
        <f>+N6-1%</f>
        <v>6.0500000000000005E-2</v>
      </c>
      <c r="N6" s="372">
        <f>+O6-1%</f>
        <v>7.0500000000000007E-2</v>
      </c>
      <c r="O6" s="372">
        <v>8.0500000000000002E-2</v>
      </c>
      <c r="P6" s="372">
        <f>+O6+1%</f>
        <v>9.0499999999999997E-2</v>
      </c>
      <c r="Q6" s="372">
        <f t="shared" ref="Q6:S6" si="0">+P6+1%</f>
        <v>0.10049999999999999</v>
      </c>
      <c r="R6" s="372">
        <f t="shared" si="0"/>
        <v>0.11049999999999999</v>
      </c>
      <c r="S6" s="372">
        <f t="shared" si="0"/>
        <v>0.12049999999999998</v>
      </c>
      <c r="V6" t="s">
        <v>215</v>
      </c>
      <c r="W6" s="4">
        <f>+FAT!AQ5</f>
        <v>174115</v>
      </c>
      <c r="X6" s="4">
        <f>+W6*(1+X7)</f>
        <v>187878</v>
      </c>
      <c r="Y6" s="4">
        <f>+X6*(1+Y7)</f>
        <v>202742.41334218549</v>
      </c>
    </row>
    <row r="7" spans="10:25" x14ac:dyDescent="0.25">
      <c r="J7" t="s">
        <v>216</v>
      </c>
      <c r="K7" s="352">
        <f>+K8-2%</f>
        <v>3.9999999999999994E-2</v>
      </c>
      <c r="L7" s="371">
        <f t="dataTable" ref="L7:S13" dt2D="1" dtr="1" r1="X2" r2="X7"/>
        <v>8.4314903013526649E-2</v>
      </c>
      <c r="M7" s="371">
        <v>8.4398864676247701E-2</v>
      </c>
      <c r="N7" s="371">
        <v>8.4482826338968697E-2</v>
      </c>
      <c r="O7" s="371">
        <v>8.4566788001689763E-2</v>
      </c>
      <c r="P7" s="371">
        <v>8.4650749664410802E-2</v>
      </c>
      <c r="Q7" s="371">
        <v>8.473471132713184E-2</v>
      </c>
      <c r="R7" s="371">
        <v>8.4818672989852864E-2</v>
      </c>
      <c r="S7" s="371">
        <v>8.4902634652573916E-2</v>
      </c>
      <c r="V7" t="s">
        <v>2</v>
      </c>
      <c r="X7" s="174">
        <f>+FAT!AR15</f>
        <v>7.9045458461361795E-2</v>
      </c>
      <c r="Y7" s="174">
        <f>+FAT!AS15</f>
        <v>7.9117370539315335E-2</v>
      </c>
    </row>
    <row r="8" spans="10:25" x14ac:dyDescent="0.25">
      <c r="K8" s="352">
        <f>+K9-2%</f>
        <v>0.06</v>
      </c>
      <c r="L8" s="371">
        <v>8.4801077708703917E-2</v>
      </c>
      <c r="M8" s="371">
        <v>8.4981311588291766E-2</v>
      </c>
      <c r="N8" s="371">
        <v>8.516154546787956E-2</v>
      </c>
      <c r="O8" s="371">
        <v>8.5341779347467395E-2</v>
      </c>
      <c r="P8" s="371">
        <v>8.552201322705523E-2</v>
      </c>
      <c r="Q8" s="371">
        <v>8.5702247106643023E-2</v>
      </c>
      <c r="R8" s="371">
        <v>8.5882480986230858E-2</v>
      </c>
      <c r="S8" s="371">
        <v>8.6062714865818707E-2</v>
      </c>
    </row>
    <row r="9" spans="10:25" x14ac:dyDescent="0.25">
      <c r="K9" s="352">
        <f>+K10-2%</f>
        <v>0.08</v>
      </c>
      <c r="L9" s="371">
        <v>8.5277902890512389E-2</v>
      </c>
      <c r="M9" s="371">
        <v>8.5552557598181103E-2</v>
      </c>
      <c r="N9" s="371">
        <v>8.5827212305849804E-2</v>
      </c>
      <c r="O9" s="371">
        <v>8.6101867013518532E-2</v>
      </c>
      <c r="P9" s="371">
        <v>8.6376521721187247E-2</v>
      </c>
      <c r="Q9" s="371">
        <v>8.6651176428855947E-2</v>
      </c>
      <c r="R9" s="371">
        <v>8.692583113652462E-2</v>
      </c>
      <c r="S9" s="371">
        <v>8.7200485844193362E-2</v>
      </c>
    </row>
    <row r="10" spans="10:25" x14ac:dyDescent="0.25">
      <c r="K10" s="353">
        <v>0.1</v>
      </c>
      <c r="L10" s="371">
        <v>8.5745645687905478E-2</v>
      </c>
      <c r="M10" s="371">
        <v>8.6112922731691632E-2</v>
      </c>
      <c r="N10" s="371">
        <v>8.6480199775477759E-2</v>
      </c>
      <c r="O10" s="371">
        <v>8.6847476819263913E-2</v>
      </c>
      <c r="P10" s="371">
        <v>8.7214753863050082E-2</v>
      </c>
      <c r="Q10" s="371">
        <v>8.7582030906836222E-2</v>
      </c>
      <c r="R10" s="371">
        <v>8.7949307950622363E-2</v>
      </c>
      <c r="S10" s="371">
        <v>8.8316584994408517E-2</v>
      </c>
      <c r="V10" t="s">
        <v>168</v>
      </c>
      <c r="W10" s="1">
        <f>+FAT!AQ80</f>
        <v>0.18516271001514009</v>
      </c>
      <c r="X10" s="1">
        <f>+X11+X12</f>
        <v>0.1588908966167854</v>
      </c>
      <c r="Y10" s="1">
        <f>+Y11+Y12</f>
        <v>0.15629342666484286</v>
      </c>
    </row>
    <row r="11" spans="10:25" x14ac:dyDescent="0.25">
      <c r="K11" s="352">
        <f>+K10+2%</f>
        <v>0.12000000000000001</v>
      </c>
      <c r="L11" s="371">
        <v>8.6204563149498675E-2</v>
      </c>
      <c r="M11" s="371">
        <v>8.6662714938154792E-2</v>
      </c>
      <c r="N11" s="371">
        <v>8.7120866726810867E-2</v>
      </c>
      <c r="O11" s="371">
        <v>8.7579018515466955E-2</v>
      </c>
      <c r="P11" s="371">
        <v>8.8037170304123058E-2</v>
      </c>
      <c r="Q11" s="371">
        <v>8.8495322092779133E-2</v>
      </c>
      <c r="R11" s="371">
        <v>8.8953473881435222E-2</v>
      </c>
      <c r="S11" s="371">
        <v>8.9411625670091366E-2</v>
      </c>
      <c r="V11" s="375" t="s">
        <v>83</v>
      </c>
      <c r="W11" s="376">
        <f>+W$2</f>
        <v>0.10244999999999999</v>
      </c>
      <c r="X11" s="376">
        <f t="shared" ref="X11:Y11" si="1">+X$2</f>
        <v>7.4999999999999997E-2</v>
      </c>
      <c r="Y11" s="376">
        <f t="shared" si="1"/>
        <v>6.8000000000000005E-2</v>
      </c>
    </row>
    <row r="12" spans="10:25" x14ac:dyDescent="0.25">
      <c r="K12" s="352">
        <v>0.13</v>
      </c>
      <c r="L12" s="371">
        <v>8.6430790067185473E-2</v>
      </c>
      <c r="M12" s="371">
        <v>8.6933739265284485E-2</v>
      </c>
      <c r="N12" s="371">
        <v>8.7436688463383483E-2</v>
      </c>
      <c r="O12" s="371">
        <v>8.7939637661482536E-2</v>
      </c>
      <c r="P12" s="371">
        <v>8.8442586859581535E-2</v>
      </c>
      <c r="Q12" s="371">
        <v>8.894553605768056E-2</v>
      </c>
      <c r="R12" s="371">
        <v>8.9448485255779586E-2</v>
      </c>
      <c r="S12" s="371">
        <v>8.9951434453878626E-2</v>
      </c>
      <c r="W12" s="174">
        <f>+FAT!AQ82</f>
        <v>7.6467710015140092E-2</v>
      </c>
      <c r="X12" s="174">
        <f>+FAT!AR82</f>
        <v>8.3890896616785407E-2</v>
      </c>
      <c r="Y12" s="174">
        <f>+FAT!AS82</f>
        <v>8.8293426664842856E-2</v>
      </c>
    </row>
    <row r="13" spans="10:25" x14ac:dyDescent="0.25">
      <c r="K13" s="352">
        <f t="shared" ref="K13" si="2">+K12+2%</f>
        <v>0.15</v>
      </c>
      <c r="L13" s="371">
        <v>8.6876930593228249E-2</v>
      </c>
      <c r="M13" s="371">
        <v>8.7468224449949616E-2</v>
      </c>
      <c r="N13" s="371">
        <v>8.8059518306670956E-2</v>
      </c>
      <c r="O13" s="371">
        <v>8.8650812163392337E-2</v>
      </c>
      <c r="P13" s="371">
        <v>8.924210602011369E-2</v>
      </c>
      <c r="Q13" s="371">
        <v>8.9833399876835057E-2</v>
      </c>
      <c r="R13" s="371">
        <v>9.0424693733556383E-2</v>
      </c>
      <c r="S13" s="371">
        <v>9.1015987590277764E-2</v>
      </c>
    </row>
    <row r="14" spans="10:25" x14ac:dyDescent="0.25">
      <c r="V14" t="s">
        <v>217</v>
      </c>
      <c r="W14" s="370">
        <f>+W10*AVERAGE(V6:W6)</f>
        <v>32239.605254286118</v>
      </c>
      <c r="X14" s="370">
        <f>+X10*AVERAGE(W6:X6)</f>
        <v>28758.696169499999</v>
      </c>
      <c r="Y14" s="370">
        <f>+Y10*AVERAGE(X6:Y6)</f>
        <v>30525.701463243739</v>
      </c>
    </row>
    <row r="16" spans="10:25" x14ac:dyDescent="0.25">
      <c r="V16" t="s">
        <v>87</v>
      </c>
      <c r="W16" s="369">
        <f>+FAT!AQ102</f>
        <v>212483</v>
      </c>
      <c r="X16" s="369">
        <f>+FAT!AR102</f>
        <v>246304</v>
      </c>
      <c r="Y16" s="369">
        <f>+FAT!AS102</f>
        <v>243821.68885037617</v>
      </c>
    </row>
    <row r="17" spans="22:25" x14ac:dyDescent="0.25">
      <c r="V17" t="s">
        <v>218</v>
      </c>
      <c r="W17" s="323">
        <f>+FAT!AQ127</f>
        <v>-15831</v>
      </c>
      <c r="X17" s="355">
        <f>-X18*AVERAGE(W16:X16)</f>
        <v>-13207.962265479247</v>
      </c>
      <c r="Y17" s="355">
        <f>-Y18*AVERAGE(X16:Y16)</f>
        <v>-14679.460565294499</v>
      </c>
    </row>
    <row r="18" spans="22:25" x14ac:dyDescent="0.25">
      <c r="V18" t="s">
        <v>24</v>
      </c>
      <c r="W18" s="1"/>
      <c r="X18" s="1">
        <f>+X19*X20</f>
        <v>5.7577752924469296E-2</v>
      </c>
      <c r="Y18" s="1">
        <f>+Y19*Y20</f>
        <v>5.9900800546595273E-2</v>
      </c>
    </row>
    <row r="19" spans="22:25" x14ac:dyDescent="0.25">
      <c r="V19" s="375" t="s">
        <v>83</v>
      </c>
      <c r="W19" s="376">
        <f>+W$2</f>
        <v>0.10244999999999999</v>
      </c>
      <c r="X19" s="376">
        <f t="shared" ref="X19:Y19" si="3">+X$2</f>
        <v>7.4999999999999997E-2</v>
      </c>
      <c r="Y19" s="376">
        <f t="shared" si="3"/>
        <v>6.8000000000000005E-2</v>
      </c>
    </row>
    <row r="20" spans="22:25" x14ac:dyDescent="0.25">
      <c r="V20" t="s">
        <v>90</v>
      </c>
      <c r="X20" s="354">
        <f>+FAT!AR133</f>
        <v>0.76770337232625729</v>
      </c>
      <c r="Y20" s="354">
        <f>+FAT!AS133</f>
        <v>0.88089412568522452</v>
      </c>
    </row>
    <row r="21" spans="22:25" ht="15.75" thickBot="1" x14ac:dyDescent="0.3"/>
    <row r="22" spans="22:25" x14ac:dyDescent="0.25">
      <c r="V22" s="357" t="s">
        <v>219</v>
      </c>
      <c r="W22" s="358">
        <f>+W14+W17</f>
        <v>16408.605254286118</v>
      </c>
      <c r="X22" s="358">
        <f>+X14+X17</f>
        <v>15550.733904020752</v>
      </c>
      <c r="Y22" s="359">
        <f>+Y14+Y17</f>
        <v>15846.240897949239</v>
      </c>
    </row>
    <row r="23" spans="22:25" ht="15.75" thickBot="1" x14ac:dyDescent="0.3">
      <c r="V23" s="360" t="s">
        <v>9</v>
      </c>
      <c r="W23" s="373">
        <f>+W22/AVERAGE(W6)</f>
        <v>9.4240043961095352E-2</v>
      </c>
      <c r="X23" s="373">
        <f>+X22/AVERAGE(W6:X6)</f>
        <v>8.5917318312899713E-2</v>
      </c>
      <c r="Y23" s="374">
        <f>+Y22/AVERAGE(X6:Y6)</f>
        <v>8.1133706056820187E-2</v>
      </c>
    </row>
    <row r="25" spans="22:25" x14ac:dyDescent="0.25">
      <c r="V25" t="s">
        <v>171</v>
      </c>
      <c r="X25" s="323">
        <f>+FAT!AR160</f>
        <v>-1757</v>
      </c>
      <c r="Y25" s="323">
        <f>+FAT!AS160</f>
        <v>-1959.5548068943344</v>
      </c>
    </row>
    <row r="27" spans="22:25" x14ac:dyDescent="0.25">
      <c r="V27" t="s">
        <v>220</v>
      </c>
      <c r="X27" s="356">
        <f>+FAT!AR164+FAT!AR183</f>
        <v>-4665.5</v>
      </c>
      <c r="Y27" s="356">
        <f>+FAT!AS164+FAT!AS183</f>
        <v>-5015.691479804701</v>
      </c>
    </row>
    <row r="29" spans="22:25" x14ac:dyDescent="0.25">
      <c r="V29" t="s">
        <v>20</v>
      </c>
      <c r="X29" s="323">
        <f>+X14+X17+X25+X27</f>
        <v>9128.2339040207517</v>
      </c>
      <c r="Y29" s="323">
        <f>+Y14+Y17+Y25+Y27</f>
        <v>8870.9946112502039</v>
      </c>
    </row>
    <row r="31" spans="22:25" x14ac:dyDescent="0.25">
      <c r="V31" t="s">
        <v>221</v>
      </c>
      <c r="X31" s="370">
        <f>+X32*X29</f>
        <v>-2447.9919510368068</v>
      </c>
      <c r="Y31" s="370">
        <f>+Y32*Y29</f>
        <v>-2439.5235180938062</v>
      </c>
    </row>
    <row r="32" spans="22:25" x14ac:dyDescent="0.25">
      <c r="V32" t="s">
        <v>24</v>
      </c>
      <c r="X32" s="174">
        <f>+FAT!AR213</f>
        <v>-0.26817804810616536</v>
      </c>
      <c r="Y32" s="174">
        <f>+FAT!AS213</f>
        <v>-0.27500000000000002</v>
      </c>
    </row>
    <row r="34" spans="22:25" x14ac:dyDescent="0.25">
      <c r="V34" t="s">
        <v>222</v>
      </c>
      <c r="X34" s="323">
        <f>+X29+X31</f>
        <v>6680.2419529839444</v>
      </c>
      <c r="Y34" s="323">
        <f>+Y29+Y31</f>
        <v>6431.4710931563977</v>
      </c>
    </row>
  </sheetData>
  <conditionalFormatting sqref="L7:S13">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L121"/>
  <sheetViews>
    <sheetView workbookViewId="0">
      <pane xSplit="1" ySplit="2" topLeftCell="BK37" activePane="bottomRight" state="frozen"/>
      <selection pane="topRight" activeCell="B1" sqref="B1"/>
      <selection pane="bottomLeft" activeCell="A3" sqref="A3"/>
      <selection pane="bottomRight" activeCell="BP46" sqref="BP46"/>
    </sheetView>
  </sheetViews>
  <sheetFormatPr defaultColWidth="9.140625" defaultRowHeight="15" outlineLevelCol="1" x14ac:dyDescent="0.25"/>
  <cols>
    <col min="1" max="1" width="26.42578125" style="576" bestFit="1" customWidth="1"/>
    <col min="2" max="20" width="7.7109375" style="576" bestFit="1" customWidth="1"/>
    <col min="21" max="21" width="8" style="576" bestFit="1" customWidth="1"/>
    <col min="22" max="48" width="7.7109375" style="576" bestFit="1" customWidth="1"/>
    <col min="49" max="49" width="8" style="576" bestFit="1" customWidth="1"/>
    <col min="50" max="59" width="7.7109375" style="576" bestFit="1" customWidth="1"/>
    <col min="60" max="63" width="9.140625" style="576"/>
    <col min="64" max="66" width="9.5703125" style="576" bestFit="1" customWidth="1"/>
    <col min="67" max="67" width="7.7109375" style="596" customWidth="1"/>
    <col min="68" max="69" width="7.7109375" style="576" customWidth="1"/>
    <col min="70" max="70" width="9.28515625" style="576" customWidth="1"/>
    <col min="71" max="74" width="7.7109375" style="576" customWidth="1"/>
    <col min="75" max="99" width="7.7109375" style="576" hidden="1" customWidth="1" outlineLevel="1"/>
    <col min="100" max="100" width="11.7109375" style="576" hidden="1" customWidth="1" outlineLevel="1" collapsed="1"/>
    <col min="101" max="101" width="10.42578125" style="576" hidden="1" customWidth="1" outlineLevel="1"/>
    <col min="102" max="102" width="7.140625" style="576" bestFit="1" customWidth="1" collapsed="1"/>
    <col min="103" max="106" width="8" style="576" bestFit="1" customWidth="1"/>
    <col min="107" max="115" width="7.7109375" style="576" bestFit="1" customWidth="1"/>
    <col min="116" max="116" width="7.7109375" style="596" bestFit="1" customWidth="1"/>
    <col min="117" max="117" width="8.5703125" style="576" bestFit="1" customWidth="1"/>
    <col min="118" max="126" width="7.7109375" style="576" bestFit="1" customWidth="1"/>
    <col min="127" max="127" width="9.140625" style="576"/>
    <col min="194" max="16384" width="9.140625" style="576"/>
  </cols>
  <sheetData>
    <row r="1" spans="1:132" s="569" customFormat="1" ht="11.25" x14ac:dyDescent="0.25">
      <c r="A1" s="183">
        <v>45909</v>
      </c>
      <c r="B1" s="184">
        <v>2009</v>
      </c>
      <c r="C1" s="184">
        <v>2009</v>
      </c>
      <c r="D1" s="184">
        <v>2009</v>
      </c>
      <c r="E1" s="184">
        <v>2009</v>
      </c>
      <c r="F1" s="184">
        <v>2010</v>
      </c>
      <c r="G1" s="184">
        <v>2010</v>
      </c>
      <c r="H1" s="184">
        <v>2010</v>
      </c>
      <c r="I1" s="184">
        <v>2010</v>
      </c>
      <c r="J1" s="184">
        <v>2011</v>
      </c>
      <c r="K1" s="184">
        <v>2011</v>
      </c>
      <c r="L1" s="184">
        <v>2011</v>
      </c>
      <c r="M1" s="184">
        <v>2011</v>
      </c>
      <c r="N1" s="184">
        <v>2012</v>
      </c>
      <c r="O1" s="184">
        <v>2012</v>
      </c>
      <c r="P1" s="184">
        <v>2012</v>
      </c>
      <c r="Q1" s="184">
        <v>2012</v>
      </c>
      <c r="R1" s="184">
        <v>2013</v>
      </c>
      <c r="S1" s="184">
        <v>2013</v>
      </c>
      <c r="T1" s="184">
        <v>2013</v>
      </c>
      <c r="U1" s="184">
        <v>2013</v>
      </c>
      <c r="V1" s="184">
        <v>2014</v>
      </c>
      <c r="W1" s="184">
        <v>2014</v>
      </c>
      <c r="X1" s="184">
        <v>2014</v>
      </c>
      <c r="Y1" s="184">
        <v>2014</v>
      </c>
      <c r="Z1" s="184">
        <v>2015</v>
      </c>
      <c r="AA1" s="184">
        <v>2015</v>
      </c>
      <c r="AB1" s="184">
        <v>2015</v>
      </c>
      <c r="AC1" s="184">
        <v>2015</v>
      </c>
      <c r="AD1" s="184">
        <v>2016</v>
      </c>
      <c r="AE1" s="184">
        <v>2016</v>
      </c>
      <c r="AF1" s="184">
        <v>2016</v>
      </c>
      <c r="AG1" s="184">
        <v>2016</v>
      </c>
      <c r="AH1" s="184">
        <v>2017</v>
      </c>
      <c r="AI1" s="184">
        <v>2017</v>
      </c>
      <c r="AJ1" s="184">
        <v>2017</v>
      </c>
      <c r="AK1" s="184">
        <v>2017</v>
      </c>
      <c r="AL1" s="184">
        <v>2018</v>
      </c>
      <c r="AM1" s="184">
        <v>2018</v>
      </c>
      <c r="AN1" s="184">
        <v>2018</v>
      </c>
      <c r="AO1" s="184">
        <v>2018</v>
      </c>
      <c r="AP1" s="184">
        <v>2019</v>
      </c>
      <c r="AQ1" s="184">
        <v>2019</v>
      </c>
      <c r="AR1" s="184">
        <v>2019</v>
      </c>
      <c r="AS1" s="184">
        <v>2019</v>
      </c>
      <c r="AT1" s="184">
        <v>2020</v>
      </c>
      <c r="AU1" s="184">
        <v>2020</v>
      </c>
      <c r="AV1" s="184">
        <v>2020</v>
      </c>
      <c r="AW1" s="184">
        <v>2020</v>
      </c>
      <c r="AX1" s="184">
        <v>2021</v>
      </c>
      <c r="AY1" s="184">
        <v>2021</v>
      </c>
      <c r="AZ1" s="278">
        <v>2021</v>
      </c>
      <c r="BA1" s="278">
        <v>2021</v>
      </c>
      <c r="BB1" s="278">
        <v>2022</v>
      </c>
      <c r="BC1" s="278">
        <v>2022</v>
      </c>
      <c r="BD1" s="278">
        <v>2022</v>
      </c>
      <c r="BE1" s="278">
        <v>2022</v>
      </c>
      <c r="BF1" s="278">
        <v>2023</v>
      </c>
      <c r="BG1" s="278">
        <v>2023</v>
      </c>
      <c r="BH1" s="278">
        <v>2023</v>
      </c>
      <c r="BI1" s="278">
        <v>2023</v>
      </c>
      <c r="BJ1" s="278">
        <v>2024</v>
      </c>
      <c r="BK1" s="278">
        <v>2024</v>
      </c>
      <c r="BL1" s="278">
        <v>2024</v>
      </c>
      <c r="BM1" s="278">
        <v>2024</v>
      </c>
      <c r="BN1" s="278">
        <v>2025</v>
      </c>
      <c r="BO1" s="185">
        <v>2025</v>
      </c>
      <c r="BP1" s="184">
        <v>2025</v>
      </c>
      <c r="BQ1" s="184">
        <v>2025</v>
      </c>
      <c r="BR1" s="184">
        <v>2026</v>
      </c>
      <c r="BS1" s="184">
        <v>2026</v>
      </c>
      <c r="BT1" s="184">
        <v>2026</v>
      </c>
      <c r="BU1" s="184">
        <v>2026</v>
      </c>
      <c r="BV1" s="184"/>
      <c r="BW1" s="184"/>
      <c r="BX1" s="184"/>
      <c r="BY1" s="184"/>
      <c r="BZ1" s="184"/>
      <c r="CA1" s="184"/>
      <c r="CB1" s="184"/>
      <c r="CC1" s="184"/>
      <c r="CD1" s="184"/>
      <c r="CE1" s="184"/>
      <c r="CF1" s="184"/>
      <c r="CG1" s="184"/>
      <c r="CH1" s="184"/>
      <c r="CI1" s="184"/>
      <c r="CJ1" s="184"/>
      <c r="CK1" s="184"/>
      <c r="CL1" s="184"/>
      <c r="CM1" s="184"/>
      <c r="CN1" s="184"/>
      <c r="CO1" s="184"/>
      <c r="CP1" s="184"/>
      <c r="CQ1" s="184"/>
      <c r="CR1" s="184"/>
      <c r="CS1" s="184"/>
      <c r="CT1" s="184"/>
      <c r="CU1" s="184"/>
      <c r="CV1" s="184"/>
      <c r="CW1" s="184"/>
      <c r="CX1" s="184"/>
      <c r="CY1" s="184">
        <v>2011</v>
      </c>
      <c r="CZ1" s="184">
        <v>2012</v>
      </c>
      <c r="DA1" s="184">
        <v>2013</v>
      </c>
      <c r="DB1" s="184">
        <v>2014</v>
      </c>
      <c r="DC1" s="184">
        <v>2015</v>
      </c>
      <c r="DD1" s="184">
        <v>2016</v>
      </c>
      <c r="DE1" s="184">
        <v>2017</v>
      </c>
      <c r="DF1" s="278">
        <v>2018</v>
      </c>
      <c r="DG1" s="278">
        <v>2019</v>
      </c>
      <c r="DH1" s="278">
        <v>2020</v>
      </c>
      <c r="DI1" s="278">
        <v>2021</v>
      </c>
      <c r="DJ1" s="278">
        <v>2022</v>
      </c>
      <c r="DK1" s="278">
        <v>2023</v>
      </c>
      <c r="DL1" s="185">
        <v>2024</v>
      </c>
      <c r="DM1" s="184">
        <v>2025</v>
      </c>
      <c r="DN1" s="184">
        <v>2026</v>
      </c>
      <c r="DO1" s="184">
        <v>2027</v>
      </c>
      <c r="DP1" s="184">
        <v>2028</v>
      </c>
      <c r="DQ1" s="184">
        <v>2029</v>
      </c>
      <c r="DR1" s="184">
        <v>2030</v>
      </c>
      <c r="DS1" s="184">
        <v>2031</v>
      </c>
      <c r="DT1" s="184">
        <v>2032</v>
      </c>
      <c r="DU1" s="184">
        <v>2033</v>
      </c>
      <c r="DV1" s="184">
        <v>2034</v>
      </c>
      <c r="DW1" s="184">
        <v>2035</v>
      </c>
      <c r="DX1" s="184">
        <v>2036</v>
      </c>
      <c r="DY1" s="184">
        <v>2037</v>
      </c>
      <c r="DZ1" s="184">
        <v>2038</v>
      </c>
      <c r="EA1" s="184">
        <v>2039</v>
      </c>
      <c r="EB1" s="184">
        <v>2040</v>
      </c>
    </row>
    <row r="2" spans="1:132" s="186" customFormat="1" ht="11.25" x14ac:dyDescent="0.25">
      <c r="A2" s="186" t="s">
        <v>223</v>
      </c>
      <c r="B2" s="187">
        <v>39903</v>
      </c>
      <c r="C2" s="187">
        <v>39994</v>
      </c>
      <c r="D2" s="187">
        <v>40086</v>
      </c>
      <c r="E2" s="187">
        <v>40178</v>
      </c>
      <c r="F2" s="187">
        <v>40268</v>
      </c>
      <c r="G2" s="187">
        <v>40359</v>
      </c>
      <c r="H2" s="187">
        <v>40451</v>
      </c>
      <c r="I2" s="187">
        <v>40543</v>
      </c>
      <c r="J2" s="187">
        <v>40633</v>
      </c>
      <c r="K2" s="187">
        <v>40724</v>
      </c>
      <c r="L2" s="187">
        <v>40816</v>
      </c>
      <c r="M2" s="187">
        <v>40908</v>
      </c>
      <c r="N2" s="187">
        <v>40999</v>
      </c>
      <c r="O2" s="187">
        <v>41090</v>
      </c>
      <c r="P2" s="187">
        <v>41182</v>
      </c>
      <c r="Q2" s="187">
        <v>41274</v>
      </c>
      <c r="R2" s="187">
        <v>41364</v>
      </c>
      <c r="S2" s="187">
        <v>41455</v>
      </c>
      <c r="T2" s="187">
        <v>41547</v>
      </c>
      <c r="U2" s="187">
        <v>41639</v>
      </c>
      <c r="V2" s="187">
        <v>41729</v>
      </c>
      <c r="W2" s="187">
        <v>41820</v>
      </c>
      <c r="X2" s="187">
        <v>41912</v>
      </c>
      <c r="Y2" s="187">
        <v>42004</v>
      </c>
      <c r="Z2" s="187">
        <v>42094</v>
      </c>
      <c r="AA2" s="187">
        <v>42185</v>
      </c>
      <c r="AB2" s="187">
        <v>42277</v>
      </c>
      <c r="AC2" s="187">
        <v>42369</v>
      </c>
      <c r="AD2" s="187">
        <v>42460</v>
      </c>
      <c r="AE2" s="187">
        <v>42551</v>
      </c>
      <c r="AF2" s="187">
        <v>42643</v>
      </c>
      <c r="AG2" s="187">
        <v>42735</v>
      </c>
      <c r="AH2" s="187">
        <v>42825</v>
      </c>
      <c r="AI2" s="187">
        <v>42916</v>
      </c>
      <c r="AJ2" s="187">
        <v>43008</v>
      </c>
      <c r="AK2" s="187">
        <v>43100</v>
      </c>
      <c r="AL2" s="187">
        <v>43190</v>
      </c>
      <c r="AM2" s="187">
        <v>43281</v>
      </c>
      <c r="AN2" s="187">
        <v>43373</v>
      </c>
      <c r="AO2" s="187">
        <v>43465</v>
      </c>
      <c r="AP2" s="187">
        <v>43555</v>
      </c>
      <c r="AQ2" s="187">
        <v>43646</v>
      </c>
      <c r="AR2" s="187">
        <v>43738</v>
      </c>
      <c r="AS2" s="187">
        <v>43830</v>
      </c>
      <c r="AT2" s="279">
        <v>43921</v>
      </c>
      <c r="AU2" s="279">
        <v>44012</v>
      </c>
      <c r="AV2" s="279">
        <v>44104</v>
      </c>
      <c r="AW2" s="279">
        <v>44196</v>
      </c>
      <c r="AX2" s="279">
        <v>44286</v>
      </c>
      <c r="AY2" s="279">
        <v>44377</v>
      </c>
      <c r="AZ2" s="279">
        <v>44469</v>
      </c>
      <c r="BA2" s="279">
        <v>44561</v>
      </c>
      <c r="BB2" s="279">
        <v>44651</v>
      </c>
      <c r="BC2" s="279">
        <v>44742</v>
      </c>
      <c r="BD2" s="279">
        <v>44834</v>
      </c>
      <c r="BE2" s="279">
        <v>44926</v>
      </c>
      <c r="BF2" s="279">
        <v>45016</v>
      </c>
      <c r="BG2" s="279">
        <v>45107</v>
      </c>
      <c r="BH2" s="279">
        <v>45199</v>
      </c>
      <c r="BI2" s="279">
        <v>45291</v>
      </c>
      <c r="BJ2" s="279">
        <v>45382</v>
      </c>
      <c r="BK2" s="279">
        <v>45473</v>
      </c>
      <c r="BL2" s="279">
        <v>45565</v>
      </c>
      <c r="BM2" s="279">
        <v>45657</v>
      </c>
      <c r="BN2" s="279">
        <v>45747</v>
      </c>
      <c r="BO2" s="188">
        <v>45838</v>
      </c>
      <c r="BP2" s="187">
        <v>45930</v>
      </c>
      <c r="BQ2" s="187">
        <v>46022</v>
      </c>
      <c r="BR2" s="187">
        <v>46112</v>
      </c>
      <c r="BS2" s="187">
        <v>46203</v>
      </c>
      <c r="BT2" s="187">
        <v>46295</v>
      </c>
      <c r="BU2" s="187">
        <v>46387</v>
      </c>
      <c r="BV2" s="187"/>
      <c r="BW2" s="187"/>
      <c r="BX2" s="187"/>
      <c r="BY2" s="187"/>
      <c r="BZ2" s="187"/>
      <c r="CA2" s="187"/>
      <c r="CB2" s="187"/>
      <c r="CC2" s="187"/>
      <c r="CD2" s="187"/>
      <c r="CE2" s="187"/>
      <c r="CF2" s="187"/>
      <c r="CG2" s="187"/>
      <c r="CH2" s="187"/>
      <c r="CI2" s="187"/>
      <c r="CJ2" s="187"/>
      <c r="CK2" s="187"/>
      <c r="CL2" s="187"/>
      <c r="CM2" s="187"/>
      <c r="CN2" s="187"/>
      <c r="CO2" s="187"/>
      <c r="CP2" s="187"/>
      <c r="CQ2" s="187"/>
      <c r="CR2" s="187"/>
      <c r="CS2" s="187"/>
      <c r="CT2" s="187"/>
      <c r="CU2" s="187"/>
      <c r="CV2" s="187"/>
      <c r="CW2" s="187"/>
      <c r="CX2" s="187"/>
      <c r="CY2" s="187">
        <v>40908</v>
      </c>
      <c r="CZ2" s="187">
        <v>41274</v>
      </c>
      <c r="DA2" s="187">
        <v>41639</v>
      </c>
      <c r="DB2" s="187">
        <v>42004</v>
      </c>
      <c r="DC2" s="187">
        <v>42369</v>
      </c>
      <c r="DD2" s="187">
        <v>42735</v>
      </c>
      <c r="DE2" s="187">
        <v>43100</v>
      </c>
      <c r="DF2" s="279">
        <v>43465</v>
      </c>
      <c r="DG2" s="279">
        <v>43830</v>
      </c>
      <c r="DH2" s="279">
        <v>44196</v>
      </c>
      <c r="DI2" s="279">
        <v>44561</v>
      </c>
      <c r="DJ2" s="279">
        <v>44926</v>
      </c>
      <c r="DK2" s="279">
        <v>45291</v>
      </c>
      <c r="DL2" s="188">
        <v>45657</v>
      </c>
      <c r="DM2" s="187">
        <v>46022</v>
      </c>
      <c r="DN2" s="187">
        <v>46387</v>
      </c>
      <c r="DO2" s="187">
        <v>46752</v>
      </c>
      <c r="DP2" s="187">
        <v>47118</v>
      </c>
      <c r="DQ2" s="187">
        <v>47483</v>
      </c>
      <c r="DR2" s="187">
        <v>47848</v>
      </c>
      <c r="DS2" s="187">
        <v>48213</v>
      </c>
      <c r="DT2" s="187">
        <v>48579</v>
      </c>
      <c r="DU2" s="187">
        <v>48944</v>
      </c>
      <c r="DV2" s="187">
        <v>49309</v>
      </c>
      <c r="DW2" s="187">
        <v>49674</v>
      </c>
      <c r="DX2" s="187">
        <v>50040</v>
      </c>
      <c r="DY2" s="187">
        <v>50405</v>
      </c>
      <c r="DZ2" s="187">
        <v>50770</v>
      </c>
      <c r="EA2" s="187">
        <v>51135</v>
      </c>
      <c r="EB2" s="187">
        <v>51501</v>
      </c>
    </row>
    <row r="3" spans="1:132" s="572" customFormat="1" ht="11.25" x14ac:dyDescent="0.25">
      <c r="A3" s="189" t="s">
        <v>224</v>
      </c>
      <c r="B3" s="190">
        <v>606.59777777777765</v>
      </c>
      <c r="C3" s="190">
        <v>566.21015384615396</v>
      </c>
      <c r="D3" s="190">
        <v>545.48909090909092</v>
      </c>
      <c r="E3" s="190">
        <v>517.95692307692309</v>
      </c>
      <c r="F3" s="190">
        <v>519.07682539682537</v>
      </c>
      <c r="G3" s="190">
        <v>530.63538461538474</v>
      </c>
      <c r="H3" s="190">
        <v>510.71378787878791</v>
      </c>
      <c r="I3" s="190">
        <v>479.9486363636363</v>
      </c>
      <c r="J3" s="190">
        <v>481.68390625000018</v>
      </c>
      <c r="K3" s="190">
        <v>469.22906250000005</v>
      </c>
      <c r="L3" s="190">
        <v>471.92600000000004</v>
      </c>
      <c r="M3" s="190">
        <v>509.33055555555552</v>
      </c>
      <c r="N3" s="190">
        <v>495.66920000000005</v>
      </c>
      <c r="O3" s="190">
        <v>498.04085714285713</v>
      </c>
      <c r="P3" s="190">
        <v>484.56666666666661</v>
      </c>
      <c r="Q3" s="190">
        <v>478.17017857142855</v>
      </c>
      <c r="R3" s="190">
        <v>472.40950819672145</v>
      </c>
      <c r="S3" s="190">
        <v>484.81083333333322</v>
      </c>
      <c r="T3" s="190">
        <v>508.39131147540974</v>
      </c>
      <c r="U3" s="190">
        <v>517.35193548387088</v>
      </c>
      <c r="V3" s="190">
        <v>552.58476190476188</v>
      </c>
      <c r="W3" s="190">
        <v>554.6754838709677</v>
      </c>
      <c r="X3" s="190">
        <v>577.71322580645153</v>
      </c>
      <c r="Y3" s="190">
        <v>598.60696969696971</v>
      </c>
      <c r="Z3" s="190">
        <v>624.50937499999998</v>
      </c>
      <c r="AA3" s="190">
        <v>616.72525423728837</v>
      </c>
      <c r="AB3" s="190">
        <v>679.16576271186455</v>
      </c>
      <c r="AC3" s="190">
        <v>698.02887096774202</v>
      </c>
      <c r="AD3" s="190">
        <v>701.10444444444443</v>
      </c>
      <c r="AE3" s="190">
        <v>677.39812499999994</v>
      </c>
      <c r="AF3" s="190">
        <v>661.67106060606022</v>
      </c>
      <c r="AG3" s="190">
        <v>665.7209677419354</v>
      </c>
      <c r="AH3" s="190">
        <v>655.333442622951</v>
      </c>
      <c r="AI3" s="190">
        <v>664.86758064516141</v>
      </c>
      <c r="AJ3" s="190">
        <v>642.36590163934443</v>
      </c>
      <c r="AK3" s="190">
        <v>633.4575806451611</v>
      </c>
      <c r="AL3" s="190">
        <v>601.94999999999982</v>
      </c>
      <c r="AM3" s="190">
        <v>621.69859374999953</v>
      </c>
      <c r="AN3" s="190">
        <v>663.30812500000013</v>
      </c>
      <c r="AO3" s="190">
        <v>679.74999999999989</v>
      </c>
      <c r="AP3" s="190">
        <v>667.58921875000021</v>
      </c>
      <c r="AQ3" s="190">
        <v>683.62206349206372</v>
      </c>
      <c r="AR3" s="570">
        <v>706.46061538461538</v>
      </c>
      <c r="AS3" s="570">
        <v>755.1612121212122</v>
      </c>
      <c r="AT3" s="570">
        <v>804.15</v>
      </c>
      <c r="AU3" s="570">
        <v>822.41606557377054</v>
      </c>
      <c r="AV3" s="570">
        <v>780.83265625000001</v>
      </c>
      <c r="AW3" s="570">
        <v>760.92806451612921</v>
      </c>
      <c r="AX3" s="280">
        <v>724.37269841269847</v>
      </c>
      <c r="AY3" s="280">
        <v>715.49737704918039</v>
      </c>
      <c r="AZ3" s="280">
        <v>773.73421874999985</v>
      </c>
      <c r="BA3" s="280">
        <v>826.76571428571424</v>
      </c>
      <c r="BB3" s="280">
        <v>808.16859375000013</v>
      </c>
      <c r="BC3" s="280">
        <v>845.1271875000001</v>
      </c>
      <c r="BD3" s="280">
        <v>927.20625000000007</v>
      </c>
      <c r="BE3" s="280">
        <v>913.69063492063481</v>
      </c>
      <c r="BF3" s="280">
        <v>810.09437500000013</v>
      </c>
      <c r="BG3" s="280">
        <v>801.18230769230729</v>
      </c>
      <c r="BH3" s="280">
        <v>853.25046153846165</v>
      </c>
      <c r="BI3" s="280">
        <v>895.51492063492071</v>
      </c>
      <c r="BJ3" s="280">
        <v>946.47421874999998</v>
      </c>
      <c r="BK3" s="280">
        <v>934.15809523809537</v>
      </c>
      <c r="BL3" s="280">
        <v>930.772258064516</v>
      </c>
      <c r="BM3" s="280">
        <v>963.48419354838711</v>
      </c>
      <c r="BN3" s="280">
        <v>963.21730158730213</v>
      </c>
      <c r="BO3" s="192">
        <v>946.92741935483855</v>
      </c>
      <c r="BP3" s="193">
        <v>949.1</v>
      </c>
      <c r="BQ3" s="193">
        <v>967.15349968512044</v>
      </c>
      <c r="BR3" s="193">
        <v>969.50005756958797</v>
      </c>
      <c r="BS3" s="193">
        <v>968.10099071487866</v>
      </c>
      <c r="BT3" s="193">
        <v>967.16756148538173</v>
      </c>
      <c r="BU3" s="193">
        <v>970.92463759781583</v>
      </c>
      <c r="BV3" s="193"/>
      <c r="BW3" s="193"/>
      <c r="BX3" s="193"/>
      <c r="BY3" s="193"/>
      <c r="BZ3" s="193"/>
      <c r="CA3" s="193"/>
      <c r="CB3" s="193"/>
      <c r="CC3" s="193"/>
      <c r="CD3" s="193"/>
      <c r="CE3" s="193"/>
      <c r="CF3" s="193"/>
      <c r="CG3" s="193"/>
      <c r="CH3" s="193"/>
      <c r="CI3" s="193"/>
      <c r="CJ3" s="193"/>
      <c r="CK3" s="193"/>
      <c r="CL3" s="193"/>
      <c r="CM3" s="193"/>
      <c r="CN3" s="193"/>
      <c r="CO3" s="193"/>
      <c r="CP3" s="193"/>
      <c r="CQ3" s="193"/>
      <c r="CR3" s="193"/>
      <c r="CS3" s="193"/>
      <c r="CT3" s="193"/>
      <c r="CU3" s="193"/>
      <c r="CV3" s="571"/>
      <c r="CW3" s="194"/>
      <c r="CX3" s="189"/>
      <c r="CY3" s="190">
        <v>483.04238107638895</v>
      </c>
      <c r="CZ3" s="190">
        <v>489.11172559523811</v>
      </c>
      <c r="DA3" s="190">
        <v>495.74089712233382</v>
      </c>
      <c r="DB3" s="190">
        <v>570.8951103197877</v>
      </c>
      <c r="DC3" s="190">
        <v>654.60731572922373</v>
      </c>
      <c r="DD3" s="190">
        <v>676.47364944811</v>
      </c>
      <c r="DE3" s="190">
        <v>649.00612638815448</v>
      </c>
      <c r="DF3" s="190">
        <v>641.67667968749981</v>
      </c>
      <c r="DG3" s="570">
        <v>703.20827743697282</v>
      </c>
      <c r="DH3" s="570">
        <v>792.08169658497502</v>
      </c>
      <c r="DI3" s="570">
        <v>760.09250212439827</v>
      </c>
      <c r="DJ3" s="570">
        <v>873.54816654265881</v>
      </c>
      <c r="DK3" s="570">
        <v>840.0105162164225</v>
      </c>
      <c r="DL3" s="195">
        <v>943.72219140024959</v>
      </c>
      <c r="DM3" s="193">
        <v>956.59955515681531</v>
      </c>
      <c r="DN3" s="193">
        <v>968.92331184191607</v>
      </c>
      <c r="DO3" s="193">
        <v>977.20989542434563</v>
      </c>
      <c r="DP3" s="193">
        <v>986.79038459517267</v>
      </c>
      <c r="DQ3" s="193">
        <v>996.46480013041946</v>
      </c>
      <c r="DR3" s="193">
        <v>1006.2340628767963</v>
      </c>
      <c r="DS3" s="193">
        <v>1016.0991027089218</v>
      </c>
      <c r="DT3" s="193">
        <v>1026.0608586178328</v>
      </c>
      <c r="DU3" s="193">
        <v>1036.1202788003607</v>
      </c>
      <c r="DV3" s="193">
        <v>1046.2783207493835</v>
      </c>
      <c r="DW3" s="193">
        <v>1056.5359513449657</v>
      </c>
      <c r="DX3" s="193">
        <v>1066.8941469463871</v>
      </c>
      <c r="DY3" s="193">
        <v>1077.3538934850774</v>
      </c>
      <c r="DZ3" s="193">
        <v>1087.9161865584606</v>
      </c>
      <c r="EA3" s="193">
        <v>1098.5820315247202</v>
      </c>
      <c r="EB3" s="193">
        <v>1109.3524435984918</v>
      </c>
    </row>
    <row r="4" spans="1:132" s="572" customFormat="1" ht="11.25" x14ac:dyDescent="0.25">
      <c r="A4" s="189" t="s">
        <v>225</v>
      </c>
      <c r="B4" s="190">
        <v>3.1852984126984127</v>
      </c>
      <c r="C4" s="190">
        <v>3.0233353846153843</v>
      </c>
      <c r="D4" s="190">
        <v>2.9570772727272718</v>
      </c>
      <c r="E4" s="190">
        <v>2.8775046153846149</v>
      </c>
      <c r="F4" s="190">
        <v>2.8492222222222225</v>
      </c>
      <c r="G4" s="190">
        <v>2.8403476923076929</v>
      </c>
      <c r="H4" s="190">
        <v>2.8052454545454544</v>
      </c>
      <c r="I4" s="190">
        <v>2.8042828124999994</v>
      </c>
      <c r="J4" s="190">
        <v>2.7787249999999997</v>
      </c>
      <c r="K4" s="190">
        <v>2.7841171874999993</v>
      </c>
      <c r="L4" s="190">
        <v>2.7412569230769241</v>
      </c>
      <c r="M4" s="190">
        <v>2.7131641509433955</v>
      </c>
      <c r="N4" s="190">
        <v>2.6816818181818176</v>
      </c>
      <c r="O4" s="190">
        <v>2.6657377049180333</v>
      </c>
      <c r="P4" s="190">
        <v>2.6159736842105268</v>
      </c>
      <c r="Q4" s="190">
        <v>2.5819313725490201</v>
      </c>
      <c r="R4" s="190">
        <v>2.5692666666666666</v>
      </c>
      <c r="S4" s="190">
        <v>2.658300000000001</v>
      </c>
      <c r="T4" s="190">
        <v>2.7856370370370365</v>
      </c>
      <c r="U4" s="190">
        <v>2.780846938775511</v>
      </c>
      <c r="V4" s="190">
        <v>2.8097555555555562</v>
      </c>
      <c r="W4" s="190">
        <v>2.7918758064516123</v>
      </c>
      <c r="X4" s="190">
        <v>2.8226384615384625</v>
      </c>
      <c r="Y4" s="190">
        <v>2.9316698412698416</v>
      </c>
      <c r="Z4" s="190">
        <v>3.0606290322580647</v>
      </c>
      <c r="AA4" s="190">
        <v>3.1437171874999996</v>
      </c>
      <c r="AB4" s="190">
        <v>3.2135031746031744</v>
      </c>
      <c r="AC4" s="190">
        <v>3.3240000000000003</v>
      </c>
      <c r="AD4" s="190">
        <v>3.4504758064516126</v>
      </c>
      <c r="AE4" s="190">
        <v>3.3176609375000008</v>
      </c>
      <c r="AF4" s="190">
        <v>3.3413923076923071</v>
      </c>
      <c r="AG4" s="190">
        <v>3.3939836065573772</v>
      </c>
      <c r="AH4" s="190">
        <v>3.2878553846153857</v>
      </c>
      <c r="AI4" s="190">
        <v>3.2639278688524591</v>
      </c>
      <c r="AJ4" s="190">
        <v>3.2458096774193548</v>
      </c>
      <c r="AK4" s="190">
        <v>3.2464145161290321</v>
      </c>
      <c r="AL4" s="190">
        <v>3.2386934426229512</v>
      </c>
      <c r="AM4" s="190">
        <v>3.2588951612903232</v>
      </c>
      <c r="AN4" s="190">
        <v>3.2926564516129035</v>
      </c>
      <c r="AO4" s="190">
        <v>3.3575126984126982</v>
      </c>
      <c r="AP4" s="190">
        <v>3.3231698412698414</v>
      </c>
      <c r="AQ4" s="190">
        <v>3.3204539682539687</v>
      </c>
      <c r="AR4" s="570">
        <v>3.3403484375000012</v>
      </c>
      <c r="AS4" s="570">
        <v>3.3607343750000003</v>
      </c>
      <c r="AT4" s="570">
        <v>3.3953894736842112</v>
      </c>
      <c r="AU4" s="570">
        <v>3.4328015873015874</v>
      </c>
      <c r="AV4" s="570">
        <v>3.5436681818181817</v>
      </c>
      <c r="AW4" s="570">
        <v>3.601815625</v>
      </c>
      <c r="AX4" s="280">
        <v>3.6617603174603173</v>
      </c>
      <c r="AY4" s="280">
        <v>3.7947612903225814</v>
      </c>
      <c r="AZ4" s="280">
        <v>4.0495761904761904</v>
      </c>
      <c r="BA4" s="280">
        <v>4.0230730158730159</v>
      </c>
      <c r="BB4" s="280">
        <v>3.8033031249999993</v>
      </c>
      <c r="BC4" s="280">
        <v>3.7478112903225802</v>
      </c>
      <c r="BD4" s="280">
        <v>3.8924000000000003</v>
      </c>
      <c r="BE4" s="280">
        <v>3.8939951612903227</v>
      </c>
      <c r="BF4" s="280">
        <v>3.8158515625000002</v>
      </c>
      <c r="BG4" s="280">
        <v>3.6973836065573766</v>
      </c>
      <c r="BH4" s="280">
        <v>3.6777460317460315</v>
      </c>
      <c r="BI4" s="280">
        <v>3.7821435483870971</v>
      </c>
      <c r="BJ4" s="280">
        <v>3.7602278688524602</v>
      </c>
      <c r="BK4" s="280">
        <v>3.7436238095238092</v>
      </c>
      <c r="BL4" s="280">
        <v>3.7567983870967741</v>
      </c>
      <c r="BM4" s="280">
        <v>3.7559290322580638</v>
      </c>
      <c r="BN4" s="280">
        <v>3.6998190476190467</v>
      </c>
      <c r="BO4" s="192">
        <v>3.6524661290322582</v>
      </c>
      <c r="BP4" s="193">
        <v>3.5262500000000001</v>
      </c>
      <c r="BQ4" s="193">
        <v>3.5031389186942432</v>
      </c>
      <c r="BR4" s="193">
        <v>3.5046621108485514</v>
      </c>
      <c r="BS4" s="193">
        <v>3.5164007336836836</v>
      </c>
      <c r="BT4" s="193">
        <v>3.5088906994241116</v>
      </c>
      <c r="BU4" s="193">
        <v>3.4911886397318357</v>
      </c>
      <c r="BV4" s="193"/>
      <c r="BW4" s="193"/>
      <c r="BX4" s="193"/>
      <c r="BY4" s="193"/>
      <c r="BZ4" s="193"/>
      <c r="CA4" s="193"/>
      <c r="CB4" s="193"/>
      <c r="CC4" s="193"/>
      <c r="CD4" s="193"/>
      <c r="CE4" s="193"/>
      <c r="CF4" s="193"/>
      <c r="CG4" s="193"/>
      <c r="CH4" s="193"/>
      <c r="CI4" s="193"/>
      <c r="CJ4" s="193"/>
      <c r="CK4" s="193"/>
      <c r="CL4" s="193"/>
      <c r="CM4" s="193"/>
      <c r="CN4" s="193"/>
      <c r="CO4" s="193"/>
      <c r="CP4" s="193"/>
      <c r="CQ4" s="193"/>
      <c r="CR4" s="193"/>
      <c r="CS4" s="193"/>
      <c r="CT4" s="193"/>
      <c r="CU4" s="193"/>
      <c r="CV4" s="571"/>
      <c r="CW4" s="196"/>
      <c r="CX4" s="189"/>
      <c r="CY4" s="190">
        <v>2.75431581538008</v>
      </c>
      <c r="CZ4" s="190">
        <v>2.6363311449648492</v>
      </c>
      <c r="DA4" s="190">
        <v>2.6985126606198038</v>
      </c>
      <c r="DB4" s="190">
        <v>2.8389849162038683</v>
      </c>
      <c r="DC4" s="190">
        <v>3.1854623485903097</v>
      </c>
      <c r="DD4" s="190">
        <v>3.3758781645503246</v>
      </c>
      <c r="DE4" s="190">
        <v>3.2610018617540577</v>
      </c>
      <c r="DF4" s="190">
        <v>3.286939438484719</v>
      </c>
      <c r="DG4" s="570">
        <v>3.3361766555059527</v>
      </c>
      <c r="DH4" s="570">
        <v>3.4934187169509952</v>
      </c>
      <c r="DI4" s="570">
        <v>3.8822927035330261</v>
      </c>
      <c r="DJ4" s="570">
        <v>3.8343773941532255</v>
      </c>
      <c r="DK4" s="570">
        <v>3.7432811872976264</v>
      </c>
      <c r="DL4" s="195">
        <v>3.7541447744327767</v>
      </c>
      <c r="DM4" s="193">
        <v>3.5954185238363872</v>
      </c>
      <c r="DN4" s="193">
        <v>3.5052855459220451</v>
      </c>
      <c r="DO4" s="193">
        <v>3.4886210016198769</v>
      </c>
      <c r="DP4" s="193">
        <v>3.4971715432905137</v>
      </c>
      <c r="DQ4" s="193">
        <v>3.5057430421711269</v>
      </c>
      <c r="DR4" s="193">
        <v>3.5143355496274289</v>
      </c>
      <c r="DS4" s="193">
        <v>3.5229491171510254</v>
      </c>
      <c r="DT4" s="193">
        <v>3.5315837963597287</v>
      </c>
      <c r="DU4" s="193">
        <v>3.540239638997865</v>
      </c>
      <c r="DV4" s="193">
        <v>3.5489166969365851</v>
      </c>
      <c r="DW4" s="193">
        <v>3.5576150221741747</v>
      </c>
      <c r="DX4" s="193">
        <v>3.566334666836366</v>
      </c>
      <c r="DY4" s="193">
        <v>3.5750756831766513</v>
      </c>
      <c r="DZ4" s="193">
        <v>3.5838381235765935</v>
      </c>
      <c r="EA4" s="193">
        <v>3.5926220405461438</v>
      </c>
      <c r="EB4" s="193">
        <v>3.6014274867239529</v>
      </c>
    </row>
    <row r="5" spans="1:132" s="572" customFormat="1" ht="11.25" x14ac:dyDescent="0.25">
      <c r="A5" s="189" t="s">
        <v>226</v>
      </c>
      <c r="B5" s="190">
        <v>2418.3826984126986</v>
      </c>
      <c r="C5" s="190">
        <v>2228.154461538461</v>
      </c>
      <c r="D5" s="190">
        <v>2013.6042424242421</v>
      </c>
      <c r="E5" s="190">
        <v>1964.8087499999997</v>
      </c>
      <c r="F5" s="190">
        <v>1942.5882539682543</v>
      </c>
      <c r="G5" s="190">
        <v>1949.5679999999995</v>
      </c>
      <c r="H5" s="190">
        <v>1831.7249999999995</v>
      </c>
      <c r="I5" s="190">
        <v>1868.0246969696971</v>
      </c>
      <c r="J5" s="190">
        <v>1877.54203125</v>
      </c>
      <c r="K5" s="190">
        <v>1796.3936507936503</v>
      </c>
      <c r="L5" s="190">
        <v>1796.1931818181818</v>
      </c>
      <c r="M5" s="190">
        <v>1918.9841666666673</v>
      </c>
      <c r="N5" s="190">
        <v>1795.6903225806448</v>
      </c>
      <c r="O5" s="190">
        <v>1785.7196610169494</v>
      </c>
      <c r="P5" s="190">
        <v>1796.4273770491802</v>
      </c>
      <c r="Q5" s="190">
        <v>1805.855081967213</v>
      </c>
      <c r="R5" s="190">
        <v>1788.4047368421054</v>
      </c>
      <c r="S5" s="190">
        <v>1860.2491803278688</v>
      </c>
      <c r="T5" s="190">
        <v>1906.1563492063492</v>
      </c>
      <c r="U5" s="190">
        <v>1913.1642622950819</v>
      </c>
      <c r="V5" s="190">
        <v>2006.2579365079373</v>
      </c>
      <c r="W5" s="190">
        <v>1913.2035384615388</v>
      </c>
      <c r="X5" s="190">
        <v>1911.1348484848486</v>
      </c>
      <c r="Y5" s="190">
        <v>2177.5200000000009</v>
      </c>
      <c r="Z5" s="190">
        <v>2474.2625396825388</v>
      </c>
      <c r="AA5" s="190">
        <v>2499.0376923076924</v>
      </c>
      <c r="AB5" s="190">
        <v>2947.581212121212</v>
      </c>
      <c r="AC5" s="190">
        <v>3062.2818461538454</v>
      </c>
      <c r="AD5" s="190">
        <v>3251.7006249999999</v>
      </c>
      <c r="AE5" s="190">
        <v>2992.0047692307699</v>
      </c>
      <c r="AF5" s="190">
        <v>2947.6774242424235</v>
      </c>
      <c r="AG5" s="190">
        <v>3019.9071428571428</v>
      </c>
      <c r="AH5" s="190">
        <v>2922.1529230769229</v>
      </c>
      <c r="AI5" s="190">
        <v>2925.0843076923084</v>
      </c>
      <c r="AJ5" s="190">
        <v>2974.5890769230764</v>
      </c>
      <c r="AK5" s="190">
        <v>2988.1212698412696</v>
      </c>
      <c r="AL5" s="190">
        <v>2855.7704838709678</v>
      </c>
      <c r="AM5" s="190">
        <v>2842.0556923076924</v>
      </c>
      <c r="AN5" s="190">
        <v>2960.7506153846161</v>
      </c>
      <c r="AO5" s="190">
        <v>3165.4893650793638</v>
      </c>
      <c r="AP5" s="190">
        <v>3134.0034920634903</v>
      </c>
      <c r="AQ5" s="190">
        <v>3242.2910769230771</v>
      </c>
      <c r="AR5" s="570">
        <v>3343.7846969696971</v>
      </c>
      <c r="AS5" s="570">
        <v>3404.0021212121214</v>
      </c>
      <c r="AT5" s="570">
        <v>3551.7089062500013</v>
      </c>
      <c r="AU5" s="570">
        <v>3842.9453125000009</v>
      </c>
      <c r="AV5" s="570">
        <v>3731.5530303030309</v>
      </c>
      <c r="AW5" s="570">
        <v>3655.2124615384614</v>
      </c>
      <c r="AX5" s="280">
        <v>3560.9698412698403</v>
      </c>
      <c r="AY5" s="280">
        <v>3695.2459999999992</v>
      </c>
      <c r="AZ5" s="280">
        <v>3847.7810769230778</v>
      </c>
      <c r="BA5" s="280">
        <v>3886.9743939393948</v>
      </c>
      <c r="BB5" s="280">
        <v>3907.8168749999991</v>
      </c>
      <c r="BC5" s="280">
        <v>3923.7173846153846</v>
      </c>
      <c r="BD5" s="280">
        <v>4388.0369696969719</v>
      </c>
      <c r="BE5" s="280">
        <v>4820.8119047619066</v>
      </c>
      <c r="BF5" s="280">
        <v>4756.8161538461545</v>
      </c>
      <c r="BG5" s="280">
        <v>4406.0674193548384</v>
      </c>
      <c r="BH5" s="280">
        <v>4044.2606153846164</v>
      </c>
      <c r="BI5" s="280">
        <v>4072.6467796610182</v>
      </c>
      <c r="BJ5" s="280">
        <v>3919.6001666666662</v>
      </c>
      <c r="BK5" s="280">
        <v>3928.7760655737693</v>
      </c>
      <c r="BL5" s="280">
        <v>4097.1941269841263</v>
      </c>
      <c r="BM5" s="280">
        <v>4352.0903225806451</v>
      </c>
      <c r="BN5" s="280">
        <v>4183.6350819672134</v>
      </c>
      <c r="BO5" s="192">
        <v>4196.3313333333354</v>
      </c>
      <c r="BP5" s="193">
        <v>4014.4</v>
      </c>
      <c r="BQ5" s="193">
        <v>3923.8842311207209</v>
      </c>
      <c r="BR5" s="193">
        <v>3950.7297254189407</v>
      </c>
      <c r="BS5" s="193">
        <v>3995.0301120826675</v>
      </c>
      <c r="BT5" s="193">
        <v>3985.4183458546227</v>
      </c>
      <c r="BU5" s="193">
        <v>3958.3042682358155</v>
      </c>
      <c r="BV5" s="193"/>
      <c r="BW5" s="193"/>
      <c r="BX5" s="193"/>
      <c r="BY5" s="193"/>
      <c r="BZ5" s="193"/>
      <c r="CA5" s="193"/>
      <c r="CB5" s="193"/>
      <c r="CC5" s="193"/>
      <c r="CD5" s="193"/>
      <c r="CE5" s="193"/>
      <c r="CF5" s="193"/>
      <c r="CG5" s="193"/>
      <c r="CH5" s="193"/>
      <c r="CI5" s="193"/>
      <c r="CJ5" s="193"/>
      <c r="CK5" s="193"/>
      <c r="CL5" s="193"/>
      <c r="CM5" s="193"/>
      <c r="CN5" s="193"/>
      <c r="CO5" s="193"/>
      <c r="CP5" s="193"/>
      <c r="CQ5" s="193"/>
      <c r="CR5" s="193"/>
      <c r="CS5" s="193"/>
      <c r="CT5" s="193"/>
      <c r="CU5" s="193"/>
      <c r="CV5" s="571"/>
      <c r="CW5" s="196"/>
      <c r="CX5" s="189"/>
      <c r="CY5" s="190">
        <v>1847.2782576321249</v>
      </c>
      <c r="CZ5" s="190">
        <v>1795.9231106534967</v>
      </c>
      <c r="DA5" s="190">
        <v>1866.9936321678515</v>
      </c>
      <c r="DB5" s="190">
        <v>2002.0290808635814</v>
      </c>
      <c r="DC5" s="190">
        <v>2745.7908225663223</v>
      </c>
      <c r="DD5" s="190">
        <v>3052.822490332584</v>
      </c>
      <c r="DE5" s="190">
        <v>2952.486894383394</v>
      </c>
      <c r="DF5" s="190">
        <v>2956.0165391606597</v>
      </c>
      <c r="DG5" s="570">
        <v>3281.0203467920965</v>
      </c>
      <c r="DH5" s="570">
        <v>3695.3549276478739</v>
      </c>
      <c r="DI5" s="570">
        <v>3747.7428280330778</v>
      </c>
      <c r="DJ5" s="570">
        <v>4260.0957835185654</v>
      </c>
      <c r="DK5" s="570">
        <v>4319.9477420616577</v>
      </c>
      <c r="DL5" s="195">
        <v>4074.4151704513019</v>
      </c>
      <c r="DM5" s="193">
        <v>4079.5626616053173</v>
      </c>
      <c r="DN5" s="193">
        <v>3972.3706128980116</v>
      </c>
      <c r="DO5" s="193">
        <v>3981.916161804304</v>
      </c>
      <c r="DP5" s="193">
        <v>4040.4737524190732</v>
      </c>
      <c r="DQ5" s="193">
        <v>4099.8924840722957</v>
      </c>
      <c r="DR5" s="193">
        <v>4160.1850206027702</v>
      </c>
      <c r="DS5" s="193">
        <v>4221.3642120822242</v>
      </c>
      <c r="DT5" s="193">
        <v>4283.4430975540217</v>
      </c>
      <c r="DU5" s="193">
        <v>4346.4349078121704</v>
      </c>
      <c r="DV5" s="193">
        <v>4410.3530682211731</v>
      </c>
      <c r="DW5" s="193">
        <v>4475.2112015773673</v>
      </c>
      <c r="DX5" s="193">
        <v>4541.023131012329</v>
      </c>
      <c r="DY5" s="193">
        <v>4607.8028829389814</v>
      </c>
      <c r="DZ5" s="193">
        <v>4675.5646900410266</v>
      </c>
      <c r="EA5" s="193">
        <v>4744.3229943063361</v>
      </c>
      <c r="EB5" s="193">
        <v>4814.0924501049594</v>
      </c>
    </row>
    <row r="6" spans="1:132" s="575" customFormat="1" ht="11.25" x14ac:dyDescent="0.25">
      <c r="A6" s="197" t="s">
        <v>227</v>
      </c>
      <c r="B6" s="198">
        <v>3.5468158730158721</v>
      </c>
      <c r="C6" s="198">
        <v>3.7285015873015874</v>
      </c>
      <c r="D6" s="198">
        <v>3.8299703125</v>
      </c>
      <c r="E6" s="198">
        <v>3.8138854838709673</v>
      </c>
      <c r="F6" s="198">
        <v>3.8389516129032248</v>
      </c>
      <c r="G6" s="198">
        <v>3.900221666666666</v>
      </c>
      <c r="H6" s="198">
        <v>3.9410406250000003</v>
      </c>
      <c r="I6" s="198">
        <v>3.9677548387096779</v>
      </c>
      <c r="J6" s="198">
        <v>4.0120366666666669</v>
      </c>
      <c r="K6" s="198">
        <v>4.0810934426229526</v>
      </c>
      <c r="L6" s="198">
        <v>4.1662323076923062</v>
      </c>
      <c r="M6" s="198">
        <v>4.2566983333333344</v>
      </c>
      <c r="N6" s="198">
        <v>4.3408852459016405</v>
      </c>
      <c r="O6" s="198">
        <v>4.4511586206896547</v>
      </c>
      <c r="P6" s="198">
        <v>4.6086983870967755</v>
      </c>
      <c r="Q6" s="198">
        <v>4.7986885245901627</v>
      </c>
      <c r="R6" s="198">
        <v>5.0128666666666684</v>
      </c>
      <c r="S6" s="198">
        <v>5.2390499999999998</v>
      </c>
      <c r="T6" s="198">
        <v>5.5843874999999992</v>
      </c>
      <c r="U6" s="198">
        <v>6.0520649999999971</v>
      </c>
      <c r="V6" s="198">
        <v>7.5982216666666664</v>
      </c>
      <c r="W6" s="198">
        <v>8.0574118644067809</v>
      </c>
      <c r="X6" s="198">
        <v>8.2977031249999982</v>
      </c>
      <c r="Y6" s="198">
        <v>8.5110081967213116</v>
      </c>
      <c r="Z6" s="198">
        <v>8.6872440677966107</v>
      </c>
      <c r="AA6" s="198">
        <v>8.9553655737704894</v>
      </c>
      <c r="AB6" s="198">
        <v>9.2494296874999975</v>
      </c>
      <c r="AC6" s="198">
        <v>10.161588333333334</v>
      </c>
      <c r="AD6" s="198">
        <v>14.475106666666667</v>
      </c>
      <c r="AE6" s="198">
        <v>14.230345161290323</v>
      </c>
      <c r="AF6" s="198">
        <v>14.953745312500001</v>
      </c>
      <c r="AG6" s="198">
        <v>15.451003278688519</v>
      </c>
      <c r="AH6" s="198">
        <v>15.679417741935485</v>
      </c>
      <c r="AI6" s="198">
        <v>15.739711475409836</v>
      </c>
      <c r="AJ6" s="198">
        <v>17.285170312499996</v>
      </c>
      <c r="AK6" s="198">
        <v>17.549546666666672</v>
      </c>
      <c r="AL6" s="198">
        <v>19.676355000000001</v>
      </c>
      <c r="AM6" s="198">
        <v>23.585496666666664</v>
      </c>
      <c r="AN6" s="198">
        <v>31.999838095238097</v>
      </c>
      <c r="AO6" s="198">
        <v>37.101193220338978</v>
      </c>
      <c r="AP6" s="198">
        <v>38.999500000000012</v>
      </c>
      <c r="AQ6" s="198">
        <v>44.010389830508466</v>
      </c>
      <c r="AR6" s="281">
        <v>50.524955555555572</v>
      </c>
      <c r="AS6" s="281">
        <v>59.356034920634912</v>
      </c>
      <c r="AT6" s="281">
        <v>61.469491666666649</v>
      </c>
      <c r="AU6" s="281">
        <v>67.704446666666669</v>
      </c>
      <c r="AV6" s="281">
        <v>73.351393650793639</v>
      </c>
      <c r="AW6" s="281">
        <v>79.922541379310317</v>
      </c>
      <c r="AX6" s="281">
        <v>88.652315000000044</v>
      </c>
      <c r="AY6" s="281">
        <v>94.015783870967752</v>
      </c>
      <c r="AZ6" s="281">
        <v>97.259107812500005</v>
      </c>
      <c r="BA6" s="281">
        <v>100.50011333333332</v>
      </c>
      <c r="BB6" s="281">
        <v>106.59145573770493</v>
      </c>
      <c r="BC6" s="281">
        <v>118.03298305084743</v>
      </c>
      <c r="BD6" s="281">
        <v>135.83681538461533</v>
      </c>
      <c r="BE6" s="281">
        <v>162.69438833333328</v>
      </c>
      <c r="BF6" s="281">
        <v>192.43874677419356</v>
      </c>
      <c r="BG6" s="281">
        <v>232.7061448275862</v>
      </c>
      <c r="BH6" s="281">
        <v>312.99490000000003</v>
      </c>
      <c r="BI6" s="281">
        <v>445.28677627118628</v>
      </c>
      <c r="BJ6" s="281">
        <v>833.69707500000015</v>
      </c>
      <c r="BK6" s="281">
        <v>885.61801186440687</v>
      </c>
      <c r="BL6" s="281">
        <v>941.2671184615383</v>
      </c>
      <c r="BM6" s="281">
        <v>999.70919365079408</v>
      </c>
      <c r="BN6" s="281">
        <v>1055.0397583333333</v>
      </c>
      <c r="BO6" s="199">
        <v>1150.968575862069</v>
      </c>
      <c r="BP6" s="573">
        <v>1320</v>
      </c>
      <c r="BQ6" s="200">
        <v>1416.6707669232001</v>
      </c>
      <c r="BR6" s="200">
        <v>1447.9270470082361</v>
      </c>
      <c r="BS6" s="200">
        <v>1499.0900476628383</v>
      </c>
      <c r="BT6" s="200">
        <v>1545.2667964805296</v>
      </c>
      <c r="BU6" s="200">
        <v>1588.0966276683744</v>
      </c>
      <c r="BV6" s="200"/>
      <c r="BW6" s="200"/>
      <c r="BX6" s="200"/>
      <c r="BY6" s="200"/>
      <c r="BZ6" s="200"/>
      <c r="CA6" s="200"/>
      <c r="CB6" s="200"/>
      <c r="CC6" s="200"/>
      <c r="CD6" s="200"/>
      <c r="CE6" s="200"/>
      <c r="CF6" s="200"/>
      <c r="CG6" s="200"/>
      <c r="CH6" s="200"/>
      <c r="CI6" s="200"/>
      <c r="CJ6" s="200"/>
      <c r="CK6" s="200"/>
      <c r="CL6" s="200"/>
      <c r="CM6" s="200"/>
      <c r="CN6" s="200"/>
      <c r="CO6" s="200"/>
      <c r="CP6" s="200"/>
      <c r="CQ6" s="200"/>
      <c r="CR6" s="200"/>
      <c r="CS6" s="200"/>
      <c r="CT6" s="200"/>
      <c r="CU6" s="200"/>
      <c r="CV6" s="574"/>
      <c r="CW6" s="201"/>
      <c r="CX6" s="197"/>
      <c r="CY6" s="198">
        <v>4.1290151875788155</v>
      </c>
      <c r="CZ6" s="198">
        <v>4.5498576945695586</v>
      </c>
      <c r="DA6" s="198">
        <v>5.4720922916666659</v>
      </c>
      <c r="DB6" s="198">
        <v>8.1160862131986899</v>
      </c>
      <c r="DC6" s="198">
        <v>9.2634069156001075</v>
      </c>
      <c r="DD6" s="198">
        <v>14.777550104786378</v>
      </c>
      <c r="DE6" s="198">
        <v>16.563461549127997</v>
      </c>
      <c r="DF6" s="281">
        <v>28.090720745560937</v>
      </c>
      <c r="DG6" s="281">
        <v>48.222720076674747</v>
      </c>
      <c r="DH6" s="281">
        <v>70.61196834085932</v>
      </c>
      <c r="DI6" s="281">
        <v>95.10683000420029</v>
      </c>
      <c r="DJ6" s="281">
        <v>130.78891062662524</v>
      </c>
      <c r="DK6" s="281">
        <v>295.85664196824149</v>
      </c>
      <c r="DL6" s="199">
        <v>915.07284974418485</v>
      </c>
      <c r="DM6" s="200">
        <v>1235.6697752796506</v>
      </c>
      <c r="DN6" s="193">
        <v>1520.0951297049946</v>
      </c>
      <c r="DO6" s="200">
        <v>1655.1544239292732</v>
      </c>
      <c r="DP6" s="200">
        <v>1752.5164488662895</v>
      </c>
      <c r="DQ6" s="200">
        <v>1855.6056517407769</v>
      </c>
      <c r="DR6" s="200">
        <v>1964.7589253725876</v>
      </c>
      <c r="DS6" s="200">
        <v>2080.3329798062691</v>
      </c>
      <c r="DT6" s="200">
        <v>2202.7055080301675</v>
      </c>
      <c r="DU6" s="200">
        <v>2332.2764202672361</v>
      </c>
      <c r="DV6" s="200">
        <v>2469.4691508711912</v>
      </c>
      <c r="DW6" s="200">
        <v>2614.7320420989086</v>
      </c>
      <c r="DX6" s="200">
        <v>2768.5398092811974</v>
      </c>
      <c r="DY6" s="200">
        <v>2931.3950921800915</v>
      </c>
      <c r="DZ6" s="200">
        <v>3103.8300976024498</v>
      </c>
      <c r="EA6" s="200">
        <v>3286.4083386378879</v>
      </c>
      <c r="EB6" s="200">
        <v>3479.7264762048226</v>
      </c>
    </row>
    <row r="7" spans="1:132" s="572" customFormat="1" ht="11.25" x14ac:dyDescent="0.25">
      <c r="A7" s="189" t="s">
        <v>228</v>
      </c>
      <c r="B7" s="190">
        <v>2.3156936507936505</v>
      </c>
      <c r="C7" s="190">
        <v>2.0763861538461539</v>
      </c>
      <c r="D7" s="190">
        <v>1.8667515151515151</v>
      </c>
      <c r="E7" s="190">
        <v>1.7403045454545456</v>
      </c>
      <c r="F7" s="190">
        <v>1.8005262295081965</v>
      </c>
      <c r="G7" s="190">
        <v>1.7937870967741927</v>
      </c>
      <c r="H7" s="190">
        <v>1.7509539682539674</v>
      </c>
      <c r="I7" s="190">
        <v>1.6974274193548387</v>
      </c>
      <c r="J7" s="190">
        <v>1.667253225806451</v>
      </c>
      <c r="K7" s="190">
        <v>1.5955032258064517</v>
      </c>
      <c r="L7" s="190">
        <v>1.6363061538461536</v>
      </c>
      <c r="M7" s="190">
        <v>1.801885245901639</v>
      </c>
      <c r="N7" s="190">
        <v>1.7688920634920637</v>
      </c>
      <c r="O7" s="190">
        <v>1.9657306451612895</v>
      </c>
      <c r="P7" s="190">
        <v>2.0278078124999999</v>
      </c>
      <c r="Q7" s="190">
        <v>2.0581983870967742</v>
      </c>
      <c r="R7" s="190">
        <v>1.9971566666666676</v>
      </c>
      <c r="S7" s="190">
        <v>2.0685968253968254</v>
      </c>
      <c r="T7" s="190">
        <v>2.2876469696969695</v>
      </c>
      <c r="U7" s="190">
        <v>2.2741507936507936</v>
      </c>
      <c r="V7" s="190">
        <v>2.3640327868852458</v>
      </c>
      <c r="W7" s="190">
        <v>2.2288147540983605</v>
      </c>
      <c r="X7" s="190">
        <v>2.2749106060606055</v>
      </c>
      <c r="Y7" s="190">
        <v>2.5455281249999997</v>
      </c>
      <c r="Z7" s="190">
        <v>2.8724557377049176</v>
      </c>
      <c r="AA7" s="190">
        <v>3.0698672131147551</v>
      </c>
      <c r="AB7" s="190">
        <v>3.5365184615384604</v>
      </c>
      <c r="AC7" s="190">
        <v>3.8447126984126991</v>
      </c>
      <c r="AD7" s="190">
        <v>3.8989491803278686</v>
      </c>
      <c r="AE7" s="190">
        <v>3.5001825396825401</v>
      </c>
      <c r="AF7" s="190">
        <v>3.246526153846153</v>
      </c>
      <c r="AG7" s="190">
        <v>3.2940225806451608</v>
      </c>
      <c r="AH7" s="190">
        <v>3.1442698412698404</v>
      </c>
      <c r="AI7" s="190">
        <v>3.2176426229508204</v>
      </c>
      <c r="AJ7" s="190">
        <v>3.1631156250000001</v>
      </c>
      <c r="AK7" s="190">
        <v>3.2488360655737707</v>
      </c>
      <c r="AL7" s="190">
        <v>3.2426655737704917</v>
      </c>
      <c r="AM7" s="190">
        <v>3.6088714285714296</v>
      </c>
      <c r="AN7" s="190">
        <v>3.9477671875000002</v>
      </c>
      <c r="AO7" s="190">
        <v>3.8127225806451612</v>
      </c>
      <c r="AP7" s="190">
        <v>3.7658704918032782</v>
      </c>
      <c r="AQ7" s="190">
        <v>3.9215967741935489</v>
      </c>
      <c r="AR7" s="570">
        <v>3.9723575757575755</v>
      </c>
      <c r="AS7" s="570">
        <v>4.1152753846153853</v>
      </c>
      <c r="AT7" s="570">
        <v>4.4726370967741937</v>
      </c>
      <c r="AU7" s="570">
        <v>5.3855983606557372</v>
      </c>
      <c r="AV7" s="570">
        <v>5.3801876923076923</v>
      </c>
      <c r="AW7" s="570">
        <v>5.3956412698412715</v>
      </c>
      <c r="AX7" s="280">
        <v>5.4849459016393443</v>
      </c>
      <c r="AY7" s="280">
        <v>5.2936492063492064</v>
      </c>
      <c r="AZ7" s="280">
        <v>5.2323169230769242</v>
      </c>
      <c r="BA7" s="280">
        <v>5.5865206349206353</v>
      </c>
      <c r="BB7" s="280">
        <v>5.2249758064516127</v>
      </c>
      <c r="BC7" s="280">
        <v>4.9274354838709673</v>
      </c>
      <c r="BD7" s="280">
        <v>5.2465599999999979</v>
      </c>
      <c r="BE7" s="280">
        <v>5.2607887096774197</v>
      </c>
      <c r="BF7" s="280">
        <v>5.1923809523809519</v>
      </c>
      <c r="BG7" s="280">
        <v>4.9428049180327891</v>
      </c>
      <c r="BH7" s="280">
        <v>4.8850281250000016</v>
      </c>
      <c r="BI7" s="280">
        <v>4.9576249999999975</v>
      </c>
      <c r="BJ7" s="280">
        <v>4.9515229508196734</v>
      </c>
      <c r="BK7" s="280">
        <v>5.2154888888888902</v>
      </c>
      <c r="BL7" s="280">
        <v>5.546103030303029</v>
      </c>
      <c r="BM7" s="280">
        <v>5.834201612903227</v>
      </c>
      <c r="BN7" s="280">
        <v>5.8486540983606545</v>
      </c>
      <c r="BO7" s="192">
        <v>5.6625196721311477</v>
      </c>
      <c r="BP7" s="193">
        <v>5.4310499999999999</v>
      </c>
      <c r="BQ7" s="193">
        <v>5.4463356799095965</v>
      </c>
      <c r="BR7" s="193">
        <v>5.4947730105188022</v>
      </c>
      <c r="BS7" s="193">
        <v>5.5339040499731045</v>
      </c>
      <c r="BT7" s="193">
        <v>5.5349542827167273</v>
      </c>
      <c r="BU7" s="193">
        <v>5.5456012522432321</v>
      </c>
      <c r="BV7" s="193"/>
      <c r="BW7" s="193"/>
      <c r="BX7" s="193"/>
      <c r="BY7" s="193"/>
      <c r="BZ7" s="193"/>
      <c r="CA7" s="193"/>
      <c r="CB7" s="193"/>
      <c r="CC7" s="193"/>
      <c r="CD7" s="193"/>
      <c r="CE7" s="193"/>
      <c r="CF7" s="193"/>
      <c r="CG7" s="193"/>
      <c r="CH7" s="193"/>
      <c r="CI7" s="193"/>
      <c r="CJ7" s="193"/>
      <c r="CK7" s="193"/>
      <c r="CL7" s="193"/>
      <c r="CM7" s="193"/>
      <c r="CN7" s="193"/>
      <c r="CO7" s="193"/>
      <c r="CP7" s="193"/>
      <c r="CQ7" s="193"/>
      <c r="CR7" s="193"/>
      <c r="CS7" s="193"/>
      <c r="CT7" s="193"/>
      <c r="CU7" s="193"/>
      <c r="CV7" s="571"/>
      <c r="CW7" s="196"/>
      <c r="CX7" s="189"/>
      <c r="CY7" s="190">
        <v>1.6752369628401738</v>
      </c>
      <c r="CZ7" s="190">
        <v>1.9551572270625319</v>
      </c>
      <c r="DA7" s="190">
        <v>2.1568878138528138</v>
      </c>
      <c r="DB7" s="190">
        <v>2.3533215680110526</v>
      </c>
      <c r="DC7" s="190">
        <v>3.330888527692708</v>
      </c>
      <c r="DD7" s="190">
        <v>3.4849201136254306</v>
      </c>
      <c r="DE7" s="190">
        <v>3.1934660386986078</v>
      </c>
      <c r="DF7" s="570">
        <v>3.6530066926217706</v>
      </c>
      <c r="DG7" s="570">
        <v>3.9437750565924472</v>
      </c>
      <c r="DH7" s="570">
        <v>5.1585161048947237</v>
      </c>
      <c r="DI7" s="570">
        <v>5.3993581664965271</v>
      </c>
      <c r="DJ7" s="570">
        <v>5.1649399999999996</v>
      </c>
      <c r="DK7" s="570">
        <v>4.9944597488534352</v>
      </c>
      <c r="DL7" s="195">
        <v>5.3868291207287058</v>
      </c>
      <c r="DM7" s="193">
        <v>5.5971398626003488</v>
      </c>
      <c r="DN7" s="193">
        <v>5.5273081488629661</v>
      </c>
      <c r="DO7" s="193">
        <v>5.6291691112274718</v>
      </c>
      <c r="DP7" s="193">
        <v>5.7654833044111173</v>
      </c>
      <c r="DQ7" s="193">
        <v>5.9050984393316606</v>
      </c>
      <c r="DR7" s="193">
        <v>6.0480944505586134</v>
      </c>
      <c r="DS7" s="193">
        <v>6.1945532083319437</v>
      </c>
      <c r="DT7" s="193">
        <v>6.3445585654356673</v>
      </c>
      <c r="DU7" s="193">
        <v>6.498196405206512</v>
      </c>
      <c r="DV7" s="193">
        <v>6.6555546907051397</v>
      </c>
      <c r="DW7" s="193">
        <v>6.8167235150780972</v>
      </c>
      <c r="DX7" s="193">
        <v>6.9817951531393012</v>
      </c>
      <c r="DY7" s="193">
        <v>7.1508641142006155</v>
      </c>
      <c r="DZ7" s="193">
        <v>7.3240271961817474</v>
      </c>
      <c r="EA7" s="193">
        <v>7.5013835410304619</v>
      </c>
      <c r="EB7" s="193">
        <v>7.683034691484826</v>
      </c>
    </row>
    <row r="8" spans="1:132" s="572" customFormat="1" ht="11.25" x14ac:dyDescent="0.25">
      <c r="A8" s="189" t="s">
        <v>229</v>
      </c>
      <c r="B8" s="190">
        <v>5073.9453125</v>
      </c>
      <c r="C8" s="190">
        <v>5043.2538461538461</v>
      </c>
      <c r="D8" s="190">
        <v>4968.9227272727267</v>
      </c>
      <c r="E8" s="190">
        <v>4790.55303030303</v>
      </c>
      <c r="F8" s="190">
        <v>4685.6888888888889</v>
      </c>
      <c r="G8" s="190">
        <v>4737.84375</v>
      </c>
      <c r="H8" s="190">
        <v>4781.477272727273</v>
      </c>
      <c r="I8" s="190">
        <v>4802.234848484848</v>
      </c>
      <c r="J8" s="190">
        <v>4508.359375</v>
      </c>
      <c r="K8" s="190">
        <v>4027.2692307692309</v>
      </c>
      <c r="L8" s="190">
        <v>3942.2954545454545</v>
      </c>
      <c r="M8" s="190">
        <v>4311</v>
      </c>
      <c r="N8" s="190">
        <v>4450.876923076923</v>
      </c>
      <c r="O8" s="190">
        <v>4407.7307692307695</v>
      </c>
      <c r="P8" s="190">
        <v>4436.0769230769229</v>
      </c>
      <c r="Q8" s="190">
        <v>4408.484848484848</v>
      </c>
      <c r="R8" s="190">
        <v>4089.3203125</v>
      </c>
      <c r="S8" s="190">
        <v>4219.8692307692309</v>
      </c>
      <c r="T8" s="190">
        <v>4457.060606060606</v>
      </c>
      <c r="U8" s="190">
        <v>4467.7303030303028</v>
      </c>
      <c r="V8" s="190">
        <v>4527.7453124999984</v>
      </c>
      <c r="W8" s="190">
        <v>4419.9076923076927</v>
      </c>
      <c r="X8" s="190">
        <v>4292.9742424242413</v>
      </c>
      <c r="Y8" s="190">
        <v>4615.7257575757576</v>
      </c>
      <c r="Z8" s="190">
        <v>4760.0296874999985</v>
      </c>
      <c r="AA8" s="190">
        <v>5052.8492307692313</v>
      </c>
      <c r="AB8" s="190">
        <v>5308.8212121212127</v>
      </c>
      <c r="AC8" s="190">
        <v>5698.0257575757569</v>
      </c>
      <c r="AD8" s="190">
        <v>5791.8030769230763</v>
      </c>
      <c r="AE8" s="190">
        <v>5611.6815384615384</v>
      </c>
      <c r="AF8" s="190">
        <v>5551.5121212121221</v>
      </c>
      <c r="AG8" s="190">
        <v>5737.1846153846154</v>
      </c>
      <c r="AH8" s="190">
        <v>5664.1307692307691</v>
      </c>
      <c r="AI8" s="190">
        <v>5579.7400000000007</v>
      </c>
      <c r="AJ8" s="190">
        <v>5602.0384615384619</v>
      </c>
      <c r="AK8" s="190">
        <v>5641.9076923076909</v>
      </c>
      <c r="AL8" s="190">
        <v>5578.6246153846141</v>
      </c>
      <c r="AM8" s="190">
        <v>5619.5815384615371</v>
      </c>
      <c r="AN8" s="190">
        <v>5782.2723076923103</v>
      </c>
      <c r="AO8" s="190">
        <v>5939.0939393939407</v>
      </c>
      <c r="AP8" s="190">
        <v>6069.1555555555542</v>
      </c>
      <c r="AQ8" s="190">
        <v>6263.8125000000027</v>
      </c>
      <c r="AR8" s="570">
        <v>6177.6307692307701</v>
      </c>
      <c r="AS8" s="570">
        <v>6450.3124999999982</v>
      </c>
      <c r="AT8" s="570">
        <v>6539.9453125</v>
      </c>
      <c r="AU8" s="570">
        <v>6611.1862068965502</v>
      </c>
      <c r="AV8" s="570">
        <v>6943.6515151515132</v>
      </c>
      <c r="AW8" s="570">
        <v>6999.8015384615392</v>
      </c>
      <c r="AX8" s="280">
        <v>6717.3333333333321</v>
      </c>
      <c r="AY8" s="280">
        <v>6632.00634920635</v>
      </c>
      <c r="AZ8" s="280">
        <v>6893.1303030303052</v>
      </c>
      <c r="BA8" s="280">
        <v>6862.7257575757585</v>
      </c>
      <c r="BB8" s="280">
        <v>6975.7703125000016</v>
      </c>
      <c r="BC8" s="280">
        <v>6858.3174603174584</v>
      </c>
      <c r="BD8" s="280">
        <v>6907.8984615384643</v>
      </c>
      <c r="BE8" s="280">
        <v>7201.5630769230766</v>
      </c>
      <c r="BF8" s="280">
        <v>7286.546875</v>
      </c>
      <c r="BG8" s="280">
        <v>7216.1868852459029</v>
      </c>
      <c r="BH8" s="280">
        <v>7276.2063492063489</v>
      </c>
      <c r="BI8" s="280">
        <v>7390.3718750000016</v>
      </c>
      <c r="BJ8" s="280">
        <v>7296.2125000000015</v>
      </c>
      <c r="BK8" s="280">
        <v>7479.004615384617</v>
      </c>
      <c r="BL8" s="280">
        <v>7632.727272727273</v>
      </c>
      <c r="BM8" s="280">
        <v>7829.5151515151501</v>
      </c>
      <c r="BN8" s="280">
        <v>7916.0624999999991</v>
      </c>
      <c r="BO8" s="192">
        <v>7989.0261538461555</v>
      </c>
      <c r="BP8" s="193">
        <v>7550.4</v>
      </c>
      <c r="BQ8" s="193">
        <v>7189.1681522280069</v>
      </c>
      <c r="BR8" s="193">
        <v>7253.8919471862755</v>
      </c>
      <c r="BS8" s="193">
        <v>7308.7722520023326</v>
      </c>
      <c r="BT8" s="193">
        <v>7326.5325211740192</v>
      </c>
      <c r="BU8" s="193">
        <v>7352.7429011475542</v>
      </c>
      <c r="BV8" s="193"/>
      <c r="BW8" s="193"/>
      <c r="BX8" s="193"/>
      <c r="BY8" s="193"/>
      <c r="BZ8" s="193"/>
      <c r="CA8" s="193"/>
      <c r="CB8" s="193"/>
      <c r="CC8" s="193"/>
      <c r="CD8" s="193"/>
      <c r="CE8" s="193"/>
      <c r="CF8" s="193"/>
      <c r="CG8" s="193"/>
      <c r="CH8" s="193"/>
      <c r="CI8" s="193"/>
      <c r="CJ8" s="193"/>
      <c r="CK8" s="193"/>
      <c r="CL8" s="193"/>
      <c r="CM8" s="193"/>
      <c r="CN8" s="193"/>
      <c r="CO8" s="193"/>
      <c r="CP8" s="193"/>
      <c r="CQ8" s="193"/>
      <c r="CR8" s="193"/>
      <c r="CS8" s="193"/>
      <c r="CT8" s="193"/>
      <c r="CU8" s="193"/>
      <c r="CV8" s="571"/>
      <c r="CW8" s="196"/>
      <c r="CX8" s="189"/>
      <c r="CY8" s="190">
        <v>4197.2310150786707</v>
      </c>
      <c r="CZ8" s="190">
        <v>4425.7923659673661</v>
      </c>
      <c r="DA8" s="190">
        <v>4308.4951130900354</v>
      </c>
      <c r="DB8" s="190">
        <v>4464.0882512019225</v>
      </c>
      <c r="DC8" s="190">
        <v>5204.9314719915501</v>
      </c>
      <c r="DD8" s="190">
        <v>5673.0453379953387</v>
      </c>
      <c r="DE8" s="190">
        <v>5621.95423076923</v>
      </c>
      <c r="DF8" s="570">
        <v>5729.893100233101</v>
      </c>
      <c r="DG8" s="570">
        <v>6240.227831196582</v>
      </c>
      <c r="DH8" s="570">
        <v>6773.6461432524002</v>
      </c>
      <c r="DI8" s="570">
        <v>6776.2989357864362</v>
      </c>
      <c r="DJ8" s="570">
        <v>6985.8873278197507</v>
      </c>
      <c r="DK8" s="570">
        <v>7292.3279961130629</v>
      </c>
      <c r="DL8" s="195">
        <v>7559.3648849067595</v>
      </c>
      <c r="DM8" s="193">
        <v>7661.1642015185407</v>
      </c>
      <c r="DN8" s="193">
        <v>7310.4849053775451</v>
      </c>
      <c r="DO8" s="193">
        <v>7473.2923799319533</v>
      </c>
      <c r="DP8" s="193">
        <v>7686.438634193406</v>
      </c>
      <c r="DQ8" s="193">
        <v>7905.6640465281725</v>
      </c>
      <c r="DR8" s="193">
        <v>8131.142000995982</v>
      </c>
      <c r="DS8" s="193">
        <v>8363.0508267545229</v>
      </c>
      <c r="DT8" s="193">
        <v>8601.5739390989002</v>
      </c>
      <c r="DU8" s="193">
        <v>8846.8999845236831</v>
      </c>
      <c r="DV8" s="193">
        <v>9099.2229899222912</v>
      </c>
      <c r="DW8" s="193">
        <v>9358.7425160416878</v>
      </c>
      <c r="DX8" s="193">
        <v>9625.6638153137865</v>
      </c>
      <c r="DY8" s="193">
        <v>9900.1979941883492</v>
      </c>
      <c r="DZ8" s="193">
        <v>10182.562180095822</v>
      </c>
      <c r="EA8" s="193">
        <v>10472.979693172103</v>
      </c>
      <c r="EB8" s="193">
        <v>10771.680222881103</v>
      </c>
    </row>
    <row r="9" spans="1:132" s="572" customFormat="1" ht="11.25" x14ac:dyDescent="0.25">
      <c r="A9" s="189" t="s">
        <v>230</v>
      </c>
      <c r="B9" s="190">
        <v>14.371276562499999</v>
      </c>
      <c r="C9" s="190">
        <v>13.316355384615385</v>
      </c>
      <c r="D9" s="190">
        <v>13.267963636363639</v>
      </c>
      <c r="E9" s="190">
        <v>13.06630606060606</v>
      </c>
      <c r="F9" s="190">
        <v>12.765021875000006</v>
      </c>
      <c r="G9" s="190">
        <v>12.564427692307682</v>
      </c>
      <c r="H9" s="190">
        <v>12.798624242424246</v>
      </c>
      <c r="I9" s="190">
        <v>12.38590303030303</v>
      </c>
      <c r="J9" s="190">
        <v>12.0612609375</v>
      </c>
      <c r="K9" s="190">
        <v>11.722303076923074</v>
      </c>
      <c r="L9" s="190">
        <v>12.331148484848486</v>
      </c>
      <c r="M9" s="190">
        <v>13.648676923076922</v>
      </c>
      <c r="N9" s="190">
        <v>12.976944615384612</v>
      </c>
      <c r="O9" s="190">
        <v>13.536627692307695</v>
      </c>
      <c r="P9" s="190">
        <v>13.161550769230772</v>
      </c>
      <c r="Q9" s="190">
        <v>12.945545454545453</v>
      </c>
      <c r="R9" s="190">
        <v>12.639729687499997</v>
      </c>
      <c r="S9" s="190">
        <v>12.474510769230768</v>
      </c>
      <c r="T9" s="190">
        <v>12.91348787878788</v>
      </c>
      <c r="U9" s="190">
        <v>13.024081818181822</v>
      </c>
      <c r="V9" s="190">
        <v>13.229828124999999</v>
      </c>
      <c r="W9" s="190">
        <v>12.996499999999999</v>
      </c>
      <c r="X9" s="190">
        <v>13.118110606060604</v>
      </c>
      <c r="Y9" s="190">
        <v>13.895884848484842</v>
      </c>
      <c r="Z9" s="190">
        <v>14.956190625000005</v>
      </c>
      <c r="AA9" s="190">
        <v>15.320639999999999</v>
      </c>
      <c r="AB9" s="190">
        <v>16.437999999999999</v>
      </c>
      <c r="AC9" s="190">
        <v>16.770199999999999</v>
      </c>
      <c r="AD9" s="190">
        <v>18.027200000000001</v>
      </c>
      <c r="AE9" s="190">
        <v>18.107299999999999</v>
      </c>
      <c r="AF9" s="190">
        <v>18.762599999999999</v>
      </c>
      <c r="AG9" s="190">
        <v>19.845099999999999</v>
      </c>
      <c r="AH9" s="190">
        <v>20.299420000000001</v>
      </c>
      <c r="AI9" s="190">
        <v>18.548847692307703</v>
      </c>
      <c r="AJ9" s="190">
        <v>17.818892307692316</v>
      </c>
      <c r="AK9" s="190">
        <v>18.986401538461543</v>
      </c>
      <c r="AL9" s="190">
        <v>18.718332812499995</v>
      </c>
      <c r="AM9" s="190">
        <v>19.415461538461535</v>
      </c>
      <c r="AN9" s="190">
        <v>18.942153846153847</v>
      </c>
      <c r="AO9" s="190">
        <v>19.837280303030305</v>
      </c>
      <c r="AP9" s="190">
        <v>19.200492187500004</v>
      </c>
      <c r="AQ9" s="190">
        <v>19.107399999999998</v>
      </c>
      <c r="AR9" s="570">
        <v>19.437525757575759</v>
      </c>
      <c r="AS9" s="570">
        <v>19.244784848484844</v>
      </c>
      <c r="AT9" s="570">
        <v>20.000129230769225</v>
      </c>
      <c r="AU9" s="570">
        <v>23.316533846153849</v>
      </c>
      <c r="AV9" s="570">
        <v>22.082651515151515</v>
      </c>
      <c r="AW9" s="570">
        <v>20.534918181818181</v>
      </c>
      <c r="AX9" s="280">
        <v>20.340296875000007</v>
      </c>
      <c r="AY9" s="280">
        <v>20.020470769230773</v>
      </c>
      <c r="AZ9" s="280">
        <v>20.033242424242431</v>
      </c>
      <c r="BA9" s="280">
        <v>20.748074242424238</v>
      </c>
      <c r="BB9" s="280">
        <v>20.501793749999983</v>
      </c>
      <c r="BC9" s="280">
        <v>20.030058461538459</v>
      </c>
      <c r="BD9" s="280">
        <v>20.23374545454546</v>
      </c>
      <c r="BE9" s="280">
        <v>19.670035384615385</v>
      </c>
      <c r="BF9" s="280">
        <v>18.651975384615387</v>
      </c>
      <c r="BG9" s="280">
        <v>17.673632307692309</v>
      </c>
      <c r="BH9" s="280">
        <v>17.070366153846152</v>
      </c>
      <c r="BI9" s="280">
        <v>17.553212307692313</v>
      </c>
      <c r="BJ9" s="280">
        <v>16.977137500000001</v>
      </c>
      <c r="BK9" s="280">
        <v>17.246687692307688</v>
      </c>
      <c r="BL9" s="280">
        <v>18.947240909090912</v>
      </c>
      <c r="BM9" s="280">
        <v>20.084412121212114</v>
      </c>
      <c r="BN9" s="280">
        <v>20.418701562499997</v>
      </c>
      <c r="BO9" s="192">
        <v>19.49283384615384</v>
      </c>
      <c r="BP9" s="193">
        <v>18.692</v>
      </c>
      <c r="BQ9" s="193">
        <v>18.676296193627721</v>
      </c>
      <c r="BR9" s="193">
        <v>18.757961489708116</v>
      </c>
      <c r="BS9" s="193">
        <v>18.851135514181237</v>
      </c>
      <c r="BT9" s="193">
        <v>18.851209253188561</v>
      </c>
      <c r="BU9" s="193">
        <v>18.840123353220946</v>
      </c>
      <c r="BV9" s="193"/>
      <c r="BW9" s="193"/>
      <c r="BX9" s="193"/>
      <c r="BY9" s="193"/>
      <c r="BZ9" s="193"/>
      <c r="CA9" s="193"/>
      <c r="CB9" s="193"/>
      <c r="CC9" s="193"/>
      <c r="CD9" s="193"/>
      <c r="CE9" s="193"/>
      <c r="CF9" s="193"/>
      <c r="CG9" s="193"/>
      <c r="CH9" s="193"/>
      <c r="CI9" s="193"/>
      <c r="CJ9" s="193"/>
      <c r="CK9" s="193"/>
      <c r="CL9" s="193"/>
      <c r="CM9" s="193"/>
      <c r="CN9" s="193"/>
      <c r="CO9" s="193"/>
      <c r="CP9" s="193"/>
      <c r="CQ9" s="193"/>
      <c r="CR9" s="193"/>
      <c r="CS9" s="193"/>
      <c r="CT9" s="193"/>
      <c r="CU9" s="193"/>
      <c r="CV9" s="571"/>
      <c r="CW9" s="196"/>
      <c r="CX9" s="189"/>
      <c r="CY9" s="190">
        <v>12.44084735558712</v>
      </c>
      <c r="CZ9" s="190">
        <v>13.155167132867133</v>
      </c>
      <c r="DA9" s="190">
        <v>12.762952538425116</v>
      </c>
      <c r="DB9" s="190">
        <v>13.310080894886362</v>
      </c>
      <c r="DC9" s="190">
        <v>15.871257656250002</v>
      </c>
      <c r="DD9" s="190">
        <v>18.685549999999999</v>
      </c>
      <c r="DE9" s="190">
        <v>18.91339038461539</v>
      </c>
      <c r="DF9" s="570">
        <v>19.228307125036423</v>
      </c>
      <c r="DG9" s="570">
        <v>19.24755069839015</v>
      </c>
      <c r="DH9" s="570">
        <v>21.483558193473193</v>
      </c>
      <c r="DI9" s="570">
        <v>20.285521077724361</v>
      </c>
      <c r="DJ9" s="570">
        <v>20.108908262674824</v>
      </c>
      <c r="DK9" s="570">
        <v>17.737296538461543</v>
      </c>
      <c r="DL9" s="195">
        <v>18.313869555652676</v>
      </c>
      <c r="DM9" s="193">
        <v>19.319957900570387</v>
      </c>
      <c r="DN9" s="193">
        <v>18.825107402574716</v>
      </c>
      <c r="DO9" s="193">
        <v>19.019094140944887</v>
      </c>
      <c r="DP9" s="193">
        <v>19.298786701841138</v>
      </c>
      <c r="DQ9" s="193">
        <v>19.582592388632925</v>
      </c>
      <c r="DR9" s="193">
        <v>19.870571688465763</v>
      </c>
      <c r="DS9" s="193">
        <v>20.162785978002027</v>
      </c>
      <c r="DT9" s="193">
        <v>20.45929753650206</v>
      </c>
      <c r="DU9" s="193">
        <v>20.760169559097683</v>
      </c>
      <c r="DV9" s="193">
        <v>21.065466170260883</v>
      </c>
      <c r="DW9" s="193">
        <v>21.375252437470607</v>
      </c>
      <c r="DX9" s="193">
        <v>21.689594385080472</v>
      </c>
      <c r="DY9" s="193">
        <v>22.008559008390481</v>
      </c>
      <c r="DZ9" s="193">
        <v>22.332214287925638</v>
      </c>
      <c r="EA9" s="193">
        <v>22.66062920392455</v>
      </c>
      <c r="EB9" s="193">
        <v>22.99387375104109</v>
      </c>
    </row>
    <row r="10" spans="1:132" s="572" customFormat="1" ht="11.25" x14ac:dyDescent="0.25">
      <c r="A10" s="189" t="s">
        <v>231</v>
      </c>
      <c r="B10" s="190">
        <v>23.495523809523824</v>
      </c>
      <c r="C10" s="190">
        <v>23.673085937500005</v>
      </c>
      <c r="D10" s="190">
        <v>22.702439393939393</v>
      </c>
      <c r="E10" s="190">
        <v>20.257159090909084</v>
      </c>
      <c r="F10" s="190">
        <v>19.605015625</v>
      </c>
      <c r="G10" s="190">
        <v>19.624207692307689</v>
      </c>
      <c r="H10" s="190">
        <v>20.809924242424238</v>
      </c>
      <c r="I10" s="190">
        <v>19.999621212121212</v>
      </c>
      <c r="J10" s="190">
        <v>19.575624999999995</v>
      </c>
      <c r="K10" s="190">
        <v>18.74338461538461</v>
      </c>
      <c r="L10" s="190">
        <v>18.853722727272725</v>
      </c>
      <c r="M10" s="190">
        <v>19.854821875000006</v>
      </c>
      <c r="N10" s="190">
        <v>19.517257812500006</v>
      </c>
      <c r="O10" s="190">
        <v>20.359040625000002</v>
      </c>
      <c r="P10" s="190">
        <v>21.409040000000005</v>
      </c>
      <c r="Q10" s="190">
        <v>19.714643076923082</v>
      </c>
      <c r="R10" s="190">
        <v>19.122619354838712</v>
      </c>
      <c r="S10" s="190">
        <v>19.592550000000003</v>
      </c>
      <c r="T10" s="190">
        <v>21.648174242424247</v>
      </c>
      <c r="U10" s="190">
        <v>21.430035937499998</v>
      </c>
      <c r="V10" s="190">
        <v>22.174515</v>
      </c>
      <c r="W10" s="190">
        <v>22.90177540983607</v>
      </c>
      <c r="X10" s="190">
        <v>23.639126562499996</v>
      </c>
      <c r="Y10" s="190">
        <v>24.110484375000002</v>
      </c>
      <c r="Z10" s="190">
        <v>24.764262295081974</v>
      </c>
      <c r="AA10" s="190">
        <v>26.574550000000002</v>
      </c>
      <c r="AB10" s="190">
        <v>28.299246153846148</v>
      </c>
      <c r="AC10" s="190">
        <v>29.490580645161295</v>
      </c>
      <c r="AD10" s="190">
        <v>31.526966101694914</v>
      </c>
      <c r="AE10" s="190">
        <v>31.197377777777781</v>
      </c>
      <c r="AF10" s="190">
        <v>29.176921874999998</v>
      </c>
      <c r="AG10" s="190">
        <v>28.522730158730159</v>
      </c>
      <c r="AH10" s="190">
        <v>28.453451612903216</v>
      </c>
      <c r="AI10" s="190">
        <v>28.285427118644073</v>
      </c>
      <c r="AJ10" s="190">
        <v>28.721587301587306</v>
      </c>
      <c r="AK10" s="190">
        <v>29.13217741935485</v>
      </c>
      <c r="AL10" s="190">
        <v>28.45654166666667</v>
      </c>
      <c r="AM10" s="190">
        <v>30.098565573770486</v>
      </c>
      <c r="AN10" s="190">
        <v>31.780156249999994</v>
      </c>
      <c r="AO10" s="190">
        <v>32.558951612903236</v>
      </c>
      <c r="AP10" s="190">
        <v>32.819000000000017</v>
      </c>
      <c r="AQ10" s="190">
        <v>34.876874999999998</v>
      </c>
      <c r="AR10" s="570">
        <v>35.811346153846152</v>
      </c>
      <c r="AS10" s="570">
        <v>37.507187500000008</v>
      </c>
      <c r="AT10" s="570">
        <v>39.696822033898314</v>
      </c>
      <c r="AU10" s="570">
        <v>43.128541666666663</v>
      </c>
      <c r="AV10" s="570">
        <v>42.739218750000013</v>
      </c>
      <c r="AW10" s="570">
        <v>42.613624999999992</v>
      </c>
      <c r="AX10" s="280">
        <v>43.178624999999982</v>
      </c>
      <c r="AY10" s="280">
        <v>43.88737704918033</v>
      </c>
      <c r="AZ10" s="280">
        <v>43.249499999999983</v>
      </c>
      <c r="BA10" s="280">
        <v>43.984153225806445</v>
      </c>
      <c r="BB10" s="280">
        <v>43.253541666666656</v>
      </c>
      <c r="BC10" s="280">
        <v>40.498975409836071</v>
      </c>
      <c r="BD10" s="280">
        <v>40.830351562499999</v>
      </c>
      <c r="BE10" s="280">
        <v>39.928531746031737</v>
      </c>
      <c r="BF10" s="280">
        <v>39.19197580645163</v>
      </c>
      <c r="BG10" s="280">
        <v>38.613432203389834</v>
      </c>
      <c r="BH10" s="280">
        <v>37.97765873015873</v>
      </c>
      <c r="BI10" s="280">
        <v>39.540483870967741</v>
      </c>
      <c r="BJ10" s="280">
        <v>38.896250000000009</v>
      </c>
      <c r="BK10" s="280">
        <v>38.753024193548377</v>
      </c>
      <c r="BL10" s="280">
        <v>40.536500000000011</v>
      </c>
      <c r="BM10" s="280">
        <v>42.63429687499999</v>
      </c>
      <c r="BN10" s="280">
        <v>43.050791666666683</v>
      </c>
      <c r="BO10" s="192">
        <v>41.621352459016421</v>
      </c>
      <c r="BP10" s="193">
        <v>39.924999999999997</v>
      </c>
      <c r="BQ10" s="193">
        <v>40.058369677524276</v>
      </c>
      <c r="BR10" s="193">
        <v>40.651607300602954</v>
      </c>
      <c r="BS10" s="193">
        <v>41.509691322210422</v>
      </c>
      <c r="BT10" s="193">
        <v>41.946685942083249</v>
      </c>
      <c r="BU10" s="193">
        <v>42.117979111927582</v>
      </c>
      <c r="BV10" s="193"/>
      <c r="BW10" s="193"/>
      <c r="BX10" s="193"/>
      <c r="BY10" s="193"/>
      <c r="BZ10" s="193"/>
      <c r="CA10" s="193"/>
      <c r="CB10" s="193"/>
      <c r="CC10" s="193"/>
      <c r="CD10" s="193"/>
      <c r="CE10" s="193"/>
      <c r="CF10" s="193"/>
      <c r="CG10" s="193"/>
      <c r="CH10" s="193"/>
      <c r="CI10" s="193"/>
      <c r="CJ10" s="193"/>
      <c r="CK10" s="193"/>
      <c r="CL10" s="193"/>
      <c r="CM10" s="193"/>
      <c r="CN10" s="193"/>
      <c r="CO10" s="193"/>
      <c r="CP10" s="193"/>
      <c r="CQ10" s="193"/>
      <c r="CR10" s="193"/>
      <c r="CS10" s="193"/>
      <c r="CT10" s="193"/>
      <c r="CU10" s="193"/>
      <c r="CV10" s="571"/>
      <c r="CW10" s="196"/>
      <c r="CX10" s="189"/>
      <c r="CY10" s="190">
        <v>19.256888554414331</v>
      </c>
      <c r="CZ10" s="190">
        <v>20.249995378605774</v>
      </c>
      <c r="DA10" s="190">
        <v>20.448344883690741</v>
      </c>
      <c r="DB10" s="190">
        <v>23.206475336834018</v>
      </c>
      <c r="DC10" s="190">
        <v>27.282159773522352</v>
      </c>
      <c r="DD10" s="190">
        <v>30.105998978300711</v>
      </c>
      <c r="DE10" s="190">
        <v>28.64816086312236</v>
      </c>
      <c r="DF10" s="570">
        <v>30.723553775835093</v>
      </c>
      <c r="DG10" s="570">
        <v>35.253602163461544</v>
      </c>
      <c r="DH10" s="570">
        <v>42.044551862641242</v>
      </c>
      <c r="DI10" s="570">
        <v>43.57491381874668</v>
      </c>
      <c r="DJ10" s="570">
        <v>41.127850096258612</v>
      </c>
      <c r="DK10" s="570">
        <v>38.830887652741986</v>
      </c>
      <c r="DL10" s="195">
        <v>40.2050177671371</v>
      </c>
      <c r="DM10" s="193">
        <v>41.163878450801846</v>
      </c>
      <c r="DN10" s="193">
        <v>41.556490919206055</v>
      </c>
      <c r="DO10" s="193">
        <v>43.312988041306895</v>
      </c>
      <c r="DP10" s="193">
        <v>45.807816324710821</v>
      </c>
      <c r="DQ10" s="193">
        <v>48.446346727158947</v>
      </c>
      <c r="DR10" s="193">
        <v>51.236856491279624</v>
      </c>
      <c r="DS10" s="193">
        <v>54.188099628909498</v>
      </c>
      <c r="DT10" s="193">
        <v>57.30933438300184</v>
      </c>
      <c r="DU10" s="193">
        <v>60.610352271340801</v>
      </c>
      <c r="DV10" s="193">
        <v>64.101508803173871</v>
      </c>
      <c r="DW10" s="193">
        <v>67.793755965122344</v>
      </c>
      <c r="DX10" s="193">
        <v>71.69867657828047</v>
      </c>
      <c r="DY10" s="193">
        <v>75.828520634283564</v>
      </c>
      <c r="DZ10" s="193">
        <v>80.196243724333854</v>
      </c>
      <c r="EA10" s="193">
        <v>84.815547681738337</v>
      </c>
      <c r="EB10" s="193">
        <v>89.700923565456975</v>
      </c>
    </row>
    <row r="11" spans="1:132" s="572" customFormat="1" ht="11.25" x14ac:dyDescent="0.25">
      <c r="A11" s="202" t="s">
        <v>232</v>
      </c>
      <c r="B11" s="190">
        <v>1.3063171874999997</v>
      </c>
      <c r="C11" s="190">
        <v>1.3630323076923077</v>
      </c>
      <c r="D11" s="190">
        <v>1.4302454545454544</v>
      </c>
      <c r="E11" s="190">
        <v>1.4766257575757575</v>
      </c>
      <c r="F11" s="190">
        <v>1.3836546875</v>
      </c>
      <c r="G11" s="190">
        <v>1.2727784615384612</v>
      </c>
      <c r="H11" s="190">
        <v>1.2931257575757582</v>
      </c>
      <c r="I11" s="190">
        <v>1.3579106060606059</v>
      </c>
      <c r="J11" s="190">
        <v>1.3695734375000002</v>
      </c>
      <c r="K11" s="190">
        <v>1.4398492307692305</v>
      </c>
      <c r="L11" s="190">
        <v>1.4129030303030308</v>
      </c>
      <c r="M11" s="190">
        <v>1.3473184615384617</v>
      </c>
      <c r="N11" s="190">
        <v>1.3118923076923079</v>
      </c>
      <c r="O11" s="190">
        <v>1.2832123076923077</v>
      </c>
      <c r="P11" s="190">
        <v>1.2510923076923082</v>
      </c>
      <c r="Q11" s="190">
        <v>1.2976075757575758</v>
      </c>
      <c r="R11" s="190">
        <v>1.3200328124999998</v>
      </c>
      <c r="S11" s="190">
        <v>1.3062153846153846</v>
      </c>
      <c r="T11" s="190">
        <v>1.325430303030303</v>
      </c>
      <c r="U11" s="190">
        <v>1.3615318181818181</v>
      </c>
      <c r="V11" s="190">
        <v>1.3703984375</v>
      </c>
      <c r="W11" s="190">
        <v>1.3716461538461537</v>
      </c>
      <c r="X11" s="190">
        <v>1.3252287878787878</v>
      </c>
      <c r="Y11" s="190">
        <v>1.2488378787878787</v>
      </c>
      <c r="Z11" s="190">
        <v>1.1268124999999998</v>
      </c>
      <c r="AA11" s="190">
        <v>1.1068600000000002</v>
      </c>
      <c r="AB11" s="190">
        <v>1.1124636363636364</v>
      </c>
      <c r="AC11" s="190">
        <v>1.0951909090909091</v>
      </c>
      <c r="AD11" s="190">
        <v>1.1040630769230766</v>
      </c>
      <c r="AE11" s="190">
        <v>1.1292492307692306</v>
      </c>
      <c r="AF11" s="190">
        <v>1.1162969696969698</v>
      </c>
      <c r="AG11" s="190">
        <v>1.0779092307692313</v>
      </c>
      <c r="AH11" s="190">
        <v>1.0654061538461539</v>
      </c>
      <c r="AI11" s="190">
        <v>1.1013369230769225</v>
      </c>
      <c r="AJ11" s="190">
        <v>1.1754107692307691</v>
      </c>
      <c r="AK11" s="190">
        <v>1.1777707692307691</v>
      </c>
      <c r="AL11" s="190">
        <v>1.2287753846153846</v>
      </c>
      <c r="AM11" s="190">
        <v>1.1916123076923075</v>
      </c>
      <c r="AN11" s="190">
        <v>1.1629076923076924</v>
      </c>
      <c r="AO11" s="190">
        <v>1.1407712121212121</v>
      </c>
      <c r="AP11" s="190">
        <v>1.1357218749999998</v>
      </c>
      <c r="AQ11" s="190">
        <v>1.1234261538461541</v>
      </c>
      <c r="AR11" s="190">
        <v>1.1117424242424241</v>
      </c>
      <c r="AS11" s="570">
        <v>1.1072818181818187</v>
      </c>
      <c r="AT11" s="570">
        <v>1.1029046153846152</v>
      </c>
      <c r="AU11" s="570">
        <v>1.1013476923076917</v>
      </c>
      <c r="AV11" s="570">
        <v>1.1691090909090909</v>
      </c>
      <c r="AW11" s="570">
        <v>1.1930454545454545</v>
      </c>
      <c r="AX11" s="280">
        <v>1.2050578125000002</v>
      </c>
      <c r="AY11" s="280">
        <v>1.2051676923076926</v>
      </c>
      <c r="AZ11" s="280">
        <v>1.1785893939393939</v>
      </c>
      <c r="BA11" s="280">
        <v>1.1433469696969698</v>
      </c>
      <c r="BB11" s="280">
        <v>1.1217499999999994</v>
      </c>
      <c r="BC11" s="280">
        <v>1.0646569230769236</v>
      </c>
      <c r="BD11" s="280">
        <v>1.0066984848484848</v>
      </c>
      <c r="BE11" s="280">
        <v>1.0220353846153847</v>
      </c>
      <c r="BF11" s="280">
        <v>1.0732015384615388</v>
      </c>
      <c r="BG11" s="280">
        <v>1.088833846153846</v>
      </c>
      <c r="BH11" s="280">
        <v>1.0879523076923079</v>
      </c>
      <c r="BI11" s="280">
        <v>1.0764246153846155</v>
      </c>
      <c r="BJ11" s="280">
        <v>1.0858799999999997</v>
      </c>
      <c r="BK11" s="280">
        <v>1.0766646153846156</v>
      </c>
      <c r="BL11" s="280">
        <v>1.0987242424242423</v>
      </c>
      <c r="BM11" s="280">
        <v>1.0665742424242421</v>
      </c>
      <c r="BN11" s="280">
        <v>1.0526828124999998</v>
      </c>
      <c r="BO11" s="192">
        <v>1.1340923076923077</v>
      </c>
      <c r="BP11" s="193">
        <v>1.17645</v>
      </c>
      <c r="BQ11" s="193">
        <v>1.1741999999999999</v>
      </c>
      <c r="BR11" s="193">
        <v>1.1741999999999999</v>
      </c>
      <c r="BS11" s="193">
        <v>1.1741999999999999</v>
      </c>
      <c r="BT11" s="193">
        <v>1.1741999999999999</v>
      </c>
      <c r="BU11" s="193">
        <v>1.1741999999999999</v>
      </c>
      <c r="BV11" s="193"/>
      <c r="BW11" s="193"/>
      <c r="BX11" s="193"/>
      <c r="BY11" s="193"/>
      <c r="BZ11" s="193"/>
      <c r="CA11" s="193"/>
      <c r="CB11" s="193"/>
      <c r="CC11" s="193"/>
      <c r="CD11" s="193"/>
      <c r="CE11" s="193"/>
      <c r="CF11" s="193"/>
      <c r="CG11" s="193"/>
      <c r="CH11" s="193"/>
      <c r="CI11" s="193"/>
      <c r="CJ11" s="193"/>
      <c r="CK11" s="193"/>
      <c r="CL11" s="193"/>
      <c r="CM11" s="193"/>
      <c r="CN11" s="193"/>
      <c r="CO11" s="193"/>
      <c r="CP11" s="193"/>
      <c r="CQ11" s="193"/>
      <c r="CR11" s="193"/>
      <c r="CS11" s="193"/>
      <c r="CT11" s="193"/>
      <c r="CU11" s="193"/>
      <c r="CV11" s="571"/>
      <c r="CW11" s="196"/>
      <c r="CX11" s="189"/>
      <c r="CY11" s="190">
        <v>1.3924110400276808</v>
      </c>
      <c r="CZ11" s="190">
        <v>1.2859511247086248</v>
      </c>
      <c r="DA11" s="190">
        <v>1.3283025795818764</v>
      </c>
      <c r="DB11" s="190">
        <v>1.3290278145032051</v>
      </c>
      <c r="DC11" s="190">
        <v>1.1103317613636363</v>
      </c>
      <c r="DD11" s="190">
        <v>1.1068796270396271</v>
      </c>
      <c r="DE11" s="190">
        <v>1.1299811538461535</v>
      </c>
      <c r="DF11" s="570">
        <v>1.1810166491841492</v>
      </c>
      <c r="DG11" s="570">
        <v>1.119543067817599</v>
      </c>
      <c r="DH11" s="570">
        <v>1.1416017132867129</v>
      </c>
      <c r="DI11" s="570">
        <v>1.1830404671110142</v>
      </c>
      <c r="DJ11" s="570">
        <v>1.0537851981351982</v>
      </c>
      <c r="DK11" s="570">
        <v>1.0816030769230771</v>
      </c>
      <c r="DL11" s="195">
        <v>1.0819607750582749</v>
      </c>
      <c r="DM11" s="193">
        <v>1.1343562800480769</v>
      </c>
      <c r="DN11" s="193">
        <v>1.1741999999999999</v>
      </c>
      <c r="DO11" s="193">
        <v>1.1741999999999999</v>
      </c>
      <c r="DP11" s="193">
        <v>1.1741999999999999</v>
      </c>
      <c r="DQ11" s="193">
        <v>1.1741999999999999</v>
      </c>
      <c r="DR11" s="193">
        <v>1.1741999999999999</v>
      </c>
      <c r="DS11" s="193">
        <v>1.1741999999999999</v>
      </c>
      <c r="DT11" s="193">
        <v>1.1741999999999999</v>
      </c>
      <c r="DU11" s="193">
        <v>1.1741999999999999</v>
      </c>
      <c r="DV11" s="193">
        <v>1.1741999999999999</v>
      </c>
      <c r="DW11" s="193">
        <v>1.1741999999999999</v>
      </c>
      <c r="DX11" s="193">
        <v>1.1741999999999999</v>
      </c>
      <c r="DY11" s="193">
        <v>1.1741999999999999</v>
      </c>
      <c r="DZ11" s="193">
        <v>1.1741999999999999</v>
      </c>
      <c r="EA11" s="193">
        <v>1.1741999999999999</v>
      </c>
      <c r="EB11" s="193">
        <v>1.1741999999999999</v>
      </c>
    </row>
    <row r="12" spans="1:132" s="572" customFormat="1" ht="11.25" x14ac:dyDescent="0.25">
      <c r="A12" s="189"/>
      <c r="B12" s="190"/>
      <c r="C12" s="190"/>
      <c r="D12" s="190"/>
      <c r="E12" s="190"/>
      <c r="F12" s="190"/>
      <c r="G12" s="190"/>
      <c r="H12" s="190"/>
      <c r="I12" s="190"/>
      <c r="J12" s="190"/>
      <c r="K12" s="190"/>
      <c r="L12" s="190"/>
      <c r="M12" s="190"/>
      <c r="N12" s="190"/>
      <c r="O12" s="190"/>
      <c r="P12" s="190"/>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570"/>
      <c r="AT12" s="570"/>
      <c r="AU12" s="570"/>
      <c r="AV12" s="570"/>
      <c r="AW12" s="570"/>
      <c r="AX12" s="280"/>
      <c r="AY12" s="280"/>
      <c r="AZ12" s="280"/>
      <c r="BA12" s="280"/>
      <c r="BB12" s="280"/>
      <c r="BC12" s="280"/>
      <c r="BD12" s="280"/>
      <c r="BE12" s="280"/>
      <c r="BF12" s="280"/>
      <c r="BG12" s="280"/>
      <c r="BH12" s="280"/>
      <c r="BI12" s="280"/>
      <c r="BJ12" s="280"/>
      <c r="BK12" s="280"/>
      <c r="BL12" s="280"/>
      <c r="BM12" s="280"/>
      <c r="BN12" s="280"/>
      <c r="BO12" s="192"/>
      <c r="BP12" s="193"/>
      <c r="BQ12" s="193"/>
      <c r="BR12" s="193"/>
      <c r="BS12" s="193"/>
      <c r="BT12" s="193"/>
      <c r="BU12" s="193"/>
      <c r="BV12" s="193"/>
      <c r="BW12" s="193"/>
      <c r="BX12" s="193"/>
      <c r="BY12" s="193"/>
      <c r="BZ12" s="193"/>
      <c r="CA12" s="193"/>
      <c r="CB12" s="193"/>
      <c r="CC12" s="193"/>
      <c r="CD12" s="193"/>
      <c r="CE12" s="193"/>
      <c r="CF12" s="193"/>
      <c r="CG12" s="193"/>
      <c r="CH12" s="193"/>
      <c r="CI12" s="193"/>
      <c r="CJ12" s="193"/>
      <c r="CK12" s="193"/>
      <c r="CL12" s="193"/>
      <c r="CM12" s="193"/>
      <c r="CN12" s="193"/>
      <c r="CO12" s="193"/>
      <c r="CP12" s="193"/>
      <c r="CQ12" s="193"/>
      <c r="CR12" s="193"/>
      <c r="CS12" s="193"/>
      <c r="CT12" s="193"/>
      <c r="CU12" s="193"/>
      <c r="CV12" s="571"/>
      <c r="CW12" s="196"/>
      <c r="CX12" s="189"/>
      <c r="CY12" s="190"/>
      <c r="CZ12" s="190"/>
      <c r="DA12" s="190"/>
      <c r="DB12" s="190"/>
      <c r="DC12" s="190"/>
      <c r="DD12" s="190"/>
      <c r="DE12" s="190"/>
      <c r="DF12" s="570"/>
      <c r="DG12" s="570"/>
      <c r="DH12" s="570"/>
      <c r="DI12" s="570"/>
      <c r="DJ12" s="570"/>
      <c r="DK12" s="570"/>
      <c r="DL12" s="195"/>
      <c r="DM12" s="193"/>
      <c r="DN12" s="193"/>
      <c r="DO12" s="193"/>
      <c r="DP12" s="193"/>
      <c r="DQ12" s="193"/>
      <c r="DR12" s="193"/>
      <c r="DS12" s="193"/>
      <c r="DT12" s="193"/>
      <c r="DU12" s="193"/>
      <c r="DV12" s="193"/>
      <c r="DW12" s="193"/>
      <c r="DX12" s="193"/>
      <c r="DY12" s="193"/>
      <c r="DZ12" s="193"/>
      <c r="EA12" s="193"/>
      <c r="EB12" s="193"/>
    </row>
    <row r="13" spans="1:132" s="572" customFormat="1" ht="11.25" x14ac:dyDescent="0.25">
      <c r="A13" s="189"/>
      <c r="B13" s="189"/>
      <c r="C13" s="189"/>
      <c r="D13" s="189"/>
      <c r="E13" s="189"/>
      <c r="F13" s="189"/>
      <c r="G13" s="189"/>
      <c r="H13" s="189"/>
      <c r="I13" s="189"/>
      <c r="J13" s="189"/>
      <c r="K13" s="189"/>
      <c r="L13" s="189"/>
      <c r="M13" s="189"/>
      <c r="N13" s="189"/>
      <c r="O13" s="189"/>
      <c r="P13" s="189"/>
      <c r="Q13" s="189"/>
      <c r="R13" s="189"/>
      <c r="S13" s="189"/>
      <c r="T13" s="189"/>
      <c r="U13" s="189"/>
      <c r="V13" s="189"/>
      <c r="W13" s="189"/>
      <c r="X13" s="189"/>
      <c r="Y13" s="189"/>
      <c r="Z13" s="189"/>
      <c r="AA13" s="189"/>
      <c r="AB13" s="189"/>
      <c r="AC13" s="189"/>
      <c r="AD13" s="189"/>
      <c r="AE13" s="189"/>
      <c r="AF13" s="189"/>
      <c r="AG13" s="189"/>
      <c r="AH13" s="189"/>
      <c r="AI13" s="189"/>
      <c r="AJ13" s="189"/>
      <c r="AK13" s="189"/>
      <c r="AL13" s="189"/>
      <c r="AM13" s="189"/>
      <c r="AN13" s="189"/>
      <c r="AO13" s="189"/>
      <c r="AP13" s="189"/>
      <c r="AQ13" s="189"/>
      <c r="AR13" s="189"/>
      <c r="AS13" s="189"/>
      <c r="AT13" s="189"/>
      <c r="AU13" s="189"/>
      <c r="AV13" s="189"/>
      <c r="AW13" s="189"/>
      <c r="AX13" s="189"/>
      <c r="AY13" s="189"/>
      <c r="AZ13" s="189"/>
      <c r="BA13" s="189"/>
      <c r="BB13" s="189"/>
      <c r="BC13" s="189"/>
      <c r="BD13" s="291"/>
      <c r="BE13" s="291"/>
      <c r="BF13" s="291"/>
      <c r="BG13" s="291"/>
      <c r="BH13" s="282"/>
      <c r="BI13" s="282"/>
      <c r="BJ13" s="282"/>
      <c r="BK13" s="282"/>
      <c r="BL13" s="282"/>
      <c r="BM13" s="282"/>
      <c r="BN13" s="282"/>
      <c r="BO13" s="205"/>
      <c r="BP13" s="206"/>
      <c r="BQ13" s="206"/>
      <c r="BR13" s="206"/>
      <c r="BS13" s="206"/>
      <c r="BT13" s="206"/>
      <c r="BU13" s="206"/>
      <c r="BV13" s="206"/>
      <c r="BW13" s="206"/>
      <c r="BX13" s="206"/>
      <c r="BY13" s="206"/>
      <c r="BZ13" s="206"/>
      <c r="CA13" s="206"/>
      <c r="CB13" s="206"/>
      <c r="CC13" s="206"/>
      <c r="CD13" s="206"/>
      <c r="CE13" s="206"/>
      <c r="CF13" s="206"/>
      <c r="CG13" s="206"/>
      <c r="CH13" s="206"/>
      <c r="CI13" s="206"/>
      <c r="CJ13" s="206"/>
      <c r="CK13" s="206"/>
      <c r="CL13" s="206"/>
      <c r="CM13" s="206"/>
      <c r="CN13" s="206"/>
      <c r="CO13" s="206"/>
      <c r="CP13" s="206"/>
      <c r="CQ13" s="206"/>
      <c r="CR13" s="206"/>
      <c r="CS13" s="206"/>
      <c r="CT13" s="206"/>
      <c r="CU13" s="206"/>
      <c r="CV13" s="206"/>
      <c r="CW13" s="206"/>
      <c r="CX13" s="189"/>
      <c r="CY13" s="190"/>
      <c r="CZ13" s="190"/>
      <c r="DA13" s="190"/>
      <c r="DB13" s="190"/>
      <c r="DC13" s="190"/>
      <c r="DD13" s="190"/>
      <c r="DE13" s="207"/>
      <c r="DF13" s="570"/>
      <c r="DG13" s="570"/>
      <c r="DH13" s="570"/>
      <c r="DI13" s="570"/>
      <c r="DJ13" s="570"/>
      <c r="DK13" s="570"/>
      <c r="DL13" s="195"/>
      <c r="DM13" s="206"/>
      <c r="DN13" s="206"/>
      <c r="DO13" s="206"/>
      <c r="DP13" s="206"/>
      <c r="DQ13" s="206"/>
      <c r="DR13" s="206"/>
      <c r="DS13" s="206"/>
      <c r="DT13" s="206"/>
      <c r="DU13" s="206"/>
      <c r="DV13" s="206"/>
      <c r="DW13" s="206"/>
      <c r="DX13" s="206"/>
      <c r="DY13" s="206"/>
      <c r="DZ13" s="206"/>
      <c r="EA13" s="206"/>
      <c r="EB13" s="206"/>
    </row>
    <row r="14" spans="1:132" s="572" customFormat="1" ht="11.25" x14ac:dyDescent="0.25">
      <c r="A14" s="189"/>
      <c r="B14" s="189"/>
      <c r="C14" s="189"/>
      <c r="D14" s="189"/>
      <c r="E14" s="189"/>
      <c r="F14" s="189"/>
      <c r="G14" s="189"/>
      <c r="H14" s="189"/>
      <c r="I14" s="189"/>
      <c r="J14" s="189"/>
      <c r="K14" s="189"/>
      <c r="L14" s="189"/>
      <c r="M14" s="189"/>
      <c r="N14" s="189"/>
      <c r="O14" s="189"/>
      <c r="P14" s="189"/>
      <c r="Q14" s="189"/>
      <c r="R14" s="189"/>
      <c r="S14" s="189"/>
      <c r="T14" s="189"/>
      <c r="U14" s="189"/>
      <c r="V14" s="189"/>
      <c r="W14" s="189"/>
      <c r="X14" s="189"/>
      <c r="Y14" s="189"/>
      <c r="Z14" s="189"/>
      <c r="AA14" s="189"/>
      <c r="AB14" s="189"/>
      <c r="AC14" s="189"/>
      <c r="AD14" s="189"/>
      <c r="AE14" s="189"/>
      <c r="AF14" s="189"/>
      <c r="AG14" s="189"/>
      <c r="AH14" s="189"/>
      <c r="AI14" s="189"/>
      <c r="AJ14" s="189"/>
      <c r="AK14" s="207"/>
      <c r="AL14" s="208"/>
      <c r="AM14" s="208"/>
      <c r="AN14" s="208"/>
      <c r="AO14" s="208"/>
      <c r="AP14" s="208"/>
      <c r="AQ14" s="208"/>
      <c r="AR14" s="208"/>
      <c r="AS14" s="283"/>
      <c r="AT14" s="283"/>
      <c r="AU14" s="283"/>
      <c r="AV14" s="283"/>
      <c r="AW14" s="283"/>
      <c r="AX14" s="283"/>
      <c r="AY14" s="283"/>
      <c r="AZ14" s="209"/>
      <c r="BA14" s="209"/>
      <c r="BB14" s="209"/>
      <c r="BC14" s="209"/>
      <c r="BD14" s="283"/>
      <c r="BE14" s="283"/>
      <c r="BF14" s="283"/>
      <c r="BG14" s="283"/>
      <c r="BH14" s="283"/>
      <c r="BI14" s="283"/>
      <c r="BJ14" s="283"/>
      <c r="BK14" s="283"/>
      <c r="BL14" s="283"/>
      <c r="BM14" s="283"/>
      <c r="BN14" s="283"/>
      <c r="BO14" s="210"/>
      <c r="BP14" s="212"/>
      <c r="BQ14" s="212"/>
      <c r="BR14" s="211"/>
      <c r="BS14" s="211"/>
      <c r="BT14" s="211"/>
      <c r="BU14" s="211"/>
      <c r="BV14" s="211"/>
      <c r="BW14" s="211"/>
      <c r="BX14" s="211"/>
      <c r="BY14" s="211"/>
      <c r="BZ14" s="211"/>
      <c r="CA14" s="211"/>
      <c r="CB14" s="211"/>
      <c r="CC14" s="211"/>
      <c r="CD14" s="211"/>
      <c r="CE14" s="211"/>
      <c r="CF14" s="211"/>
      <c r="CG14" s="211"/>
      <c r="CH14" s="211"/>
      <c r="CI14" s="211"/>
      <c r="CJ14" s="211"/>
      <c r="CK14" s="211"/>
      <c r="CL14" s="211"/>
      <c r="CM14" s="211"/>
      <c r="CN14" s="211"/>
      <c r="CO14" s="211"/>
      <c r="CP14" s="211"/>
      <c r="CQ14" s="211"/>
      <c r="CR14" s="211"/>
      <c r="CS14" s="211"/>
      <c r="CT14" s="211"/>
      <c r="CU14" s="211"/>
      <c r="CV14" s="206"/>
      <c r="CW14" s="206"/>
      <c r="CX14" s="189"/>
      <c r="CY14" s="190"/>
      <c r="CZ14" s="190"/>
      <c r="DA14" s="190"/>
      <c r="DB14" s="190"/>
      <c r="DC14" s="190"/>
      <c r="DD14" s="190"/>
      <c r="DE14" s="190"/>
      <c r="DF14" s="570"/>
      <c r="DG14" s="570"/>
      <c r="DH14" s="570"/>
      <c r="DI14" s="570"/>
      <c r="DJ14" s="570"/>
      <c r="DK14" s="570"/>
      <c r="DL14" s="195"/>
      <c r="DM14" s="206"/>
      <c r="DN14" s="206"/>
      <c r="DO14" s="206"/>
      <c r="DP14" s="206"/>
      <c r="DQ14" s="206"/>
      <c r="DR14" s="206"/>
      <c r="DS14" s="206"/>
      <c r="DT14" s="206"/>
      <c r="DU14" s="206"/>
      <c r="DV14" s="206"/>
      <c r="DW14" s="206"/>
      <c r="DX14" s="206"/>
      <c r="DY14" s="206"/>
      <c r="DZ14" s="206"/>
      <c r="EA14" s="206"/>
      <c r="EB14" s="206"/>
    </row>
    <row r="15" spans="1:132" x14ac:dyDescent="0.25">
      <c r="A15" s="213" t="s">
        <v>233</v>
      </c>
      <c r="B15" s="213"/>
      <c r="C15" s="213"/>
      <c r="D15" s="213"/>
      <c r="E15" s="213"/>
      <c r="F15" s="213"/>
      <c r="G15" s="213"/>
      <c r="H15" s="213"/>
      <c r="I15" s="213"/>
      <c r="J15" s="213"/>
      <c r="K15" s="213"/>
      <c r="L15" s="213"/>
      <c r="M15" s="213"/>
      <c r="N15" s="213"/>
      <c r="O15" s="213"/>
      <c r="P15" s="213"/>
      <c r="Q15" s="213"/>
      <c r="R15" s="213"/>
      <c r="S15" s="213"/>
      <c r="T15" s="213"/>
      <c r="U15" s="213"/>
      <c r="V15" s="213"/>
      <c r="W15" s="213"/>
      <c r="X15" s="213"/>
      <c r="Y15" s="213"/>
      <c r="Z15" s="213"/>
      <c r="AA15" s="213"/>
      <c r="AB15" s="213"/>
      <c r="AC15" s="213"/>
      <c r="AD15" s="213"/>
      <c r="AE15" s="213"/>
      <c r="AF15" s="213"/>
      <c r="AG15" s="213"/>
      <c r="AH15" s="213"/>
      <c r="AI15" s="213"/>
      <c r="AJ15" s="213"/>
      <c r="AK15" s="213"/>
      <c r="AL15" s="213"/>
      <c r="AM15" s="213"/>
      <c r="AN15" s="213"/>
      <c r="AO15" s="213"/>
      <c r="AP15" s="213"/>
      <c r="AQ15" s="213"/>
      <c r="AR15" s="213"/>
      <c r="AS15" s="213"/>
      <c r="AT15" s="213"/>
      <c r="AU15" s="213"/>
      <c r="AV15" s="213"/>
      <c r="AW15" s="213"/>
      <c r="AX15" s="213"/>
      <c r="AY15" s="213"/>
      <c r="AZ15" s="213"/>
      <c r="BA15" s="213"/>
      <c r="BB15" s="214"/>
      <c r="BC15" s="213"/>
      <c r="BD15" s="214"/>
      <c r="BE15" s="213"/>
      <c r="BF15" s="213"/>
      <c r="BG15" s="213"/>
      <c r="BH15" s="213"/>
      <c r="BI15" s="213"/>
      <c r="BJ15" s="213"/>
      <c r="BK15" s="213"/>
      <c r="BL15" s="213"/>
      <c r="BM15" s="213"/>
      <c r="BN15" s="213"/>
      <c r="BO15" s="215"/>
      <c r="BP15" s="213"/>
      <c r="BQ15" s="213"/>
      <c r="BR15" s="213"/>
      <c r="BS15" s="213"/>
      <c r="BT15" s="213"/>
      <c r="BU15" s="213"/>
      <c r="BV15" s="213"/>
      <c r="BW15" s="213"/>
      <c r="BX15" s="213"/>
      <c r="BY15" s="213"/>
      <c r="BZ15" s="213"/>
      <c r="CA15" s="213"/>
      <c r="CB15" s="213"/>
      <c r="CC15" s="213"/>
      <c r="CD15" s="213"/>
      <c r="CE15" s="213"/>
      <c r="CF15" s="213"/>
      <c r="CG15" s="213"/>
      <c r="CH15" s="213"/>
      <c r="CI15" s="213"/>
      <c r="CJ15" s="213"/>
      <c r="CK15" s="213"/>
      <c r="CL15" s="213"/>
      <c r="CM15" s="213"/>
      <c r="CN15" s="213"/>
      <c r="CO15" s="213"/>
      <c r="CP15" s="213"/>
      <c r="CQ15" s="213"/>
      <c r="CR15" s="213"/>
      <c r="CS15" s="213"/>
      <c r="CT15" s="213"/>
      <c r="CU15" s="213"/>
      <c r="CV15" s="213"/>
      <c r="CW15" s="213"/>
      <c r="CX15" s="213"/>
      <c r="CY15" s="213"/>
      <c r="CZ15" s="213"/>
      <c r="DA15" s="213"/>
      <c r="DB15" s="213"/>
      <c r="DC15" s="213"/>
      <c r="DD15" s="213"/>
      <c r="DE15" s="213"/>
      <c r="DF15" s="213"/>
      <c r="DG15" s="213"/>
      <c r="DH15" s="213"/>
      <c r="DI15" s="213"/>
      <c r="DJ15" s="213"/>
      <c r="DK15" s="213"/>
      <c r="DL15" s="215"/>
      <c r="DM15" s="213"/>
      <c r="DN15" s="213"/>
      <c r="DO15" s="213"/>
      <c r="DP15" s="213"/>
      <c r="DQ15" s="213"/>
      <c r="DR15" s="213"/>
      <c r="DS15" s="213"/>
      <c r="DT15" s="213"/>
      <c r="DU15" s="213"/>
      <c r="DV15" s="213"/>
      <c r="DW15" s="213"/>
      <c r="DX15" s="213"/>
      <c r="DY15" s="213"/>
      <c r="DZ15" s="213"/>
      <c r="EA15" s="213"/>
      <c r="EB15" s="213"/>
    </row>
    <row r="16" spans="1:132" x14ac:dyDescent="0.25">
      <c r="A16" s="216" t="s">
        <v>234</v>
      </c>
      <c r="B16" s="217"/>
      <c r="C16" s="217"/>
      <c r="D16" s="217">
        <v>4.9862656548256279E-3</v>
      </c>
      <c r="E16" s="217">
        <v>6.8840596494967876E-3</v>
      </c>
      <c r="F16" s="217">
        <v>2.7605626026661056E-5</v>
      </c>
      <c r="G16" s="217">
        <v>-7.0852484207717392E-4</v>
      </c>
      <c r="H16" s="217">
        <v>4.9539822927360255E-3</v>
      </c>
      <c r="I16" s="217">
        <v>1.0065284618027803E-2</v>
      </c>
      <c r="J16" s="217">
        <v>1.1674951921332388E-2</v>
      </c>
      <c r="K16" s="217">
        <v>7.8907489934811892E-3</v>
      </c>
      <c r="L16" s="217">
        <v>7.9668692116758866E-3</v>
      </c>
      <c r="M16" s="217">
        <v>2.76261380336007E-3</v>
      </c>
      <c r="N16" s="217">
        <v>6.9711252822115544E-3</v>
      </c>
      <c r="O16" s="217">
        <v>-1.2368502711892493E-3</v>
      </c>
      <c r="P16" s="217">
        <v>1.0900386830267284E-2</v>
      </c>
      <c r="Q16" s="217">
        <v>8.9171698807444244E-4</v>
      </c>
      <c r="R16" s="217">
        <v>4.5886835538295756E-3</v>
      </c>
      <c r="S16" s="217">
        <v>7.0173323804678667E-4</v>
      </c>
      <c r="T16" s="217">
        <v>4.7280001720837461E-3</v>
      </c>
      <c r="U16" s="217">
        <v>5.0311718562667807E-3</v>
      </c>
      <c r="V16" s="217">
        <v>5.5768812920982125E-3</v>
      </c>
      <c r="W16" s="217">
        <v>5.0968529157557896E-3</v>
      </c>
      <c r="X16" s="217">
        <v>1.0369639718250667E-3</v>
      </c>
      <c r="Y16" s="217">
        <v>-5.158394286604584E-3</v>
      </c>
      <c r="Z16" s="217">
        <v>-1.168244078357028E-3</v>
      </c>
      <c r="AA16" s="217">
        <v>7.1236057904193739E-3</v>
      </c>
      <c r="AB16" s="217">
        <v>-6.6903141923035925E-4</v>
      </c>
      <c r="AC16" s="217">
        <v>1.1073777463388446E-3</v>
      </c>
      <c r="AD16" s="217">
        <v>1.3416834552344437E-3</v>
      </c>
      <c r="AE16" s="217">
        <v>8.9969758064516459E-3</v>
      </c>
      <c r="AF16" s="217">
        <v>3.9713265229661676E-3</v>
      </c>
      <c r="AG16" s="217">
        <v>6.0578166981790638E-3</v>
      </c>
      <c r="AH16" s="217">
        <v>5.1723356289437028E-3</v>
      </c>
      <c r="AI16" s="217">
        <v>1.1111475571154994E-3</v>
      </c>
      <c r="AJ16" s="217">
        <v>9.3052591916056304E-3</v>
      </c>
      <c r="AK16" s="217">
        <v>5.5592752652828814E-3</v>
      </c>
      <c r="AL16" s="217">
        <v>7.150783882488243E-3</v>
      </c>
      <c r="AM16" s="217">
        <v>5.7737692175161559E-3</v>
      </c>
      <c r="AN16" s="217">
        <v>4.637117656901113E-3</v>
      </c>
      <c r="AO16" s="217">
        <v>2.3197531941216987E-3</v>
      </c>
      <c r="AP16" s="217">
        <v>5.9738810841605261E-3</v>
      </c>
      <c r="AQ16" s="217">
        <v>3.6810250238912268E-3</v>
      </c>
      <c r="AR16" s="217">
        <v>4.7685658645915119E-3</v>
      </c>
      <c r="AS16" s="217">
        <v>8.579339390866858E-3</v>
      </c>
      <c r="AT16" s="284">
        <v>-2.1420562193092962E-3</v>
      </c>
      <c r="AU16" s="284">
        <v>-4.0065717075592477E-3</v>
      </c>
      <c r="AV16" s="284">
        <v>1.1496175722255586E-2</v>
      </c>
      <c r="AW16" s="284">
        <v>7.8770139655457427E-3</v>
      </c>
      <c r="AX16" s="284">
        <v>1.0692819935507192E-2</v>
      </c>
      <c r="AY16" s="284">
        <v>2.2137309465464883E-2</v>
      </c>
      <c r="AZ16" s="284">
        <v>1.1938975287207887E-2</v>
      </c>
      <c r="BA16" s="284">
        <v>2.505639879974586E-2</v>
      </c>
      <c r="BB16" s="284">
        <v>2.3721003112469052E-2</v>
      </c>
      <c r="BC16" s="284">
        <v>2.6455210511119542E-2</v>
      </c>
      <c r="BD16" s="284">
        <v>4.5717655351913411E-3</v>
      </c>
      <c r="BE16" s="284">
        <v>8.0527358048181341E-3</v>
      </c>
      <c r="BF16" s="284">
        <v>9.4876977858691092E-3</v>
      </c>
      <c r="BG16" s="284">
        <v>8.1420752346317293E-3</v>
      </c>
      <c r="BH16" s="284">
        <v>1.0769519136860195E-2</v>
      </c>
      <c r="BI16" s="284">
        <v>4.4278305907461402E-3</v>
      </c>
      <c r="BJ16" s="284">
        <v>1.0921988112782888E-2</v>
      </c>
      <c r="BK16" s="284">
        <v>3.2809260926538464E-3</v>
      </c>
      <c r="BL16" s="284">
        <v>5.492908718715217E-3</v>
      </c>
      <c r="BM16" s="284">
        <v>8.7406423991029936E-3</v>
      </c>
      <c r="BN16" s="284">
        <v>6.3349527554841245E-3</v>
      </c>
      <c r="BO16" s="218">
        <v>5.8977206952113281E-3</v>
      </c>
      <c r="BP16" s="219">
        <v>1.261565785381058E-2</v>
      </c>
      <c r="BQ16" s="219">
        <v>9.4235422537249924E-3</v>
      </c>
      <c r="BR16" s="219">
        <v>4.2925217119096359E-3</v>
      </c>
      <c r="BS16" s="219">
        <v>3.4623688631971739E-3</v>
      </c>
      <c r="BT16" s="219">
        <v>8.5852489641875529E-3</v>
      </c>
      <c r="BU16" s="219">
        <v>9.4235422537247704E-3</v>
      </c>
      <c r="BV16" s="219"/>
      <c r="BW16" s="219"/>
      <c r="BX16" s="219"/>
      <c r="BY16" s="219"/>
      <c r="BZ16" s="219"/>
      <c r="CA16" s="219"/>
      <c r="CB16" s="219"/>
      <c r="CC16" s="219"/>
      <c r="CD16" s="219"/>
      <c r="CE16" s="219"/>
      <c r="CF16" s="219"/>
      <c r="CG16" s="219"/>
      <c r="CH16" s="219"/>
      <c r="CI16" s="219"/>
      <c r="CJ16" s="219"/>
      <c r="CK16" s="219"/>
      <c r="CL16" s="219"/>
      <c r="CM16" s="219"/>
      <c r="CN16" s="219"/>
      <c r="CO16" s="219"/>
      <c r="CP16" s="219"/>
      <c r="CQ16" s="219"/>
      <c r="CR16" s="219"/>
      <c r="CS16" s="219"/>
      <c r="CT16" s="219"/>
      <c r="CU16" s="219"/>
      <c r="CV16" s="220"/>
      <c r="CW16" s="221"/>
      <c r="CX16" s="203"/>
      <c r="CY16" s="203"/>
      <c r="CZ16" s="203">
        <v>1.7595049796895523E-2</v>
      </c>
      <c r="DA16" s="203">
        <v>1.5128383667573297E-2</v>
      </c>
      <c r="DB16" s="203">
        <v>6.5312139196231911E-3</v>
      </c>
      <c r="DC16" s="203">
        <v>6.3872475153647912E-3</v>
      </c>
      <c r="DD16" s="203">
        <v>2.0507989115119862E-2</v>
      </c>
      <c r="DE16" s="203">
        <v>2.1299307195522532E-2</v>
      </c>
      <c r="DF16" s="291">
        <v>2.0023809043401064E-2</v>
      </c>
      <c r="DG16" s="291">
        <v>2.3195274699624457E-2</v>
      </c>
      <c r="DH16" s="291">
        <v>1.3204191315779434E-2</v>
      </c>
      <c r="DI16" s="291">
        <v>7.1594573451124743E-2</v>
      </c>
      <c r="DJ16" s="291">
        <v>6.4108316773858087E-2</v>
      </c>
      <c r="DK16" s="291">
        <v>3.322200208829762E-2</v>
      </c>
      <c r="DL16" s="222">
        <v>2.872366268806581E-2</v>
      </c>
      <c r="DM16" s="223">
        <v>3.4699999999999953E-2</v>
      </c>
      <c r="DN16" s="223">
        <v>2.6000000000000023E-2</v>
      </c>
      <c r="DO16" s="224">
        <v>0.02</v>
      </c>
      <c r="DP16" s="224">
        <v>0.02</v>
      </c>
      <c r="DQ16" s="224">
        <v>0.02</v>
      </c>
      <c r="DR16" s="224">
        <v>0.02</v>
      </c>
      <c r="DS16" s="224">
        <v>0.02</v>
      </c>
      <c r="DT16" s="224">
        <v>0.02</v>
      </c>
      <c r="DU16" s="224">
        <v>0.02</v>
      </c>
      <c r="DV16" s="224">
        <v>0.02</v>
      </c>
      <c r="DW16" s="224">
        <v>0.02</v>
      </c>
      <c r="DX16" s="224">
        <v>0.02</v>
      </c>
      <c r="DY16" s="224">
        <v>0.02</v>
      </c>
      <c r="DZ16" s="224">
        <v>0.02</v>
      </c>
      <c r="EA16" s="224">
        <v>0.02</v>
      </c>
      <c r="EB16" s="224">
        <v>0.02</v>
      </c>
    </row>
    <row r="17" spans="1:132" x14ac:dyDescent="0.25">
      <c r="A17" s="216" t="s">
        <v>235</v>
      </c>
      <c r="B17" s="217"/>
      <c r="C17" s="217"/>
      <c r="D17" s="217"/>
      <c r="E17" s="217"/>
      <c r="F17" s="217">
        <v>8.8989705112545447E-3</v>
      </c>
      <c r="G17" s="217">
        <v>8.3016257350396749E-3</v>
      </c>
      <c r="H17" s="217">
        <v>9.4339622641510523E-3</v>
      </c>
      <c r="I17" s="217">
        <v>2.8887000849617817E-3</v>
      </c>
      <c r="J17" s="217">
        <v>1.2707556760420236E-2</v>
      </c>
      <c r="K17" s="217">
        <v>8.8673247448551873E-3</v>
      </c>
      <c r="L17" s="217">
        <v>7.9601990049751326E-3</v>
      </c>
      <c r="M17" s="217">
        <v>1.4149391247120668E-2</v>
      </c>
      <c r="N17" s="217">
        <v>6.3270603504217426E-3</v>
      </c>
      <c r="O17" s="217">
        <v>-2.0957601160729311E-3</v>
      </c>
      <c r="P17" s="217">
        <v>9.6930533117931539E-3</v>
      </c>
      <c r="Q17" s="217">
        <v>7.9999999999991189E-4</v>
      </c>
      <c r="R17" s="217">
        <v>6.8745003996801834E-3</v>
      </c>
      <c r="S17" s="217">
        <v>1.4290250873294497E-3</v>
      </c>
      <c r="T17" s="217">
        <v>1.0464563183764097E-2</v>
      </c>
      <c r="U17" s="217">
        <v>1.1140750039227987E-2</v>
      </c>
      <c r="V17" s="217">
        <v>1.5052762259466057E-2</v>
      </c>
      <c r="W17" s="217">
        <v>1.0243082097538547E-2</v>
      </c>
      <c r="X17" s="217">
        <v>1.3922518159806385E-2</v>
      </c>
      <c r="Y17" s="217">
        <v>6.4179104477612992E-3</v>
      </c>
      <c r="Z17" s="217">
        <v>1.0677739878392378E-2</v>
      </c>
      <c r="AA17" s="217">
        <v>1.247248716067495E-2</v>
      </c>
      <c r="AB17" s="217">
        <v>1.6086956521739193E-2</v>
      </c>
      <c r="AC17" s="217">
        <v>3.9937241477678853E-3</v>
      </c>
      <c r="AD17" s="217">
        <v>1.122318511152165E-2</v>
      </c>
      <c r="AE17" s="217">
        <v>1.0115200899128984E-2</v>
      </c>
      <c r="AF17" s="217">
        <v>5.2851182197495294E-3</v>
      </c>
      <c r="AG17" s="217">
        <v>1.3835085777547107E-4</v>
      </c>
      <c r="AH17" s="217">
        <v>1.1758196154378009E-2</v>
      </c>
      <c r="AI17" s="217">
        <v>-2.7344818156949113E-4</v>
      </c>
      <c r="AJ17" s="217">
        <v>2.8719912472647824E-3</v>
      </c>
      <c r="AK17" s="217">
        <v>8.182190099550013E-3</v>
      </c>
      <c r="AL17" s="217">
        <v>7.1689435952926317E-3</v>
      </c>
      <c r="AM17" s="217">
        <v>6.9836153639539766E-3</v>
      </c>
      <c r="AN17" s="217">
        <v>8.6689783942384135E-3</v>
      </c>
      <c r="AO17" s="217">
        <v>2.6444532592886372E-3</v>
      </c>
      <c r="AP17" s="217">
        <v>6.3299485691679092E-3</v>
      </c>
      <c r="AQ17" s="217">
        <v>9.1731096841829451E-3</v>
      </c>
      <c r="AR17" s="217">
        <v>4.155304505908175E-3</v>
      </c>
      <c r="AS17" s="217">
        <v>9.9573257467993059E-3</v>
      </c>
      <c r="AT17" s="284">
        <v>1.3572343149808042E-2</v>
      </c>
      <c r="AU17" s="284">
        <v>-1.6422435573520966E-3</v>
      </c>
      <c r="AV17" s="284">
        <v>8.7308616980892317E-3</v>
      </c>
      <c r="AW17" s="284">
        <v>8.9061716006022529E-3</v>
      </c>
      <c r="AX17" s="284">
        <v>1.2681835136143071E-2</v>
      </c>
      <c r="AY17" s="284">
        <v>7.2437077961939877E-3</v>
      </c>
      <c r="AZ17" s="284">
        <v>2.3647001462701045E-2</v>
      </c>
      <c r="BA17" s="284">
        <v>2.6434865444153299E-2</v>
      </c>
      <c r="BB17" s="284">
        <v>3.3758700696055577E-2</v>
      </c>
      <c r="BC17" s="284">
        <v>3.5686230501627225E-2</v>
      </c>
      <c r="BD17" s="284">
        <v>3.4890020587279302E-2</v>
      </c>
      <c r="BE17" s="284">
        <v>1.7799183331588253E-2</v>
      </c>
      <c r="BF17" s="284">
        <v>1.8413743442032837E-2</v>
      </c>
      <c r="BG17" s="284">
        <v>2.6262626262627542E-3</v>
      </c>
      <c r="BH17" s="284">
        <v>1.1384243401168614E-2</v>
      </c>
      <c r="BI17" s="284">
        <v>6.4747484809244416E-3</v>
      </c>
      <c r="BJ17" s="284">
        <v>1.6429136975455227E-2</v>
      </c>
      <c r="BK17" s="284">
        <v>7.0107108081791658E-3</v>
      </c>
      <c r="BL17" s="284">
        <v>1.0829626764649047E-2</v>
      </c>
      <c r="BM17" s="284">
        <v>1.0330973789936859E-2</v>
      </c>
      <c r="BN17" s="284">
        <v>1.9693239916682481E-2</v>
      </c>
      <c r="BO17" s="218">
        <v>-1.8570102135562205E-4</v>
      </c>
      <c r="BP17" s="219">
        <v>1.3265211738484384E-2</v>
      </c>
      <c r="BQ17" s="219">
        <v>1.0621382233107157E-2</v>
      </c>
      <c r="BR17" s="219">
        <v>7.9726279636171959E-3</v>
      </c>
      <c r="BS17" s="219">
        <v>-3.0921379369912572E-3</v>
      </c>
      <c r="BT17" s="219">
        <v>1.3265211738484384E-2</v>
      </c>
      <c r="BU17" s="219">
        <v>1.2585660915775954E-2</v>
      </c>
      <c r="BV17" s="219"/>
      <c r="BW17" s="219"/>
      <c r="BX17" s="219"/>
      <c r="BY17" s="219"/>
      <c r="BZ17" s="219"/>
      <c r="CA17" s="219"/>
      <c r="CB17" s="219"/>
      <c r="CC17" s="219"/>
      <c r="CD17" s="219"/>
      <c r="CE17" s="219"/>
      <c r="CF17" s="219"/>
      <c r="CG17" s="219"/>
      <c r="CH17" s="219"/>
      <c r="CI17" s="219"/>
      <c r="CJ17" s="219"/>
      <c r="CK17" s="219"/>
      <c r="CL17" s="219"/>
      <c r="CM17" s="219"/>
      <c r="CN17" s="219"/>
      <c r="CO17" s="219"/>
      <c r="CP17" s="219"/>
      <c r="CQ17" s="219"/>
      <c r="CR17" s="219"/>
      <c r="CS17" s="219"/>
      <c r="CT17" s="219"/>
      <c r="CU17" s="219"/>
      <c r="CV17" s="221"/>
      <c r="CW17" s="223"/>
      <c r="CX17" s="203"/>
      <c r="CY17" s="203"/>
      <c r="CZ17" s="203">
        <v>1.4763140817650733E-2</v>
      </c>
      <c r="DA17" s="203">
        <v>3.0215827338129442E-2</v>
      </c>
      <c r="DB17" s="203">
        <v>4.6399751707014492E-2</v>
      </c>
      <c r="DC17" s="203">
        <v>4.3897375055613086E-2</v>
      </c>
      <c r="DD17" s="203">
        <v>2.6992470521380874E-2</v>
      </c>
      <c r="DE17" s="203">
        <v>2.2686401991976801E-2</v>
      </c>
      <c r="DF17" s="291">
        <v>2.5699986473691316E-2</v>
      </c>
      <c r="DG17" s="291">
        <v>2.9935381775022973E-2</v>
      </c>
      <c r="DH17" s="291">
        <v>2.9833546734955307E-2</v>
      </c>
      <c r="DI17" s="291">
        <v>7.1739400721123836E-2</v>
      </c>
      <c r="DJ17" s="291">
        <v>0.12772621809744766</v>
      </c>
      <c r="DK17" s="291">
        <v>3.9399238761444355E-2</v>
      </c>
      <c r="DL17" s="222">
        <v>4.5328582739509127E-2</v>
      </c>
      <c r="DM17" s="223">
        <v>4.4000000000000039E-2</v>
      </c>
      <c r="DN17" s="223">
        <v>3.0999999999999917E-2</v>
      </c>
      <c r="DO17" s="224">
        <v>0.03</v>
      </c>
      <c r="DP17" s="224">
        <v>0.03</v>
      </c>
      <c r="DQ17" s="224">
        <v>0.03</v>
      </c>
      <c r="DR17" s="224">
        <v>0.03</v>
      </c>
      <c r="DS17" s="224">
        <v>0.03</v>
      </c>
      <c r="DT17" s="224">
        <v>0.03</v>
      </c>
      <c r="DU17" s="224">
        <v>0.03</v>
      </c>
      <c r="DV17" s="224">
        <v>0.03</v>
      </c>
      <c r="DW17" s="224">
        <v>0.03</v>
      </c>
      <c r="DX17" s="224">
        <v>0.03</v>
      </c>
      <c r="DY17" s="224">
        <v>0.03</v>
      </c>
      <c r="DZ17" s="224">
        <v>0.03</v>
      </c>
      <c r="EA17" s="224">
        <v>0.03</v>
      </c>
      <c r="EB17" s="224">
        <v>0.03</v>
      </c>
    </row>
    <row r="18" spans="1:132" x14ac:dyDescent="0.25">
      <c r="A18" s="216" t="s">
        <v>236</v>
      </c>
      <c r="B18" s="217"/>
      <c r="C18" s="217"/>
      <c r="D18" s="217"/>
      <c r="E18" s="217"/>
      <c r="F18" s="217">
        <v>8.9195799165586731E-3</v>
      </c>
      <c r="G18" s="217">
        <v>5.2759161557109913E-3</v>
      </c>
      <c r="H18" s="217">
        <v>5.9574468085106247E-3</v>
      </c>
      <c r="I18" s="217">
        <v>4.2301184433157779E-4</v>
      </c>
      <c r="J18" s="217">
        <v>1.4799154334038001E-2</v>
      </c>
      <c r="K18" s="217">
        <v>7.6388888888887507E-3</v>
      </c>
      <c r="L18" s="217">
        <v>1.3921433494141988E-2</v>
      </c>
      <c r="M18" s="217">
        <v>1.0195758564437218E-2</v>
      </c>
      <c r="N18" s="217">
        <v>9.958282869061863E-3</v>
      </c>
      <c r="O18" s="217">
        <v>5.3297801465690409E-3</v>
      </c>
      <c r="P18" s="217">
        <v>1.1398277004638802E-2</v>
      </c>
      <c r="Q18" s="217">
        <v>-3.9313327217926908E-4</v>
      </c>
      <c r="R18" s="217">
        <v>9.3078133193496004E-3</v>
      </c>
      <c r="S18" s="217">
        <v>7.1437849071309678E-3</v>
      </c>
      <c r="T18" s="217">
        <v>1.1993809646633879E-2</v>
      </c>
      <c r="U18" s="217">
        <v>-1.2743723716079902E-4</v>
      </c>
      <c r="V18" s="217">
        <v>1.4529696660718905E-2</v>
      </c>
      <c r="W18" s="217">
        <v>7.7889447236181297E-3</v>
      </c>
      <c r="X18" s="217">
        <v>4.9862877088009405E-3</v>
      </c>
      <c r="Y18" s="217">
        <v>4.5894319027535158E-3</v>
      </c>
      <c r="Z18" s="217">
        <v>1.2470675392023844E-2</v>
      </c>
      <c r="AA18" s="217">
        <v>1.2926829268292694E-2</v>
      </c>
      <c r="AB18" s="217">
        <v>8.5480375632072114E-3</v>
      </c>
      <c r="AC18" s="217">
        <v>9.4305837411960969E-3</v>
      </c>
      <c r="AD18" s="217">
        <v>1.1471144749290341E-2</v>
      </c>
      <c r="AE18" s="217">
        <v>3.6244592540628506E-3</v>
      </c>
      <c r="AF18" s="217">
        <v>6.4072693383037116E-3</v>
      </c>
      <c r="AG18" s="217">
        <v>1.0417872438939657E-2</v>
      </c>
      <c r="AH18" s="217">
        <v>1.8787948218581763E-2</v>
      </c>
      <c r="AI18" s="217">
        <v>-8.4335994602496855E-3</v>
      </c>
      <c r="AJ18" s="217">
        <v>8.6187344068948679E-3</v>
      </c>
      <c r="AK18" s="217">
        <v>-5.1720260850010025E-3</v>
      </c>
      <c r="AL18" s="217">
        <v>8.7025316455695556E-3</v>
      </c>
      <c r="AM18" s="217">
        <v>2.1288515406161501E-3</v>
      </c>
      <c r="AN18" s="217">
        <v>7.0438282647584671E-3</v>
      </c>
      <c r="AO18" s="217">
        <v>3.8858665482404131E-3</v>
      </c>
      <c r="AP18" s="217">
        <v>9.1793850917938347E-3</v>
      </c>
      <c r="AQ18" s="217">
        <v>2.6301369863013235E-3</v>
      </c>
      <c r="AR18" s="217">
        <v>2.732539075308793E-3</v>
      </c>
      <c r="AS18" s="217">
        <v>4.360148245040385E-3</v>
      </c>
      <c r="AT18" s="284">
        <v>8.4653787714348283E-3</v>
      </c>
      <c r="AU18" s="284">
        <v>4.3047783039162901E-4</v>
      </c>
      <c r="AV18" s="284">
        <v>4.8407917383821442E-3</v>
      </c>
      <c r="AW18" s="284">
        <v>5.8880205545444042E-3</v>
      </c>
      <c r="AX18" s="284">
        <v>1.4580672626649749E-2</v>
      </c>
      <c r="AY18" s="284">
        <v>6.8184202244834236E-3</v>
      </c>
      <c r="AZ18" s="284">
        <v>2.4171702438007925E-2</v>
      </c>
      <c r="BA18" s="284">
        <v>1.7293997965412089E-2</v>
      </c>
      <c r="BB18" s="284">
        <v>1.8399999999999972E-2</v>
      </c>
      <c r="BC18" s="284">
        <v>2.553024351924571E-2</v>
      </c>
      <c r="BD18" s="284">
        <v>2.1447721179624679E-2</v>
      </c>
      <c r="BE18" s="284">
        <v>1.668541432320958E-2</v>
      </c>
      <c r="BF18" s="284">
        <v>1.7794578646505688E-2</v>
      </c>
      <c r="BG18" s="284">
        <v>7.2470332457650333E-3</v>
      </c>
      <c r="BH18" s="284">
        <v>7.8244446443025417E-3</v>
      </c>
      <c r="BI18" s="284">
        <v>-8.031411743708583E-4</v>
      </c>
      <c r="BJ18" s="284">
        <v>1.5897115298740827E-2</v>
      </c>
      <c r="BK18" s="284">
        <v>-1.7582417582417964E-4</v>
      </c>
      <c r="BL18" s="284">
        <v>2.8136815264221404E-3</v>
      </c>
      <c r="BM18" s="284">
        <v>1.0521701008330275E-3</v>
      </c>
      <c r="BN18" s="284">
        <v>9.1092230883769165E-3</v>
      </c>
      <c r="BO18" s="218">
        <v>3.9059109452304064E-3</v>
      </c>
      <c r="BP18" s="219">
        <v>3.8293273387515203E-3</v>
      </c>
      <c r="BQ18" s="219">
        <v>5.477253367486945E-3</v>
      </c>
      <c r="BR18" s="219">
        <v>9.1092230883771386E-3</v>
      </c>
      <c r="BS18" s="219">
        <v>5.3786335529739659E-3</v>
      </c>
      <c r="BT18" s="219">
        <v>2.3588742225326698E-3</v>
      </c>
      <c r="BU18" s="219">
        <v>5.477253367486723E-3</v>
      </c>
      <c r="BV18" s="219"/>
      <c r="BW18" s="219"/>
      <c r="BX18" s="219"/>
      <c r="BY18" s="219"/>
      <c r="BZ18" s="219"/>
      <c r="CA18" s="219"/>
      <c r="CB18" s="219"/>
      <c r="CC18" s="219"/>
      <c r="CD18" s="219"/>
      <c r="CE18" s="219"/>
      <c r="CF18" s="219"/>
      <c r="CG18" s="219"/>
      <c r="CH18" s="219"/>
      <c r="CI18" s="219"/>
      <c r="CJ18" s="219"/>
      <c r="CK18" s="219"/>
      <c r="CL18" s="219"/>
      <c r="CM18" s="219"/>
      <c r="CN18" s="219"/>
      <c r="CO18" s="219"/>
      <c r="CP18" s="219"/>
      <c r="CQ18" s="219"/>
      <c r="CR18" s="219"/>
      <c r="CS18" s="219"/>
      <c r="CT18" s="219"/>
      <c r="CU18" s="219"/>
      <c r="CV18" s="220"/>
      <c r="CW18" s="221"/>
      <c r="CX18" s="203"/>
      <c r="CY18" s="203"/>
      <c r="CZ18" s="203">
        <v>2.6510563854124536E-2</v>
      </c>
      <c r="DA18" s="203">
        <v>2.8578919769270961E-2</v>
      </c>
      <c r="DB18" s="203">
        <v>3.2245730308437359E-2</v>
      </c>
      <c r="DC18" s="203">
        <v>4.4079515989628337E-2</v>
      </c>
      <c r="DD18" s="203">
        <v>3.22847682119205E-2</v>
      </c>
      <c r="DE18" s="203">
        <v>1.3632718524458687E-2</v>
      </c>
      <c r="DF18" s="291">
        <v>2.192585895117527E-2</v>
      </c>
      <c r="DG18" s="291">
        <v>1.9022340190223419E-2</v>
      </c>
      <c r="DH18" s="291">
        <v>1.9752550466681118E-2</v>
      </c>
      <c r="DI18" s="291">
        <v>6.4282673478075925E-2</v>
      </c>
      <c r="DJ18" s="291">
        <v>8.4600000000000009E-2</v>
      </c>
      <c r="DK18" s="291">
        <v>3.2362161165406578E-2</v>
      </c>
      <c r="DL18" s="222">
        <v>1.9648120032151439E-2</v>
      </c>
      <c r="DM18" s="223">
        <v>2.2499999999999964E-2</v>
      </c>
      <c r="DN18" s="223">
        <v>2.2499999999999964E-2</v>
      </c>
      <c r="DO18" s="224">
        <v>2.2499999999999964E-2</v>
      </c>
      <c r="DP18" s="224">
        <v>2.2499999999999964E-2</v>
      </c>
      <c r="DQ18" s="224">
        <v>2.2499999999999964E-2</v>
      </c>
      <c r="DR18" s="224">
        <v>2.2499999999999964E-2</v>
      </c>
      <c r="DS18" s="224">
        <v>2.2499999999999964E-2</v>
      </c>
      <c r="DT18" s="224">
        <v>2.2499999999999964E-2</v>
      </c>
      <c r="DU18" s="224">
        <v>2.2499999999999964E-2</v>
      </c>
      <c r="DV18" s="224">
        <v>2.2499999999999964E-2</v>
      </c>
      <c r="DW18" s="224">
        <v>2.2499999999999964E-2</v>
      </c>
      <c r="DX18" s="224">
        <v>2.2499999999999964E-2</v>
      </c>
      <c r="DY18" s="224">
        <v>2.2499999999999964E-2</v>
      </c>
      <c r="DZ18" s="224">
        <v>2.2499999999999964E-2</v>
      </c>
      <c r="EA18" s="224">
        <v>2.2499999999999964E-2</v>
      </c>
      <c r="EB18" s="224">
        <v>2.2499999999999964E-2</v>
      </c>
    </row>
    <row r="19" spans="1:132" ht="15.75" thickBot="1" x14ac:dyDescent="0.3">
      <c r="A19" s="216" t="s">
        <v>237</v>
      </c>
      <c r="B19" s="217"/>
      <c r="C19" s="217"/>
      <c r="D19" s="217"/>
      <c r="E19" s="217"/>
      <c r="F19" s="217">
        <v>1.7696629213483028E-2</v>
      </c>
      <c r="G19" s="217">
        <v>6.7623516422854468E-3</v>
      </c>
      <c r="H19" s="217">
        <v>-6.8540095956126645E-4</v>
      </c>
      <c r="I19" s="217">
        <v>7.5445816186556769E-3</v>
      </c>
      <c r="J19" s="217">
        <v>1.7971409121851467E-2</v>
      </c>
      <c r="K19" s="217">
        <v>7.2221479202889682E-3</v>
      </c>
      <c r="L19" s="217">
        <v>4.1163192139157534E-3</v>
      </c>
      <c r="M19" s="217">
        <v>7.5376884422109214E-3</v>
      </c>
      <c r="N19" s="217">
        <v>1.4700091875574195E-2</v>
      </c>
      <c r="O19" s="217">
        <v>5.3033242788771418E-3</v>
      </c>
      <c r="P19" s="217">
        <v>3.0880082346884663E-3</v>
      </c>
      <c r="Q19" s="217">
        <v>1.1544381734223119E-3</v>
      </c>
      <c r="R19" s="217">
        <v>9.4811018577836137E-3</v>
      </c>
      <c r="S19" s="217">
        <v>7.6151795913186326E-3</v>
      </c>
      <c r="T19" s="217">
        <v>4.282655246252709E-3</v>
      </c>
      <c r="U19" s="217">
        <v>-2.1321961620469621E-3</v>
      </c>
      <c r="V19" s="217">
        <v>1.5208647561588684E-2</v>
      </c>
      <c r="W19" s="217">
        <v>1.0399900953324215E-2</v>
      </c>
      <c r="X19" s="217">
        <v>4.9013601274354723E-3</v>
      </c>
      <c r="Y19" s="217">
        <v>5.6090720643822145E-3</v>
      </c>
      <c r="Z19" s="217">
        <v>2.4008730447435456E-2</v>
      </c>
      <c r="AA19" s="217">
        <v>8.9994079336883637E-3</v>
      </c>
      <c r="AB19" s="217">
        <v>1.3848139889684363E-2</v>
      </c>
      <c r="AC19" s="217">
        <v>1.9215186942933116E-2</v>
      </c>
      <c r="AD19" s="217">
        <v>3.5547984099943308E-2</v>
      </c>
      <c r="AE19" s="217">
        <v>1.491555165606484E-2</v>
      </c>
      <c r="AF19" s="217">
        <v>1.5128593040847349E-3</v>
      </c>
      <c r="AG19" s="217">
        <v>4.6396201985325902E-3</v>
      </c>
      <c r="AH19" s="217">
        <v>2.5238964665449393E-2</v>
      </c>
      <c r="AI19" s="217">
        <v>8.0662057406244436E-3</v>
      </c>
      <c r="AJ19" s="217">
        <v>1.3509300633898214E-3</v>
      </c>
      <c r="AK19" s="217">
        <v>5.8115400581153498E-3</v>
      </c>
      <c r="AL19" s="217">
        <v>1.57862154354107E-2</v>
      </c>
      <c r="AM19" s="217">
        <v>8.7353986795326577E-3</v>
      </c>
      <c r="AN19" s="217">
        <v>1.6111167052663689E-3</v>
      </c>
      <c r="AO19" s="217">
        <v>5.3282396702523105E-3</v>
      </c>
      <c r="AP19" s="217">
        <v>1.6199999999999992E-2</v>
      </c>
      <c r="AQ19" s="217">
        <v>1.0726234993111428E-2</v>
      </c>
      <c r="AR19" s="217">
        <v>5.3548826793887727E-3</v>
      </c>
      <c r="AS19" s="217">
        <v>5.2295177222543288E-3</v>
      </c>
      <c r="AT19" s="284">
        <v>1.6666666666666607E-2</v>
      </c>
      <c r="AU19" s="284">
        <v>-5.3065479010707683E-3</v>
      </c>
      <c r="AV19" s="284">
        <v>3.0484900447746988E-3</v>
      </c>
      <c r="AW19" s="284">
        <v>1.8045398423400805E-3</v>
      </c>
      <c r="AX19" s="284">
        <v>1.5547971179370457E-2</v>
      </c>
      <c r="AY19" s="284">
        <v>1.549663928304712E-2</v>
      </c>
      <c r="AZ19" s="284">
        <v>1.158301158301156E-2</v>
      </c>
      <c r="BA19" s="284">
        <v>1.2450018175208966E-2</v>
      </c>
      <c r="BB19" s="284">
        <v>4.3532896508392538E-2</v>
      </c>
      <c r="BC19" s="284">
        <v>2.6234302425597766E-2</v>
      </c>
      <c r="BD19" s="284">
        <v>2.7826670019277522E-2</v>
      </c>
      <c r="BE19" s="284">
        <v>2.772567887140176E-2</v>
      </c>
      <c r="BF19" s="284">
        <v>4.5544711576608776E-2</v>
      </c>
      <c r="BG19" s="284">
        <v>1.5253851407755814E-2</v>
      </c>
      <c r="BH19" s="284">
        <v>1.7416654208401994E-2</v>
      </c>
      <c r="BI19" s="284">
        <v>1.1828667989126407E-2</v>
      </c>
      <c r="BJ19" s="284">
        <v>2.7301771710717349E-2</v>
      </c>
      <c r="BK19" s="284">
        <v>1.3429459994345638E-2</v>
      </c>
      <c r="BL19" s="284">
        <v>4.4636629934440286E-3</v>
      </c>
      <c r="BM19" s="284">
        <v>5.9713928621023538E-3</v>
      </c>
      <c r="BN19" s="284">
        <v>2.6228602981778204E-2</v>
      </c>
      <c r="BO19" s="218">
        <v>1.0895883777239712E-2</v>
      </c>
      <c r="BP19" s="219">
        <v>9.0978043912226525E-5</v>
      </c>
      <c r="BQ19" s="219">
        <v>6.6460886319628099E-3</v>
      </c>
      <c r="BR19" s="219">
        <v>2.0824296857305136E-2</v>
      </c>
      <c r="BS19" s="219">
        <v>9.5336215409436154E-3</v>
      </c>
      <c r="BT19" s="219">
        <v>-2.3188797345069512E-3</v>
      </c>
      <c r="BU19" s="219">
        <v>6.6460886319628099E-3</v>
      </c>
      <c r="BV19" s="219"/>
      <c r="BW19" s="219"/>
      <c r="BX19" s="219"/>
      <c r="BY19" s="219"/>
      <c r="BZ19" s="219"/>
      <c r="CA19" s="219"/>
      <c r="CB19" s="219"/>
      <c r="CC19" s="219"/>
      <c r="CD19" s="219"/>
      <c r="CE19" s="219"/>
      <c r="CF19" s="219"/>
      <c r="CG19" s="219"/>
      <c r="CH19" s="219"/>
      <c r="CI19" s="219"/>
      <c r="CJ19" s="219"/>
      <c r="CK19" s="219"/>
      <c r="CL19" s="219"/>
      <c r="CM19" s="219"/>
      <c r="CN19" s="219"/>
      <c r="CO19" s="219"/>
      <c r="CP19" s="219"/>
      <c r="CQ19" s="219"/>
      <c r="CR19" s="219"/>
      <c r="CS19" s="219"/>
      <c r="CT19" s="219"/>
      <c r="CU19" s="219"/>
      <c r="CV19" s="220"/>
      <c r="CW19" s="223"/>
      <c r="CX19" s="203"/>
      <c r="CY19" s="203"/>
      <c r="CZ19" s="203">
        <v>2.4412652579078653E-2</v>
      </c>
      <c r="DA19" s="203">
        <v>1.9346572709801446E-2</v>
      </c>
      <c r="DB19" s="203">
        <v>3.6576168929109976E-2</v>
      </c>
      <c r="DC19" s="203">
        <v>6.7660967624590729E-2</v>
      </c>
      <c r="DD19" s="203">
        <v>5.7467348097671733E-2</v>
      </c>
      <c r="DE19" s="203">
        <v>4.0919342712920193E-2</v>
      </c>
      <c r="DF19" s="291">
        <v>3.1778786628146927E-2</v>
      </c>
      <c r="DG19" s="291">
        <v>3.8000000000000034E-2</v>
      </c>
      <c r="DH19" s="291">
        <v>1.6184971098265999E-2</v>
      </c>
      <c r="DI19" s="291">
        <v>5.6219188471748227E-2</v>
      </c>
      <c r="DJ19" s="291">
        <v>0.13122699937169013</v>
      </c>
      <c r="DK19" s="291">
        <v>9.2755693088947044E-2</v>
      </c>
      <c r="DL19" s="222">
        <v>5.1989544002323473E-2</v>
      </c>
      <c r="DM19" s="223">
        <v>4.4399999999999995E-2</v>
      </c>
      <c r="DN19" s="223">
        <v>3.5000000000000142E-2</v>
      </c>
      <c r="DO19" s="224">
        <v>3.5000000000000142E-2</v>
      </c>
      <c r="DP19" s="224">
        <v>3.5000000000000142E-2</v>
      </c>
      <c r="DQ19" s="224">
        <v>3.5000000000000142E-2</v>
      </c>
      <c r="DR19" s="224">
        <v>3.5000000000000142E-2</v>
      </c>
      <c r="DS19" s="224">
        <v>3.5000000000000142E-2</v>
      </c>
      <c r="DT19" s="224">
        <v>3.5000000000000142E-2</v>
      </c>
      <c r="DU19" s="224">
        <v>3.5000000000000142E-2</v>
      </c>
      <c r="DV19" s="224">
        <v>3.5000000000000142E-2</v>
      </c>
      <c r="DW19" s="224">
        <v>3.5000000000000142E-2</v>
      </c>
      <c r="DX19" s="224">
        <v>3.5000000000000142E-2</v>
      </c>
      <c r="DY19" s="224">
        <v>3.5000000000000142E-2</v>
      </c>
      <c r="DZ19" s="224">
        <v>3.5000000000000142E-2</v>
      </c>
      <c r="EA19" s="224">
        <v>3.5000000000000142E-2</v>
      </c>
      <c r="EB19" s="224">
        <v>3.5000000000000142E-2</v>
      </c>
    </row>
    <row r="20" spans="1:132" ht="15.75" thickBot="1" x14ac:dyDescent="0.3">
      <c r="A20" s="216" t="s">
        <v>238</v>
      </c>
      <c r="B20" s="225"/>
      <c r="C20" s="217"/>
      <c r="D20" s="217"/>
      <c r="E20" s="217"/>
      <c r="F20" s="217">
        <v>7.7706740131035623E-2</v>
      </c>
      <c r="G20" s="217">
        <v>3.711028219462853E-2</v>
      </c>
      <c r="H20" s="217">
        <v>4.7694638667892253E-2</v>
      </c>
      <c r="I20" s="217">
        <v>4.9715337090813883E-2</v>
      </c>
      <c r="J20" s="217">
        <v>5.6477277516836955E-2</v>
      </c>
      <c r="K20" s="217">
        <v>4.6153770290300988E-2</v>
      </c>
      <c r="L20" s="217">
        <v>5.1020922738755248E-2</v>
      </c>
      <c r="M20" s="217">
        <v>4.3695526760997305E-2</v>
      </c>
      <c r="N20" s="217">
        <v>6.2174920142764378E-2</v>
      </c>
      <c r="O20" s="217">
        <v>4.8217584968295091E-2</v>
      </c>
      <c r="P20" s="217">
        <v>5.6785867172653548E-2</v>
      </c>
      <c r="Q20" s="217">
        <v>5.2996541573487432E-2</v>
      </c>
      <c r="R20" s="217">
        <v>5.2678172916810428E-2</v>
      </c>
      <c r="S20" s="217">
        <v>5.0617317192603872E-2</v>
      </c>
      <c r="T20" s="217">
        <v>6.8180142994029636E-2</v>
      </c>
      <c r="U20" s="217">
        <v>6.9969638421198077E-2</v>
      </c>
      <c r="V20" s="217">
        <v>0.13375467560944143</v>
      </c>
      <c r="W20" s="217">
        <v>8.1626848691694898E-2</v>
      </c>
      <c r="X20" s="217">
        <v>6.8998159347883226E-2</v>
      </c>
      <c r="Y20" s="217">
        <v>5.2983716239484391E-2</v>
      </c>
      <c r="Z20" s="217">
        <v>5.1579144085217798E-2</v>
      </c>
      <c r="AA20" s="217">
        <v>6.0467389372667268E-2</v>
      </c>
      <c r="AB20" s="217">
        <v>5.6307344254053593E-2</v>
      </c>
      <c r="AC20" s="217">
        <v>7.74997025344073E-2</v>
      </c>
      <c r="AD20" s="217">
        <v>0.11863658114624398</v>
      </c>
      <c r="AE20" s="217">
        <v>0.14461416446199404</v>
      </c>
      <c r="AF20" s="226">
        <v>3.3282440000000024E-2</v>
      </c>
      <c r="AG20" s="226">
        <v>5.2868608000000039E-2</v>
      </c>
      <c r="AH20" s="226">
        <v>6.2232064000000031E-2</v>
      </c>
      <c r="AI20" s="226">
        <v>5.3874535999999917E-2</v>
      </c>
      <c r="AJ20" s="226">
        <v>5.083152199999974E-2</v>
      </c>
      <c r="AK20" s="226">
        <v>6.1115509999999817E-2</v>
      </c>
      <c r="AL20" s="226">
        <v>6.6407936000000056E-2</v>
      </c>
      <c r="AM20" s="217">
        <v>8.7363978999999814E-2</v>
      </c>
      <c r="AN20" s="217">
        <v>0.14083758499999965</v>
      </c>
      <c r="AO20" s="217">
        <v>0.11600892800000029</v>
      </c>
      <c r="AP20" s="217">
        <v>0.11830279399999988</v>
      </c>
      <c r="AQ20" s="217">
        <v>9.4837457999999986E-2</v>
      </c>
      <c r="AR20" s="217">
        <v>0.12558991999999991</v>
      </c>
      <c r="AS20" s="217">
        <v>0.11718103346340314</v>
      </c>
      <c r="AT20" s="284">
        <v>7.8005927180355705E-2</v>
      </c>
      <c r="AU20" s="284">
        <v>5.37391588937981E-2</v>
      </c>
      <c r="AV20" s="284">
        <v>7.6559927943597117E-2</v>
      </c>
      <c r="AW20" s="284">
        <v>0.11326524724482145</v>
      </c>
      <c r="AX20" s="284">
        <v>0.12954804602467096</v>
      </c>
      <c r="AY20" s="284">
        <v>0.1095051276756831</v>
      </c>
      <c r="AZ20" s="284">
        <v>9.2845326716294307E-2</v>
      </c>
      <c r="BA20" s="284">
        <v>0.10210028382213809</v>
      </c>
      <c r="BB20" s="284">
        <v>0.16069773031624468</v>
      </c>
      <c r="BC20" s="284">
        <v>0.17301718782356601</v>
      </c>
      <c r="BD20" s="284">
        <v>0.21976469994829961</v>
      </c>
      <c r="BE20" s="284">
        <v>0.17293318584528228</v>
      </c>
      <c r="BF20" s="284">
        <v>0.21732079429573692</v>
      </c>
      <c r="BG20" s="284">
        <v>0.23780735034318967</v>
      </c>
      <c r="BH20" s="284">
        <v>0.3482139201338319</v>
      </c>
      <c r="BI20" s="284">
        <v>0.53289051246897934</v>
      </c>
      <c r="BJ20" s="284">
        <v>0.51621905416917868</v>
      </c>
      <c r="BK20" s="284">
        <v>0.18566423188708803</v>
      </c>
      <c r="BL20" s="284">
        <v>0.12131063918220453</v>
      </c>
      <c r="BM20" s="284">
        <v>8.0279518803073158E-2</v>
      </c>
      <c r="BN20" s="284">
        <v>8.5691336507230931E-2</v>
      </c>
      <c r="BO20" s="218">
        <v>6.0125794294962898E-2</v>
      </c>
      <c r="BP20" s="227">
        <v>6.0167599999999988E-2</v>
      </c>
      <c r="BQ20" s="227">
        <v>4.9802319999999733E-2</v>
      </c>
      <c r="BR20" s="227">
        <v>3.9508184000000002E-2</v>
      </c>
      <c r="BS20" s="227">
        <v>3.1321099999999991E-2</v>
      </c>
      <c r="BT20" s="227">
        <v>3.0300999999999911E-2</v>
      </c>
      <c r="BU20" s="227">
        <v>2.5208575999999816E-2</v>
      </c>
      <c r="BV20" s="228" t="s">
        <v>239</v>
      </c>
      <c r="BW20" s="229"/>
      <c r="BX20" s="229"/>
      <c r="BY20" s="229"/>
      <c r="BZ20" s="229"/>
      <c r="CA20" s="229"/>
      <c r="CB20" s="229"/>
      <c r="CC20" s="229"/>
      <c r="CD20" s="229"/>
      <c r="CE20" s="229"/>
      <c r="CF20" s="229"/>
      <c r="CG20" s="229"/>
      <c r="CH20" s="229"/>
      <c r="CI20" s="229"/>
      <c r="CJ20" s="229"/>
      <c r="CK20" s="229"/>
      <c r="CL20" s="229"/>
      <c r="CM20" s="229"/>
      <c r="CN20" s="229"/>
      <c r="CO20" s="229"/>
      <c r="CP20" s="229"/>
      <c r="CQ20" s="229"/>
      <c r="CR20" s="229"/>
      <c r="CS20" s="229"/>
      <c r="CT20" s="229"/>
      <c r="CU20" s="229"/>
      <c r="CV20" s="223"/>
      <c r="CW20" s="223"/>
      <c r="CX20" s="203"/>
      <c r="CY20" s="203"/>
      <c r="CZ20" s="203">
        <v>0.23897181076000051</v>
      </c>
      <c r="DA20" s="203">
        <v>0.2640263506237186</v>
      </c>
      <c r="DB20" s="203">
        <v>0.38036888946214331</v>
      </c>
      <c r="DC20" s="203">
        <v>0.26924873855354203</v>
      </c>
      <c r="DD20" s="203">
        <v>0.39296870420172958</v>
      </c>
      <c r="DE20" s="203">
        <v>0.24825717834665229</v>
      </c>
      <c r="DF20" s="291">
        <v>0.47635160315840164</v>
      </c>
      <c r="DG20" s="291">
        <v>0.53961738645159807</v>
      </c>
      <c r="DH20" s="291">
        <v>0.36141687835167935</v>
      </c>
      <c r="DI20" s="291">
        <v>0.5094329843474652</v>
      </c>
      <c r="DJ20" s="291">
        <v>0.94792775469560109</v>
      </c>
      <c r="DK20" s="291">
        <v>2.1140676367674671</v>
      </c>
      <c r="DL20" s="222">
        <v>1.1776383381590008</v>
      </c>
      <c r="DM20" s="230">
        <v>0.28099026601095711</v>
      </c>
      <c r="DN20" s="230">
        <v>0.13239558593514955</v>
      </c>
      <c r="DO20" s="224">
        <v>0.08</v>
      </c>
      <c r="DP20" s="231">
        <v>0.08</v>
      </c>
      <c r="DQ20" s="231">
        <v>0.08</v>
      </c>
      <c r="DR20" s="231">
        <v>0.08</v>
      </c>
      <c r="DS20" s="224">
        <v>0.08</v>
      </c>
      <c r="DT20" s="224">
        <v>0.08</v>
      </c>
      <c r="DU20" s="224">
        <v>0.08</v>
      </c>
      <c r="DV20" s="224">
        <v>0.08</v>
      </c>
      <c r="DW20" s="224">
        <v>0.08</v>
      </c>
      <c r="DX20" s="224">
        <v>0.08</v>
      </c>
      <c r="DY20" s="224">
        <v>0.08</v>
      </c>
      <c r="DZ20" s="224">
        <v>0.08</v>
      </c>
      <c r="EA20" s="224">
        <v>0.08</v>
      </c>
      <c r="EB20" s="224">
        <v>0.08</v>
      </c>
    </row>
    <row r="21" spans="1:132" x14ac:dyDescent="0.25">
      <c r="A21" s="216" t="s">
        <v>240</v>
      </c>
      <c r="B21" s="217"/>
      <c r="C21" s="217"/>
      <c r="D21" s="217">
        <v>6.3125610865828463E-3</v>
      </c>
      <c r="E21" s="217">
        <v>1.0636908330347028E-2</v>
      </c>
      <c r="F21" s="217">
        <v>2.0635672838258401E-2</v>
      </c>
      <c r="G21" s="217">
        <v>1.0026429772781675E-2</v>
      </c>
      <c r="H21" s="217">
        <v>4.9988105724041443E-3</v>
      </c>
      <c r="I21" s="217">
        <v>2.2262809912068304E-2</v>
      </c>
      <c r="J21" s="217">
        <v>2.4396959845301325E-2</v>
      </c>
      <c r="K21" s="217">
        <v>1.3956003005626494E-2</v>
      </c>
      <c r="L21" s="217">
        <v>1.0633971472036707E-2</v>
      </c>
      <c r="M21" s="217">
        <v>1.4569950966511147E-2</v>
      </c>
      <c r="N21" s="217">
        <v>1.2245389616685198E-2</v>
      </c>
      <c r="O21" s="217">
        <v>1.0828899898705835E-2</v>
      </c>
      <c r="P21" s="217">
        <v>1.4167087793448774E-2</v>
      </c>
      <c r="Q21" s="217">
        <v>1.993171123933335E-2</v>
      </c>
      <c r="R21" s="217">
        <v>1.94200629569794E-2</v>
      </c>
      <c r="S21" s="217">
        <v>1.1845050402731649E-2</v>
      </c>
      <c r="T21" s="217">
        <v>6.2084221404119511E-3</v>
      </c>
      <c r="U21" s="217">
        <v>2.043332557722799E-2</v>
      </c>
      <c r="V21" s="217">
        <v>2.1751380592809788E-2</v>
      </c>
      <c r="W21" s="217">
        <v>1.5375617564219013E-2</v>
      </c>
      <c r="X21" s="217">
        <v>8.3166595929584641E-3</v>
      </c>
      <c r="Y21" s="217">
        <v>1.7192651907677936E-2</v>
      </c>
      <c r="Z21" s="217">
        <v>3.8277181971792196E-2</v>
      </c>
      <c r="AA21" s="217">
        <v>2.2568002922714214E-2</v>
      </c>
      <c r="AB21" s="217">
        <v>1.3857214776389126E-2</v>
      </c>
      <c r="AC21" s="217">
        <v>2.8157121543573194E-2</v>
      </c>
      <c r="AD21" s="217">
        <v>2.6206442222306281E-2</v>
      </c>
      <c r="AE21" s="217">
        <v>1.749542390672576E-2</v>
      </c>
      <c r="AF21" s="217">
        <v>1.0431431561581439E-2</v>
      </c>
      <c r="AG21" s="217">
        <v>7.4190016728088448E-3</v>
      </c>
      <c r="AH21" s="217">
        <v>9.6300018845405511E-3</v>
      </c>
      <c r="AI21" s="217">
        <v>2.1942513931838548E-3</v>
      </c>
      <c r="AJ21" s="217">
        <v>5.9102657757119648E-3</v>
      </c>
      <c r="AK21" s="217">
        <v>1.1444547536120453E-2</v>
      </c>
      <c r="AL21" s="217">
        <v>7.0152101308664783E-3</v>
      </c>
      <c r="AM21" s="217">
        <v>1.8887284258576775E-2</v>
      </c>
      <c r="AN21" s="217">
        <v>7.2098896611332286E-3</v>
      </c>
      <c r="AO21" s="217">
        <v>3.8930647158041953E-3</v>
      </c>
      <c r="AP21" s="217">
        <v>1.5068785890315128E-2</v>
      </c>
      <c r="AQ21" s="217">
        <v>7.1077186347772159E-3</v>
      </c>
      <c r="AR21" s="217">
        <v>2.6024735964957912E-3</v>
      </c>
      <c r="AS21" s="217">
        <v>1.7676516496296646E-2</v>
      </c>
      <c r="AT21" s="284">
        <v>5.3080212396032778E-3</v>
      </c>
      <c r="AU21" s="284">
        <v>-4.3058882039602731E-3</v>
      </c>
      <c r="AV21" s="284">
        <v>1.2447750992402584E-2</v>
      </c>
      <c r="AW21" s="284">
        <v>3.1314508276533592E-2</v>
      </c>
      <c r="AX21" s="284">
        <v>2.0524800425854028E-2</v>
      </c>
      <c r="AY21" s="284">
        <v>1.6786731327713023E-2</v>
      </c>
      <c r="AZ21" s="284">
        <v>3.0195945219914089E-2</v>
      </c>
      <c r="BA21" s="284">
        <v>2.9580045119536491E-2</v>
      </c>
      <c r="BB21" s="284">
        <v>3.2007960732282958E-2</v>
      </c>
      <c r="BC21" s="284">
        <v>2.2153507084467394E-2</v>
      </c>
      <c r="BD21" s="284">
        <v>-1.3245351115654835E-2</v>
      </c>
      <c r="BE21" s="284">
        <v>1.6286414853838194E-2</v>
      </c>
      <c r="BF21" s="284">
        <v>2.0941939330469506E-2</v>
      </c>
      <c r="BG21" s="284">
        <v>7.6070363573370603E-3</v>
      </c>
      <c r="BH21" s="284">
        <v>6.1126585034421144E-3</v>
      </c>
      <c r="BI21" s="284">
        <v>1.0836245981739268E-2</v>
      </c>
      <c r="BJ21" s="284">
        <v>1.4154167780112026E-2</v>
      </c>
      <c r="BK21" s="284">
        <v>1.0535525553417191E-2</v>
      </c>
      <c r="BL21" s="284">
        <v>8.0155470495610892E-3</v>
      </c>
      <c r="BM21" s="284">
        <v>1.4770299336158255E-2</v>
      </c>
      <c r="BN21" s="284">
        <v>2.0404196887543247E-2</v>
      </c>
      <c r="BO21" s="218">
        <v>9.3287032564199901E-3</v>
      </c>
      <c r="BP21" s="219">
        <v>8.5773379352027668E-3</v>
      </c>
      <c r="BQ21" s="219">
        <v>1.5347912636226146E-2</v>
      </c>
      <c r="BR21" s="219">
        <v>1.6244020489879052E-2</v>
      </c>
      <c r="BS21" s="219">
        <v>5.8694655072548674E-3</v>
      </c>
      <c r="BT21" s="219">
        <v>6.5540169477515953E-3</v>
      </c>
      <c r="BU21" s="219">
        <v>1.5347912636226146E-2</v>
      </c>
      <c r="BV21" s="219"/>
      <c r="BW21" s="219"/>
      <c r="BX21" s="219"/>
      <c r="BY21" s="219"/>
      <c r="BZ21" s="219"/>
      <c r="CA21" s="219"/>
      <c r="CB21" s="219"/>
      <c r="CC21" s="219"/>
      <c r="CD21" s="219"/>
      <c r="CE21" s="219"/>
      <c r="CF21" s="219"/>
      <c r="CG21" s="219"/>
      <c r="CH21" s="219"/>
      <c r="CI21" s="219"/>
      <c r="CJ21" s="219"/>
      <c r="CK21" s="219"/>
      <c r="CL21" s="219"/>
      <c r="CM21" s="219"/>
      <c r="CN21" s="219"/>
      <c r="CO21" s="219"/>
      <c r="CP21" s="219"/>
      <c r="CQ21" s="219"/>
      <c r="CR21" s="219"/>
      <c r="CS21" s="219"/>
      <c r="CT21" s="219"/>
      <c r="CU21" s="219"/>
      <c r="CV21" s="220"/>
      <c r="CW21" s="223"/>
      <c r="CX21" s="203"/>
      <c r="CY21" s="203"/>
      <c r="CZ21" s="203">
        <v>5.8385947181474496E-2</v>
      </c>
      <c r="DA21" s="203">
        <v>5.910683255331084E-2</v>
      </c>
      <c r="DB21" s="203">
        <v>6.4074707959081545E-2</v>
      </c>
      <c r="DC21" s="203">
        <v>0.1067302813397506</v>
      </c>
      <c r="DD21" s="203">
        <v>6.2879882132213849E-2</v>
      </c>
      <c r="DE21" s="203">
        <v>2.9474213204347066E-2</v>
      </c>
      <c r="DF21" s="291">
        <v>3.7455811701915476E-2</v>
      </c>
      <c r="DG21" s="291">
        <v>4.306151617159526E-2</v>
      </c>
      <c r="DH21" s="291">
        <v>4.517456886424509E-2</v>
      </c>
      <c r="DI21" s="291">
        <v>0.10060982737443336</v>
      </c>
      <c r="DJ21" s="291">
        <v>5.7850929078894886E-2</v>
      </c>
      <c r="DK21" s="291">
        <v>4.62119000508181E-2</v>
      </c>
      <c r="DL21" s="222">
        <v>4.8311967483947837E-2</v>
      </c>
      <c r="DM21" s="223">
        <v>5.4699999999999971E-2</v>
      </c>
      <c r="DN21" s="223">
        <v>4.4699999999999962E-2</v>
      </c>
      <c r="DO21" s="224">
        <v>4.4699999999999962E-2</v>
      </c>
      <c r="DP21" s="224">
        <v>4.4699999999999962E-2</v>
      </c>
      <c r="DQ21" s="224">
        <v>4.4699999999999962E-2</v>
      </c>
      <c r="DR21" s="224">
        <v>4.4699999999999962E-2</v>
      </c>
      <c r="DS21" s="224">
        <v>4.4699999999999962E-2</v>
      </c>
      <c r="DT21" s="224">
        <v>4.4699999999999962E-2</v>
      </c>
      <c r="DU21" s="224">
        <v>4.4699999999999962E-2</v>
      </c>
      <c r="DV21" s="224">
        <v>4.4699999999999962E-2</v>
      </c>
      <c r="DW21" s="224">
        <v>4.4699999999999962E-2</v>
      </c>
      <c r="DX21" s="224">
        <v>4.4699999999999962E-2</v>
      </c>
      <c r="DY21" s="224">
        <v>4.4699999999999962E-2</v>
      </c>
      <c r="DZ21" s="224">
        <v>4.4699999999999962E-2</v>
      </c>
      <c r="EA21" s="224">
        <v>4.4699999999999962E-2</v>
      </c>
      <c r="EB21" s="224">
        <v>4.4699999999999962E-2</v>
      </c>
    </row>
    <row r="22" spans="1:132" x14ac:dyDescent="0.25">
      <c r="A22" s="216" t="s">
        <v>241</v>
      </c>
      <c r="B22" s="217"/>
      <c r="C22" s="217"/>
      <c r="D22" s="217">
        <v>1.156069364161838E-2</v>
      </c>
      <c r="E22" s="217">
        <v>8.5714285714284522E-3</v>
      </c>
      <c r="F22" s="217">
        <v>1.8413597733711207E-2</v>
      </c>
      <c r="G22" s="217">
        <v>4.1724617524339092E-3</v>
      </c>
      <c r="H22" s="217">
        <v>6.9252077562327319E-3</v>
      </c>
      <c r="I22" s="217">
        <v>4.126547455295726E-2</v>
      </c>
      <c r="J22" s="217">
        <v>4.7556142668427892E-2</v>
      </c>
      <c r="K22" s="217">
        <v>-8.8272383354350836E-3</v>
      </c>
      <c r="L22" s="217">
        <v>1.1450381679389388E-2</v>
      </c>
      <c r="M22" s="217">
        <v>-1.2578616352200145E-3</v>
      </c>
      <c r="N22" s="217">
        <v>3.1486146095717871E-2</v>
      </c>
      <c r="O22" s="217">
        <v>-2.4420024420024333E-3</v>
      </c>
      <c r="P22" s="217">
        <v>0</v>
      </c>
      <c r="Q22" s="217">
        <v>1.1015911872704898E-2</v>
      </c>
      <c r="R22" s="217">
        <v>2.421307506053294E-3</v>
      </c>
      <c r="S22" s="217">
        <v>3.6231884057971175E-3</v>
      </c>
      <c r="T22" s="217">
        <v>1.4440433212996373E-2</v>
      </c>
      <c r="U22" s="217">
        <v>1.6607354685646669E-2</v>
      </c>
      <c r="V22" s="217">
        <v>2.5670945157526326E-2</v>
      </c>
      <c r="W22" s="217">
        <v>5.6882821387940208E-3</v>
      </c>
      <c r="X22" s="217">
        <v>-6.7873303167421684E-3</v>
      </c>
      <c r="Y22" s="217">
        <v>1.7084282460136713E-2</v>
      </c>
      <c r="Z22" s="217">
        <v>1.0078387458006821E-2</v>
      </c>
      <c r="AA22" s="217">
        <v>4.4345898004434225E-3</v>
      </c>
      <c r="AB22" s="217">
        <v>5.5187637969094094E-3</v>
      </c>
      <c r="AC22" s="217">
        <v>1.0976948408342402E-2</v>
      </c>
      <c r="AD22" s="217">
        <v>2.6058631921824116E-2</v>
      </c>
      <c r="AE22" s="217">
        <v>3.1746031746031633E-3</v>
      </c>
      <c r="AF22" s="217">
        <v>-5.2742616033755185E-3</v>
      </c>
      <c r="AG22" s="217">
        <v>1.4846235418876086E-2</v>
      </c>
      <c r="AH22" s="217">
        <v>1.4629049111807735E-2</v>
      </c>
      <c r="AI22" s="217">
        <v>5.1493305870236039E-3</v>
      </c>
      <c r="AJ22" s="217">
        <v>7.1721311475410054E-3</v>
      </c>
      <c r="AK22" s="217">
        <v>1.7293997965412089E-2</v>
      </c>
      <c r="AL22" s="217">
        <v>1.0999999999999899E-2</v>
      </c>
      <c r="AM22" s="217">
        <v>7.9129574678538095E-3</v>
      </c>
      <c r="AN22" s="217">
        <v>2.9440628066732533E-3</v>
      </c>
      <c r="AO22" s="217">
        <v>9.7847358121330164E-3</v>
      </c>
      <c r="AP22" s="217">
        <v>6.7829457364341206E-3</v>
      </c>
      <c r="AQ22" s="217">
        <v>8.6621751684310411E-3</v>
      </c>
      <c r="AR22" s="217">
        <v>9.5419847328259699E-4</v>
      </c>
      <c r="AS22" s="217">
        <v>1.1439466158245759E-2</v>
      </c>
      <c r="AT22" s="284">
        <v>3.7700282752122227E-3</v>
      </c>
      <c r="AU22" s="284">
        <v>-1.1267605633802802E-2</v>
      </c>
      <c r="AV22" s="284">
        <v>1.2345679012345734E-2</v>
      </c>
      <c r="AW22" s="284">
        <v>1.6885553470919357E-2</v>
      </c>
      <c r="AX22" s="284">
        <v>6.4575645756457245E-3</v>
      </c>
      <c r="AY22" s="284">
        <v>8.2493125572868919E-3</v>
      </c>
      <c r="AZ22" s="284">
        <v>3.0909090909090997E-2</v>
      </c>
      <c r="BA22" s="284">
        <v>2.1164021164021163E-2</v>
      </c>
      <c r="BB22" s="284">
        <v>3.7132987910190041E-2</v>
      </c>
      <c r="BC22" s="284">
        <v>2.164862614487939E-2</v>
      </c>
      <c r="BD22" s="284">
        <v>1.0594947025264867E-2</v>
      </c>
      <c r="BE22" s="284">
        <v>9.6774193548387899E-3</v>
      </c>
      <c r="BF22" s="284">
        <v>2.0766773162939289E-2</v>
      </c>
      <c r="BG22" s="284">
        <v>7.8247261345865127E-4</v>
      </c>
      <c r="BH22" s="284">
        <v>3.1274433150898506E-3</v>
      </c>
      <c r="BI22" s="284">
        <v>1.1691348402182333E-2</v>
      </c>
      <c r="BJ22" s="284">
        <v>2.003081664098616E-2</v>
      </c>
      <c r="BK22" s="284">
        <v>7.5528700906344337E-3</v>
      </c>
      <c r="BL22" s="284">
        <v>7.4962518740617767E-4</v>
      </c>
      <c r="BM22" s="284">
        <v>8.9887640449437534E-3</v>
      </c>
      <c r="BN22" s="284">
        <v>2.5983667409057221E-2</v>
      </c>
      <c r="BO22" s="218">
        <v>3.6179450072360009E-3</v>
      </c>
      <c r="BP22" s="231">
        <v>1.158627174701481E-2</v>
      </c>
      <c r="BQ22" s="231">
        <v>1.417156171004148E-2</v>
      </c>
      <c r="BR22" s="231">
        <v>1.7631634112994687E-2</v>
      </c>
      <c r="BS22" s="231">
        <v>5.3931351544913133E-3</v>
      </c>
      <c r="BT22" s="231">
        <v>1.1545357089839526E-2</v>
      </c>
      <c r="BU22" s="231">
        <v>1.368142128738108E-2</v>
      </c>
      <c r="BV22" s="231"/>
      <c r="BW22" s="231"/>
      <c r="BX22" s="231"/>
      <c r="BY22" s="231"/>
      <c r="BZ22" s="231"/>
      <c r="CA22" s="231"/>
      <c r="CB22" s="231"/>
      <c r="CC22" s="231"/>
      <c r="CD22" s="231"/>
      <c r="CE22" s="231"/>
      <c r="CF22" s="231"/>
      <c r="CG22" s="231"/>
      <c r="CH22" s="231"/>
      <c r="CI22" s="231"/>
      <c r="CJ22" s="231"/>
      <c r="CK22" s="231"/>
      <c r="CL22" s="231"/>
      <c r="CM22" s="231"/>
      <c r="CN22" s="231"/>
      <c r="CO22" s="231"/>
      <c r="CP22" s="231"/>
      <c r="CQ22" s="231"/>
      <c r="CR22" s="231"/>
      <c r="CS22" s="231"/>
      <c r="CT22" s="231"/>
      <c r="CU22" s="231"/>
      <c r="CV22" s="220"/>
      <c r="CW22" s="232"/>
      <c r="CX22" s="203"/>
      <c r="CY22" s="203"/>
      <c r="CZ22" s="203">
        <v>4.0302267002518821E-2</v>
      </c>
      <c r="DA22" s="203">
        <v>3.7530266343825724E-2</v>
      </c>
      <c r="DB22" s="203">
        <v>4.200700116686118E-2</v>
      </c>
      <c r="DC22" s="203">
        <v>3.1354983202687592E-2</v>
      </c>
      <c r="DD22" s="203">
        <v>3.9087947882736174E-2</v>
      </c>
      <c r="DE22" s="203">
        <v>4.4932079414838011E-2</v>
      </c>
      <c r="DF22" s="291">
        <v>3.2000000000000028E-2</v>
      </c>
      <c r="DG22" s="291">
        <v>2.8100775193798277E-2</v>
      </c>
      <c r="DH22" s="291">
        <v>2.1677662582469504E-2</v>
      </c>
      <c r="DI22" s="291">
        <v>6.8265682656826421E-2</v>
      </c>
      <c r="DJ22" s="291">
        <v>8.1174438687392048E-2</v>
      </c>
      <c r="DK22" s="291">
        <v>3.6741214057508076E-2</v>
      </c>
      <c r="DL22" s="222">
        <v>3.7750385208012105E-2</v>
      </c>
      <c r="DM22" s="223">
        <v>5.638741963894911E-2</v>
      </c>
      <c r="DN22" s="223">
        <v>4.9091485826312953E-2</v>
      </c>
      <c r="DO22" s="224">
        <v>4.9091485826312953E-2</v>
      </c>
      <c r="DP22" s="224">
        <v>4.9091485826312953E-2</v>
      </c>
      <c r="DQ22" s="224">
        <v>4.9091485826312953E-2</v>
      </c>
      <c r="DR22" s="224">
        <v>4.9091485826312953E-2</v>
      </c>
      <c r="DS22" s="224">
        <v>4.9091485826312953E-2</v>
      </c>
      <c r="DT22" s="224">
        <v>4.9091485826312953E-2</v>
      </c>
      <c r="DU22" s="224">
        <v>4.9091485826312953E-2</v>
      </c>
      <c r="DV22" s="224">
        <v>4.9091485826312953E-2</v>
      </c>
      <c r="DW22" s="224">
        <v>4.9091485826312953E-2</v>
      </c>
      <c r="DX22" s="224">
        <v>4.9091485826312953E-2</v>
      </c>
      <c r="DY22" s="224">
        <v>4.9091485826312953E-2</v>
      </c>
      <c r="DZ22" s="224">
        <v>4.9091485826312953E-2</v>
      </c>
      <c r="EA22" s="224">
        <v>4.9091485826312953E-2</v>
      </c>
      <c r="EB22" s="224">
        <v>4.9091485826312953E-2</v>
      </c>
    </row>
    <row r="23" spans="1:132" x14ac:dyDescent="0.25">
      <c r="A23" s="216" t="s">
        <v>242</v>
      </c>
      <c r="B23" s="217"/>
      <c r="C23" s="217"/>
      <c r="D23" s="217">
        <v>1.0163951244952285E-2</v>
      </c>
      <c r="E23" s="217">
        <v>1.2401841092242183E-2</v>
      </c>
      <c r="F23" s="217">
        <v>2.39341580757928E-2</v>
      </c>
      <c r="G23" s="217">
        <v>-9.7768802975111146E-3</v>
      </c>
      <c r="H23" s="217">
        <v>1.0222450639813641E-2</v>
      </c>
      <c r="I23" s="217">
        <v>1.9259988764213087E-2</v>
      </c>
      <c r="J23" s="217">
        <v>1.057639695186241E-2</v>
      </c>
      <c r="K23" s="217">
        <v>-7.5009739380773599E-3</v>
      </c>
      <c r="L23" s="217">
        <v>8.8563045951393082E-3</v>
      </c>
      <c r="M23" s="217">
        <v>2.5999359017476742E-2</v>
      </c>
      <c r="N23" s="217">
        <v>9.705318257310358E-3</v>
      </c>
      <c r="O23" s="217">
        <v>-1.7021569141688619E-3</v>
      </c>
      <c r="P23" s="217">
        <v>1.3076796529177814E-2</v>
      </c>
      <c r="Q23" s="217">
        <v>1.421340372688018E-2</v>
      </c>
      <c r="R23" s="217">
        <v>1.6373705754875845E-2</v>
      </c>
      <c r="S23" s="217">
        <v>-3.2752291561338742E-3</v>
      </c>
      <c r="T23" s="217">
        <v>6.2865110170156058E-3</v>
      </c>
      <c r="U23" s="217">
        <v>1.9940997634304569E-2</v>
      </c>
      <c r="V23" s="217">
        <v>1.4267620547188109E-2</v>
      </c>
      <c r="W23" s="217">
        <v>-3.3331254053124981E-3</v>
      </c>
      <c r="X23" s="217">
        <v>1.0795669923159501E-2</v>
      </c>
      <c r="Y23" s="217">
        <v>1.8607112690618655E-2</v>
      </c>
      <c r="Z23" s="217">
        <v>5.0660060328713286E-3</v>
      </c>
      <c r="AA23" s="217">
        <v>-5.906605789980035E-3</v>
      </c>
      <c r="AB23" s="217">
        <v>7.3387355059111314E-3</v>
      </c>
      <c r="AC23" s="217">
        <v>1.4750593715955551E-2</v>
      </c>
      <c r="AD23" s="217">
        <v>9.6937790016036196E-3</v>
      </c>
      <c r="AE23" s="217">
        <v>-6.5176287398509558E-3</v>
      </c>
      <c r="AF23" s="217">
        <v>1.1572477721552898E-2</v>
      </c>
      <c r="AG23" s="217">
        <v>1.8607157995389478E-2</v>
      </c>
      <c r="AH23" s="217">
        <v>2.915611860189693E-2</v>
      </c>
      <c r="AI23" s="217">
        <v>2.5453297790916096E-3</v>
      </c>
      <c r="AJ23" s="217">
        <v>1.1898243116309937E-2</v>
      </c>
      <c r="AK23" s="217">
        <v>2.2679993964211942E-2</v>
      </c>
      <c r="AL23" s="217">
        <v>1.2407286240662341E-2</v>
      </c>
      <c r="AM23" s="217">
        <v>-1.1629052327720713E-3</v>
      </c>
      <c r="AN23" s="217">
        <v>1.550165280524074E-2</v>
      </c>
      <c r="AO23" s="217">
        <v>2.0838907220785297E-2</v>
      </c>
      <c r="AP23" s="217">
        <v>4.4263249854397113E-3</v>
      </c>
      <c r="AQ23" s="217">
        <v>-1.7105415748578379E-3</v>
      </c>
      <c r="AR23" s="217">
        <v>6.2246488349353424E-3</v>
      </c>
      <c r="AS23" s="217">
        <v>1.9164534067075856E-2</v>
      </c>
      <c r="AT23" s="284">
        <v>8.5336152698849421E-3</v>
      </c>
      <c r="AU23" s="284">
        <v>-8.8919672775600311E-4</v>
      </c>
      <c r="AV23" s="284">
        <v>1.2843933560046095E-2</v>
      </c>
      <c r="AW23" s="284">
        <v>1.070166675916151E-2</v>
      </c>
      <c r="AX23" s="284">
        <v>2.3363930045483317E-2</v>
      </c>
      <c r="AY23" s="284">
        <v>1.0677493203605781E-2</v>
      </c>
      <c r="AZ23" s="284">
        <v>1.4006618414765803E-2</v>
      </c>
      <c r="BA23" s="284">
        <v>2.3621085330843616E-2</v>
      </c>
      <c r="BB23" s="284">
        <v>2.4303542810379497E-2</v>
      </c>
      <c r="BC23" s="284">
        <v>1.5687547333116836E-2</v>
      </c>
      <c r="BD23" s="284">
        <v>2.0705647143653083E-2</v>
      </c>
      <c r="BE23" s="284">
        <v>1.5308538905523639E-2</v>
      </c>
      <c r="BF23" s="284">
        <v>1.510934708012468E-2</v>
      </c>
      <c r="BG23" s="284">
        <v>-1.3630451206879668E-3</v>
      </c>
      <c r="BH23" s="284">
        <v>1.4865771288626872E-2</v>
      </c>
      <c r="BI23" s="284">
        <v>1.731478635106054E-2</v>
      </c>
      <c r="BJ23" s="284">
        <v>1.2782062807370043E-2</v>
      </c>
      <c r="BK23" s="284">
        <v>3.9458471636892867E-3</v>
      </c>
      <c r="BL23" s="284">
        <v>1.1040611022779867E-2</v>
      </c>
      <c r="BM23" s="284">
        <v>1.3734567901234618E-2</v>
      </c>
      <c r="BN23" s="284">
        <v>8.7858556423026091E-3</v>
      </c>
      <c r="BO23" s="218">
        <v>8.9392861505737109E-3</v>
      </c>
      <c r="BP23" s="219">
        <v>3.1181225739822516E-3</v>
      </c>
      <c r="BQ23" s="219">
        <v>1.373456790123484E-2</v>
      </c>
      <c r="BR23" s="219">
        <v>8.7858556423026091E-3</v>
      </c>
      <c r="BS23" s="219">
        <v>8.9392861505737109E-3</v>
      </c>
      <c r="BT23" s="219">
        <v>3.1181225739822516E-3</v>
      </c>
      <c r="BU23" s="219">
        <v>1.373456790123484E-2</v>
      </c>
      <c r="BV23" s="219"/>
      <c r="BW23" s="219"/>
      <c r="BX23" s="219"/>
      <c r="BY23" s="219"/>
      <c r="BZ23" s="219"/>
      <c r="CA23" s="219"/>
      <c r="CB23" s="219"/>
      <c r="CC23" s="219"/>
      <c r="CD23" s="219"/>
      <c r="CE23" s="219"/>
      <c r="CF23" s="219"/>
      <c r="CG23" s="219"/>
      <c r="CH23" s="219"/>
      <c r="CI23" s="219"/>
      <c r="CJ23" s="219"/>
      <c r="CK23" s="219"/>
      <c r="CL23" s="219"/>
      <c r="CM23" s="219"/>
      <c r="CN23" s="219"/>
      <c r="CO23" s="219"/>
      <c r="CP23" s="219"/>
      <c r="CQ23" s="219"/>
      <c r="CR23" s="219"/>
      <c r="CS23" s="219"/>
      <c r="CT23" s="219"/>
      <c r="CU23" s="219"/>
      <c r="CV23" s="220"/>
      <c r="CW23" s="221"/>
      <c r="CX23" s="203"/>
      <c r="CY23" s="203"/>
      <c r="CZ23" s="203">
        <v>3.5682148898864119E-2</v>
      </c>
      <c r="DA23" s="203">
        <v>3.9741486095010048E-2</v>
      </c>
      <c r="DB23" s="203">
        <v>4.0812891473210433E-2</v>
      </c>
      <c r="DC23" s="203">
        <v>2.1307733773755944E-2</v>
      </c>
      <c r="DD23" s="203">
        <v>3.3602555060934236E-2</v>
      </c>
      <c r="DE23" s="203">
        <v>6.7731070524451598E-2</v>
      </c>
      <c r="DF23" s="291">
        <v>4.8305280499506775E-2</v>
      </c>
      <c r="DG23" s="291">
        <v>2.8285769753445988E-2</v>
      </c>
      <c r="DH23" s="291">
        <v>3.1500745747352177E-2</v>
      </c>
      <c r="DI23" s="291">
        <v>7.3551079426380284E-2</v>
      </c>
      <c r="DJ23" s="291">
        <v>7.8170286766460872E-2</v>
      </c>
      <c r="DK23" s="291">
        <v>4.6608896408861566E-2</v>
      </c>
      <c r="DL23" s="222">
        <v>4.2123393743437321E-2</v>
      </c>
      <c r="DM23" s="223">
        <v>3.499999999999992E-2</v>
      </c>
      <c r="DN23" s="223">
        <v>3.5000000000000142E-2</v>
      </c>
      <c r="DO23" s="224">
        <v>3.5000000000000142E-2</v>
      </c>
      <c r="DP23" s="224">
        <v>3.5000000000000142E-2</v>
      </c>
      <c r="DQ23" s="224">
        <v>3.5000000000000142E-2</v>
      </c>
      <c r="DR23" s="224">
        <v>3.5000000000000142E-2</v>
      </c>
      <c r="DS23" s="224">
        <v>3.5000000000000142E-2</v>
      </c>
      <c r="DT23" s="224">
        <v>3.5000000000000142E-2</v>
      </c>
      <c r="DU23" s="224">
        <v>3.5000000000000142E-2</v>
      </c>
      <c r="DV23" s="224">
        <v>3.5000000000000142E-2</v>
      </c>
      <c r="DW23" s="224">
        <v>3.5000000000000142E-2</v>
      </c>
      <c r="DX23" s="224">
        <v>3.5000000000000142E-2</v>
      </c>
      <c r="DY23" s="224">
        <v>3.5000000000000142E-2</v>
      </c>
      <c r="DZ23" s="224">
        <v>3.5000000000000142E-2</v>
      </c>
      <c r="EA23" s="224">
        <v>3.5000000000000142E-2</v>
      </c>
      <c r="EB23" s="224">
        <v>3.5000000000000142E-2</v>
      </c>
    </row>
    <row r="24" spans="1:132" x14ac:dyDescent="0.25">
      <c r="A24" s="216" t="s">
        <v>243</v>
      </c>
      <c r="B24" s="217"/>
      <c r="C24" s="217"/>
      <c r="D24" s="217">
        <v>2.4733966062697732E-2</v>
      </c>
      <c r="E24" s="217">
        <v>5.3325849003647008E-3</v>
      </c>
      <c r="F24" s="217">
        <v>2.4567280848687867E-2</v>
      </c>
      <c r="G24" s="217">
        <v>5.9945504087193235E-3</v>
      </c>
      <c r="H24" s="217">
        <v>2.6002166847237218E-2</v>
      </c>
      <c r="I24" s="217">
        <v>1.1087645195353657E-2</v>
      </c>
      <c r="J24" s="217">
        <v>3.6553524804177728E-2</v>
      </c>
      <c r="K24" s="217">
        <v>1.0075566750629594E-2</v>
      </c>
      <c r="L24" s="217">
        <v>1.8453865336658382E-2</v>
      </c>
      <c r="M24" s="217">
        <v>1.8364348677766928E-2</v>
      </c>
      <c r="N24" s="217">
        <v>2.5967780716518396E-2</v>
      </c>
      <c r="O24" s="217">
        <v>1.4998828216545634E-2</v>
      </c>
      <c r="P24" s="217">
        <v>2.4474717155391179E-2</v>
      </c>
      <c r="Q24" s="217">
        <v>7.4374577417175569E-3</v>
      </c>
      <c r="R24" s="217">
        <v>3.601789709172265E-2</v>
      </c>
      <c r="S24" s="217">
        <v>1.2092420643489366E-2</v>
      </c>
      <c r="T24" s="217">
        <v>3.2003413697460958E-2</v>
      </c>
      <c r="U24" s="217">
        <v>2.8943560057888007E-3</v>
      </c>
      <c r="V24" s="217">
        <v>4.7619047619047672E-2</v>
      </c>
      <c r="W24" s="217">
        <v>5.9031877213695516E-3</v>
      </c>
      <c r="X24" s="217">
        <v>2.5234741784037507E-2</v>
      </c>
      <c r="Y24" s="217">
        <v>2.0988360999809608E-3</v>
      </c>
      <c r="Z24" s="217">
        <v>4.0555978674790438E-2</v>
      </c>
      <c r="AA24" s="217">
        <v>1.5187557182067657E-2</v>
      </c>
      <c r="AB24" s="217">
        <v>3.1002162941600631E-2</v>
      </c>
      <c r="AC24" s="217">
        <v>4.895104895104696E-3</v>
      </c>
      <c r="AD24" s="217">
        <v>5.149617258176753E-2</v>
      </c>
      <c r="AE24" s="217">
        <v>1.8365320979483846E-2</v>
      </c>
      <c r="AF24" s="217">
        <v>1.2185215272136452E-2</v>
      </c>
      <c r="AG24" s="217">
        <v>-2.7287319422150125E-3</v>
      </c>
      <c r="AH24" s="217">
        <v>3.8145823273780799E-2</v>
      </c>
      <c r="AI24" s="217">
        <v>4.9612403100773861E-3</v>
      </c>
      <c r="AJ24" s="217">
        <v>1.6352977476087771E-2</v>
      </c>
      <c r="AK24" s="217">
        <v>4.8573163327263469E-3</v>
      </c>
      <c r="AL24" s="217">
        <v>3.9123867069486451E-2</v>
      </c>
      <c r="AM24" s="217">
        <v>1.8752725686872918E-2</v>
      </c>
      <c r="AN24" s="217">
        <v>1.7836757990867591E-2</v>
      </c>
      <c r="AO24" s="217">
        <v>1.9627085377822429E-3</v>
      </c>
      <c r="AP24" s="217">
        <v>3.7358332167342967E-2</v>
      </c>
      <c r="AQ24" s="217">
        <v>1.4836795252225476E-2</v>
      </c>
      <c r="AR24" s="217">
        <v>2.1664008506113941E-2</v>
      </c>
      <c r="AS24" s="217">
        <v>1.1577988812280449E-2</v>
      </c>
      <c r="AT24" s="284">
        <v>4.0766460905349744E-2</v>
      </c>
      <c r="AU24" s="284">
        <v>2.5948350426294287E-2</v>
      </c>
      <c r="AV24" s="284">
        <v>1.7704444176803502E-2</v>
      </c>
      <c r="AW24" s="284">
        <v>6.7455621301775182E-3</v>
      </c>
      <c r="AX24" s="284">
        <v>3.0798166216057465E-2</v>
      </c>
      <c r="AY24" s="284">
        <v>1.6307446687193528E-2</v>
      </c>
      <c r="AZ24" s="284">
        <v>1.8402154398563741E-2</v>
      </c>
      <c r="BA24" s="284">
        <v>1.2009695901277873E-2</v>
      </c>
      <c r="BB24" s="284">
        <v>4.4202504082743621E-2</v>
      </c>
      <c r="BC24" s="284">
        <v>1.5535397768741577E-2</v>
      </c>
      <c r="BD24" s="284">
        <v>2.4537987679671414E-2</v>
      </c>
      <c r="BE24" s="284">
        <v>-3.206734141697587E-3</v>
      </c>
      <c r="BF24" s="284">
        <v>3.4884889916557693E-2</v>
      </c>
      <c r="BG24" s="284">
        <v>2.720031086069552E-3</v>
      </c>
      <c r="BH24" s="284">
        <v>4.2627397791126231E-3</v>
      </c>
      <c r="BI24" s="284">
        <v>8.5857611421955582E-3</v>
      </c>
      <c r="BJ24" s="284">
        <v>2.1999043519846939E-2</v>
      </c>
      <c r="BK24" s="284">
        <v>1.3944782405240996E-2</v>
      </c>
      <c r="BL24" s="284">
        <v>7.6610670112609025E-3</v>
      </c>
      <c r="BM24" s="284">
        <v>1.0259228725840508E-2</v>
      </c>
      <c r="BN24" s="284">
        <v>2.3846223592347338E-2</v>
      </c>
      <c r="BO24" s="218">
        <v>3.453772582359127E-3</v>
      </c>
      <c r="BP24" s="231">
        <v>1.8402154398563741E-2</v>
      </c>
      <c r="BQ24" s="231">
        <v>8.5857611421955582E-3</v>
      </c>
      <c r="BR24" s="231">
        <v>3.4884889916557693E-2</v>
      </c>
      <c r="BS24" s="231">
        <v>1.5535397768741577E-2</v>
      </c>
      <c r="BT24" s="231">
        <v>1.7704444176803502E-2</v>
      </c>
      <c r="BU24" s="231">
        <v>8.5857611421955582E-3</v>
      </c>
      <c r="BV24" s="231"/>
      <c r="BW24" s="231"/>
      <c r="BX24" s="231"/>
      <c r="BY24" s="231"/>
      <c r="BZ24" s="231"/>
      <c r="CA24" s="231"/>
      <c r="CB24" s="231"/>
      <c r="CC24" s="231"/>
      <c r="CD24" s="231"/>
      <c r="CE24" s="231"/>
      <c r="CF24" s="231"/>
      <c r="CG24" s="231"/>
      <c r="CH24" s="231"/>
      <c r="CI24" s="231"/>
      <c r="CJ24" s="231"/>
      <c r="CK24" s="231"/>
      <c r="CL24" s="231"/>
      <c r="CM24" s="231"/>
      <c r="CN24" s="231"/>
      <c r="CO24" s="231"/>
      <c r="CP24" s="231"/>
      <c r="CQ24" s="231"/>
      <c r="CR24" s="231"/>
      <c r="CS24" s="231"/>
      <c r="CT24" s="231"/>
      <c r="CU24" s="231"/>
      <c r="CV24" s="220"/>
      <c r="CW24" s="221"/>
      <c r="CX24" s="203"/>
      <c r="CY24" s="203"/>
      <c r="CZ24" s="203"/>
      <c r="DA24" s="203"/>
      <c r="DB24" s="203">
        <v>8.2663368377654312E-2</v>
      </c>
      <c r="DC24" s="203">
        <v>9.4440213252094285E-2</v>
      </c>
      <c r="DD24" s="203">
        <v>8.0897703549060562E-2</v>
      </c>
      <c r="DE24" s="203">
        <v>6.5507806212779629E-2</v>
      </c>
      <c r="DF24" s="291">
        <v>7.9607250755286962E-2</v>
      </c>
      <c r="DG24" s="291">
        <v>8.8008954806212403E-2</v>
      </c>
      <c r="DH24" s="291">
        <v>9.4007201646090444E-2</v>
      </c>
      <c r="DI24" s="291">
        <v>7.969907135300347E-2</v>
      </c>
      <c r="DJ24" s="291">
        <v>8.2961350027218383E-2</v>
      </c>
      <c r="DK24" s="291">
        <v>5.107067457524872E-2</v>
      </c>
      <c r="DL24" s="222">
        <v>5.4901960784313752E-2</v>
      </c>
      <c r="DM24" s="223">
        <v>5.5271586667731132E-2</v>
      </c>
      <c r="DN24" s="223">
        <v>7.8752004055807401E-2</v>
      </c>
      <c r="DO24" s="224">
        <v>7.8752004055807401E-2</v>
      </c>
      <c r="DP24" s="224">
        <v>7.8752004055807401E-2</v>
      </c>
      <c r="DQ24" s="224">
        <v>7.8752004055807401E-2</v>
      </c>
      <c r="DR24" s="224">
        <v>7.8752004055807401E-2</v>
      </c>
      <c r="DS24" s="224">
        <v>7.8752004055807401E-2</v>
      </c>
      <c r="DT24" s="224">
        <v>7.8752004055807401E-2</v>
      </c>
      <c r="DU24" s="224">
        <v>7.8752004055807401E-2</v>
      </c>
      <c r="DV24" s="224">
        <v>7.8752004055807401E-2</v>
      </c>
      <c r="DW24" s="224">
        <v>7.8752004055807401E-2</v>
      </c>
      <c r="DX24" s="224">
        <v>7.8752004055807401E-2</v>
      </c>
      <c r="DY24" s="224">
        <v>7.8752004055807401E-2</v>
      </c>
      <c r="DZ24" s="224">
        <v>7.8752004055807401E-2</v>
      </c>
      <c r="EA24" s="224">
        <v>7.8752004055807401E-2</v>
      </c>
      <c r="EB24" s="224">
        <v>7.8752004055807401E-2</v>
      </c>
    </row>
    <row r="25" spans="1:132" x14ac:dyDescent="0.25">
      <c r="A25" s="233" t="s">
        <v>244</v>
      </c>
      <c r="B25" s="217"/>
      <c r="C25" s="217"/>
      <c r="D25" s="217"/>
      <c r="E25" s="217"/>
      <c r="F25" s="217">
        <v>-4.5041422022039646E-3</v>
      </c>
      <c r="G25" s="217">
        <v>1.4704694190837753E-2</v>
      </c>
      <c r="H25" s="217">
        <v>-1.2739867823871043E-3</v>
      </c>
      <c r="I25" s="217">
        <v>2.0842587214268571E-2</v>
      </c>
      <c r="J25" s="217">
        <v>1.3722930682464884E-3</v>
      </c>
      <c r="K25" s="217">
        <v>1.068476056777401E-2</v>
      </c>
      <c r="L25" s="217">
        <v>-1.6976618566246771E-3</v>
      </c>
      <c r="M25" s="217">
        <v>1.3284157289722653E-2</v>
      </c>
      <c r="N25" s="217">
        <v>-3.3129182014342007E-3</v>
      </c>
      <c r="O25" s="217">
        <v>1.0660631109361773E-2</v>
      </c>
      <c r="P25" s="217">
        <v>1.3155474776324505E-2</v>
      </c>
      <c r="Q25" s="217">
        <v>7.9552371087785456E-3</v>
      </c>
      <c r="R25" s="217">
        <v>-7.5852278746530999E-3</v>
      </c>
      <c r="S25" s="217">
        <v>7.0667606054783949E-3</v>
      </c>
      <c r="T25" s="217">
        <v>-3.9325842696630309E-3</v>
      </c>
      <c r="U25" s="217">
        <v>7.0555183092297913E-3</v>
      </c>
      <c r="V25" s="217">
        <v>-1.1528869726942337E-2</v>
      </c>
      <c r="W25" s="217">
        <v>9.4076394308379996E-3</v>
      </c>
      <c r="X25" s="217">
        <v>-6.3227459993010493E-3</v>
      </c>
      <c r="Y25" s="217">
        <v>-1.8971691678034697E-3</v>
      </c>
      <c r="Z25" s="217">
        <v>-7.752600217841632E-3</v>
      </c>
      <c r="AA25" s="217">
        <v>1.6724063710718884E-2</v>
      </c>
      <c r="AB25" s="217">
        <v>-1.5612761182971058E-2</v>
      </c>
      <c r="AC25" s="217">
        <v>7.1398617189433189E-3</v>
      </c>
      <c r="AD25" s="217">
        <v>-1.627109958041062E-2</v>
      </c>
      <c r="AE25" s="217">
        <v>1.7191417315143509E-2</v>
      </c>
      <c r="AF25" s="217">
        <v>-5.9537146698248611E-3</v>
      </c>
      <c r="AG25" s="217">
        <v>2.1113078945956154E-2</v>
      </c>
      <c r="AH25" s="217">
        <v>-9.2818399697264242E-3</v>
      </c>
      <c r="AI25" s="217">
        <v>9.4324608218656625E-3</v>
      </c>
      <c r="AJ25" s="217">
        <v>-3.1848472744856471E-3</v>
      </c>
      <c r="AK25" s="217">
        <v>1.4287973849317348E-2</v>
      </c>
      <c r="AL25" s="217">
        <v>-8.2856845825969305E-3</v>
      </c>
      <c r="AM25" s="217">
        <v>2.0011950562410341E-2</v>
      </c>
      <c r="AN25" s="217">
        <v>-3.3298390577789494E-3</v>
      </c>
      <c r="AO25" s="217">
        <v>3.619377590793782E-3</v>
      </c>
      <c r="AP25" s="217">
        <v>-6.7811238171562316E-3</v>
      </c>
      <c r="AQ25" s="217">
        <v>1.0861806783974082E-2</v>
      </c>
      <c r="AR25" s="217">
        <v>-6.7540601111349963E-3</v>
      </c>
      <c r="AS25" s="217">
        <v>1.0684222998382564E-2</v>
      </c>
      <c r="AT25" s="284">
        <v>-1.4720274017289259E-2</v>
      </c>
      <c r="AU25" s="284">
        <v>7.5839092827878485E-3</v>
      </c>
      <c r="AV25" s="284">
        <v>-7.0339374647019337E-3</v>
      </c>
      <c r="AW25" s="284">
        <v>9.0382626680454159E-3</v>
      </c>
      <c r="AX25" s="284">
        <v>3.8432369278700307E-3</v>
      </c>
      <c r="AY25" s="284">
        <v>2.1409100654422364E-2</v>
      </c>
      <c r="AZ25" s="284">
        <v>5.2875677188493064E-3</v>
      </c>
      <c r="BA25" s="284">
        <v>3.3706189410887433E-2</v>
      </c>
      <c r="BB25" s="284">
        <v>3.4636656567113899E-2</v>
      </c>
      <c r="BC25" s="284">
        <v>2.5110164922001355E-2</v>
      </c>
      <c r="BD25" s="284">
        <v>-6.973981336211077E-3</v>
      </c>
      <c r="BE25" s="284">
        <v>3.6621673455221604E-3</v>
      </c>
      <c r="BF25" s="284">
        <v>1.1028307809898275E-2</v>
      </c>
      <c r="BG25" s="284">
        <v>1.1187011187011153E-2</v>
      </c>
      <c r="BH25" s="284">
        <v>8.8470370436299905E-3</v>
      </c>
      <c r="BI25" s="284">
        <v>-3.5289550764017186E-4</v>
      </c>
      <c r="BJ25" s="284">
        <v>1.2055635965686484E-2</v>
      </c>
      <c r="BK25" s="284">
        <v>1.3411932957775985E-2</v>
      </c>
      <c r="BL25" s="284">
        <v>-1.0351770901456003E-2</v>
      </c>
      <c r="BM25" s="284">
        <v>1.3259831839247394E-2</v>
      </c>
      <c r="BN25" s="284">
        <v>6.229941476307399E-3</v>
      </c>
      <c r="BO25" s="218">
        <v>1.3704588094831882E-2</v>
      </c>
      <c r="BP25" s="219">
        <v>-1.0202941102240404E-2</v>
      </c>
      <c r="BQ25" s="219">
        <v>1.3755071248748862E-2</v>
      </c>
      <c r="BR25" s="219">
        <v>1.8058723638074703E-3</v>
      </c>
      <c r="BS25" s="219">
        <v>1.370458809483166E-2</v>
      </c>
      <c r="BT25" s="219">
        <v>-9.2315995331549994E-3</v>
      </c>
      <c r="BU25" s="219">
        <v>1.3755071248748862E-2</v>
      </c>
      <c r="BV25" s="219"/>
      <c r="BW25" s="219"/>
      <c r="BX25" s="219"/>
      <c r="BY25" s="219"/>
      <c r="BZ25" s="219"/>
      <c r="CA25" s="219"/>
      <c r="CB25" s="219"/>
      <c r="CC25" s="219"/>
      <c r="CD25" s="219"/>
      <c r="CE25" s="219"/>
      <c r="CF25" s="219"/>
      <c r="CG25" s="219"/>
      <c r="CH25" s="219"/>
      <c r="CI25" s="219"/>
      <c r="CJ25" s="219"/>
      <c r="CK25" s="219"/>
      <c r="CL25" s="219"/>
      <c r="CM25" s="219"/>
      <c r="CN25" s="219"/>
      <c r="CO25" s="219"/>
      <c r="CP25" s="219"/>
      <c r="CQ25" s="219"/>
      <c r="CR25" s="219"/>
      <c r="CS25" s="219"/>
      <c r="CT25" s="219"/>
      <c r="CU25" s="219"/>
      <c r="CV25" s="220"/>
      <c r="CW25" s="221"/>
      <c r="CX25" s="203"/>
      <c r="CY25" s="203"/>
      <c r="CZ25" s="203"/>
      <c r="DA25" s="203"/>
      <c r="DB25" s="203">
        <v>-1.0419308479161393E-2</v>
      </c>
      <c r="DC25" s="203">
        <v>1.8153471584470005E-4</v>
      </c>
      <c r="DD25" s="203">
        <v>1.5683887981380096E-2</v>
      </c>
      <c r="DE25" s="203">
        <v>1.1121389227599421E-2</v>
      </c>
      <c r="DF25" s="291">
        <v>1.1841147728454127E-2</v>
      </c>
      <c r="DG25" s="291">
        <v>7.8804878299376657E-3</v>
      </c>
      <c r="DH25" s="291">
        <v>-5.3213178926766469E-3</v>
      </c>
      <c r="DI25" s="291">
        <v>6.5499005882714734E-2</v>
      </c>
      <c r="DJ25" s="291">
        <v>5.7076900880103754E-2</v>
      </c>
      <c r="DK25" s="291">
        <v>3.101939053130609E-2</v>
      </c>
      <c r="DL25" s="222">
        <v>2.847107000388327E-2</v>
      </c>
      <c r="DM25" s="223">
        <v>2.3500000000000298E-2</v>
      </c>
      <c r="DN25" s="223">
        <v>2.0000000000000018E-2</v>
      </c>
      <c r="DO25" s="224">
        <v>2.0000000000000018E-2</v>
      </c>
      <c r="DP25" s="224">
        <v>2.0000000000000018E-2</v>
      </c>
      <c r="DQ25" s="224">
        <v>2.0000000000000018E-2</v>
      </c>
      <c r="DR25" s="224">
        <v>2.0000000000000018E-2</v>
      </c>
      <c r="DS25" s="224">
        <v>2.0000000000000018E-2</v>
      </c>
      <c r="DT25" s="224">
        <v>2.0000000000000018E-2</v>
      </c>
      <c r="DU25" s="224">
        <v>2.0000000000000018E-2</v>
      </c>
      <c r="DV25" s="224">
        <v>2.0000000000000018E-2</v>
      </c>
      <c r="DW25" s="224">
        <v>2.0000000000000018E-2</v>
      </c>
      <c r="DX25" s="224">
        <v>2.0000000000000018E-2</v>
      </c>
      <c r="DY25" s="224">
        <v>2.0000000000000018E-2</v>
      </c>
      <c r="DZ25" s="224">
        <v>2.0000000000000018E-2</v>
      </c>
      <c r="EA25" s="224">
        <v>2.0000000000000018E-2</v>
      </c>
      <c r="EB25" s="224">
        <v>2.0000000000000018E-2</v>
      </c>
    </row>
    <row r="26" spans="1:132" x14ac:dyDescent="0.25">
      <c r="A26" s="234"/>
      <c r="B26" s="217"/>
      <c r="C26" s="217"/>
      <c r="D26" s="217"/>
      <c r="E26" s="217"/>
      <c r="F26" s="217"/>
      <c r="G26" s="217"/>
      <c r="H26" s="217"/>
      <c r="I26" s="217"/>
      <c r="J26" s="217"/>
      <c r="K26" s="217"/>
      <c r="L26" s="217"/>
      <c r="M26" s="217"/>
      <c r="N26" s="217"/>
      <c r="O26" s="217"/>
      <c r="P26" s="217"/>
      <c r="Q26" s="217"/>
      <c r="R26" s="217"/>
      <c r="S26" s="217"/>
      <c r="T26" s="217"/>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17"/>
      <c r="AS26" s="217"/>
      <c r="AT26" s="284"/>
      <c r="AU26" s="284"/>
      <c r="AV26" s="284"/>
      <c r="AW26" s="284"/>
      <c r="AX26" s="284"/>
      <c r="AY26" s="284"/>
      <c r="AZ26" s="284"/>
      <c r="BA26" s="284"/>
      <c r="BB26" s="284"/>
      <c r="BC26" s="284"/>
      <c r="BD26" s="284"/>
      <c r="BE26" s="284"/>
      <c r="BF26" s="284"/>
      <c r="BG26" s="284"/>
      <c r="BH26" s="284"/>
      <c r="BI26" s="284"/>
      <c r="BJ26" s="284"/>
      <c r="BK26" s="284"/>
      <c r="BL26" s="284"/>
      <c r="BM26" s="284"/>
      <c r="BN26" s="284"/>
      <c r="BO26" s="218"/>
      <c r="BP26" s="231"/>
      <c r="BQ26" s="231"/>
      <c r="BR26" s="231"/>
      <c r="BS26" s="231"/>
      <c r="BT26" s="231"/>
      <c r="BU26" s="231"/>
      <c r="BV26" s="231"/>
      <c r="BW26" s="231"/>
      <c r="BX26" s="231"/>
      <c r="BY26" s="231"/>
      <c r="BZ26" s="231"/>
      <c r="CA26" s="231"/>
      <c r="CB26" s="231"/>
      <c r="CC26" s="231"/>
      <c r="CD26" s="231"/>
      <c r="CE26" s="231"/>
      <c r="CF26" s="231"/>
      <c r="CG26" s="231"/>
      <c r="CH26" s="231"/>
      <c r="CI26" s="231"/>
      <c r="CJ26" s="231"/>
      <c r="CK26" s="231"/>
      <c r="CL26" s="231"/>
      <c r="CM26" s="231"/>
      <c r="CN26" s="231"/>
      <c r="CO26" s="231"/>
      <c r="CP26" s="231"/>
      <c r="CQ26" s="231"/>
      <c r="CR26" s="231"/>
      <c r="CS26" s="231"/>
      <c r="CT26" s="231"/>
      <c r="CU26" s="231"/>
      <c r="CV26" s="221"/>
      <c r="CW26" s="235"/>
      <c r="CX26" s="203"/>
      <c r="CY26" s="203"/>
      <c r="CZ26" s="203"/>
      <c r="DA26" s="203"/>
      <c r="DB26" s="203"/>
      <c r="DC26" s="203"/>
      <c r="DD26" s="203"/>
      <c r="DE26" s="203"/>
      <c r="DF26" s="291"/>
      <c r="DG26" s="291"/>
      <c r="DH26" s="291"/>
      <c r="DI26" s="291"/>
      <c r="DJ26" s="291"/>
      <c r="DK26" s="291"/>
      <c r="DL26" s="222"/>
      <c r="DM26" s="223"/>
      <c r="DN26" s="223"/>
      <c r="DO26" s="224"/>
      <c r="DP26" s="224"/>
      <c r="DQ26" s="224"/>
      <c r="DR26" s="224"/>
      <c r="DS26" s="224"/>
      <c r="DT26" s="224"/>
      <c r="DU26" s="224"/>
      <c r="DV26" s="224"/>
      <c r="DW26" s="224"/>
      <c r="DX26" s="224"/>
      <c r="DY26" s="224"/>
      <c r="DZ26" s="224"/>
      <c r="EA26" s="224"/>
      <c r="EB26" s="224"/>
    </row>
    <row r="27" spans="1:132" x14ac:dyDescent="0.25">
      <c r="A27" s="209" t="s">
        <v>245</v>
      </c>
      <c r="B27" s="217"/>
      <c r="C27" s="217"/>
      <c r="D27" s="217"/>
      <c r="E27" s="217"/>
      <c r="F27" s="217">
        <v>1.8034887158766111E-2</v>
      </c>
      <c r="G27" s="217">
        <v>2.3620522749273842E-2</v>
      </c>
      <c r="H27" s="217">
        <v>4.8704369207490217E-2</v>
      </c>
      <c r="I27" s="217">
        <v>9.8295608260439149E-3</v>
      </c>
      <c r="J27" s="217">
        <v>-4.8222896945884219E-3</v>
      </c>
      <c r="K27" s="217">
        <v>-9.2426417803301852E-3</v>
      </c>
      <c r="L27" s="217">
        <v>-6.0682909156779541E-3</v>
      </c>
      <c r="M27" s="217">
        <v>-2.3692363768907931E-3</v>
      </c>
      <c r="N27" s="217">
        <v>-9.1340884179835768E-5</v>
      </c>
      <c r="O27" s="217">
        <v>-3.3799214396639243E-3</v>
      </c>
      <c r="P27" s="217">
        <v>5.5912007332721281E-3</v>
      </c>
      <c r="Q27" s="217">
        <v>-3.4636769665481459E-3</v>
      </c>
      <c r="R27" s="217">
        <v>9.695417543217788E-3</v>
      </c>
      <c r="S27" s="217">
        <v>2.7176374671622483E-4</v>
      </c>
      <c r="T27" s="217">
        <v>-8.6035138561855184E-3</v>
      </c>
      <c r="U27" s="217">
        <v>-0.13172558691879055</v>
      </c>
      <c r="V27" s="217">
        <v>2.0410310362966921E-2</v>
      </c>
      <c r="W27" s="217">
        <v>2.0620682544592261E-2</v>
      </c>
      <c r="X27" s="217">
        <v>1.1112233558945528E-2</v>
      </c>
      <c r="Y27" s="217">
        <v>-1.6984713757618453E-3</v>
      </c>
      <c r="Z27" s="217">
        <v>2.0016012810253336E-4</v>
      </c>
      <c r="AA27" s="217">
        <v>6.0036021612974722E-4</v>
      </c>
      <c r="AB27" s="217">
        <v>-7.8000000000000291E-3</v>
      </c>
      <c r="AC27" s="217">
        <v>-1.0078613182825658E-3</v>
      </c>
      <c r="AD27" s="217">
        <v>-2.6230831315577907E-3</v>
      </c>
      <c r="AE27" s="217">
        <v>2.6299817924337887E-3</v>
      </c>
      <c r="AF27" s="217">
        <v>4.842615012106366E-3</v>
      </c>
      <c r="AG27" s="217">
        <v>2.7108433734941428E-3</v>
      </c>
      <c r="AH27" s="217">
        <v>5.5071593070992186E-3</v>
      </c>
      <c r="AI27" s="217">
        <v>4.5807608046204429E-3</v>
      </c>
      <c r="AJ27" s="217">
        <v>3.5685963521014941E-3</v>
      </c>
      <c r="AK27" s="217">
        <v>1.1951797708415812E-2</v>
      </c>
      <c r="AL27" s="217">
        <v>5.8565153733527442E-3</v>
      </c>
      <c r="AM27" s="217">
        <v>-1.9408054342551218E-4</v>
      </c>
      <c r="AN27" s="217">
        <v>4.3676599048820819E-3</v>
      </c>
      <c r="AO27" s="217">
        <v>1.0050251256281229E-2</v>
      </c>
      <c r="AP27" s="217">
        <v>-9.5675468809730546E-5</v>
      </c>
      <c r="AQ27" s="217">
        <v>9.7598315950626624E-3</v>
      </c>
      <c r="AR27" s="217">
        <v>5.3065479010707683E-3</v>
      </c>
      <c r="AS27" s="217">
        <v>1.8851918182671845E-4</v>
      </c>
      <c r="AT27" s="284">
        <v>3.6754311563471642E-3</v>
      </c>
      <c r="AU27" s="284">
        <v>-6.0093896713615536E-3</v>
      </c>
      <c r="AV27" s="284">
        <v>5.1955412809370216E-3</v>
      </c>
      <c r="AW27" s="284">
        <v>6.1084484540927519E-3</v>
      </c>
      <c r="AX27" s="284">
        <v>-6.6411358116943764E-2</v>
      </c>
      <c r="AY27" s="284">
        <v>8.1040520260129423E-3</v>
      </c>
      <c r="AZ27" s="284">
        <v>7.0464470027788995E-3</v>
      </c>
      <c r="BA27" s="284">
        <v>1.8034887158766111E-2</v>
      </c>
      <c r="BB27" s="284">
        <v>2.3620522749273842E-2</v>
      </c>
      <c r="BC27" s="284">
        <v>4.8704369207490217E-2</v>
      </c>
      <c r="BD27" s="284">
        <v>9.8295608260439149E-3</v>
      </c>
      <c r="BE27" s="284">
        <v>-4.8222896945884219E-3</v>
      </c>
      <c r="BF27" s="284">
        <v>-9.2426417803301852E-3</v>
      </c>
      <c r="BG27" s="284">
        <v>4.8704369207490217E-2</v>
      </c>
      <c r="BH27" s="284">
        <v>9.8295608260439149E-3</v>
      </c>
      <c r="BI27" s="284">
        <v>-4.8222896945884219E-3</v>
      </c>
      <c r="BJ27" s="284">
        <v>-9.2426417803301852E-3</v>
      </c>
      <c r="BK27" s="284">
        <v>4.8704369207490217E-2</v>
      </c>
      <c r="BL27" s="284">
        <v>9.8295608260439149E-3</v>
      </c>
      <c r="BM27" s="284">
        <v>-4.8222896945883109E-3</v>
      </c>
      <c r="BN27" s="284">
        <v>-9.2426417803302963E-3</v>
      </c>
      <c r="BO27" s="218">
        <v>4.8704369207490217E-2</v>
      </c>
      <c r="BP27" s="231">
        <v>7.4415315673749035E-3</v>
      </c>
      <c r="BQ27" s="231">
        <v>2.9374550811017476E-3</v>
      </c>
      <c r="BR27" s="231">
        <v>-1.1520137554396626E-2</v>
      </c>
      <c r="BS27" s="231">
        <v>2.9641553995424407E-2</v>
      </c>
      <c r="BT27" s="231">
        <v>8.3461341523695335E-3</v>
      </c>
      <c r="BU27" s="231">
        <v>1.9352933058187417E-3</v>
      </c>
      <c r="BV27" s="231"/>
      <c r="BW27" s="231"/>
      <c r="BX27" s="231"/>
      <c r="BY27" s="231"/>
      <c r="BZ27" s="231"/>
      <c r="CA27" s="231"/>
      <c r="CB27" s="231"/>
      <c r="CC27" s="231"/>
      <c r="CD27" s="231"/>
      <c r="CE27" s="231"/>
      <c r="CF27" s="231"/>
      <c r="CG27" s="231"/>
      <c r="CH27" s="231"/>
      <c r="CI27" s="231"/>
      <c r="CJ27" s="231"/>
      <c r="CK27" s="231"/>
      <c r="CL27" s="231"/>
      <c r="CM27" s="231"/>
      <c r="CN27" s="231"/>
      <c r="CO27" s="231"/>
      <c r="CP27" s="231"/>
      <c r="CQ27" s="231"/>
      <c r="CR27" s="231"/>
      <c r="CS27" s="231"/>
      <c r="CT27" s="231"/>
      <c r="CU27" s="231"/>
      <c r="CV27" s="221"/>
      <c r="CW27" s="221"/>
      <c r="CX27" s="203"/>
      <c r="CY27" s="203"/>
      <c r="CZ27" s="203"/>
      <c r="DA27" s="203"/>
      <c r="DB27" s="203">
        <v>5.1236191478169379E-2</v>
      </c>
      <c r="DC27" s="203">
        <v>-8.0064051240992251E-3</v>
      </c>
      <c r="DD27" s="203">
        <v>7.5665859564164606E-3</v>
      </c>
      <c r="DE27" s="203">
        <v>2.5833583658756432E-2</v>
      </c>
      <c r="DF27" s="291">
        <v>2.0204978038067312E-2</v>
      </c>
      <c r="DG27" s="291">
        <v>1.5212399540757815E-2</v>
      </c>
      <c r="DH27" s="291">
        <v>8.9529733295636849E-3</v>
      </c>
      <c r="DI27" s="291">
        <v>-3.5120493181393653E-2</v>
      </c>
      <c r="DJ27" s="291">
        <v>7.8799612778315486E-2</v>
      </c>
      <c r="DK27" s="291">
        <v>4.4164932854170669E-2</v>
      </c>
      <c r="DL27" s="222">
        <v>4.4164932854170669E-2</v>
      </c>
      <c r="DM27" s="223">
        <v>4.9818169531179235E-2</v>
      </c>
      <c r="DN27" s="223">
        <v>2.8260611703308625E-2</v>
      </c>
      <c r="DO27" s="224">
        <v>2.8260611703308625E-2</v>
      </c>
      <c r="DP27" s="224">
        <v>2.8260611703308625E-2</v>
      </c>
      <c r="DQ27" s="224">
        <v>2.8260611703308625E-2</v>
      </c>
      <c r="DR27" s="224">
        <v>2.8260611703308625E-2</v>
      </c>
      <c r="DS27" s="224">
        <v>2.8260611703308625E-2</v>
      </c>
      <c r="DT27" s="224">
        <v>2.8260611703308625E-2</v>
      </c>
      <c r="DU27" s="224">
        <v>2.8260611703308625E-2</v>
      </c>
      <c r="DV27" s="224">
        <v>2.8260611703308625E-2</v>
      </c>
      <c r="DW27" s="224">
        <v>2.8260611703308625E-2</v>
      </c>
      <c r="DX27" s="224">
        <v>2.8260611703308625E-2</v>
      </c>
      <c r="DY27" s="224">
        <v>2.8260611703308625E-2</v>
      </c>
      <c r="DZ27" s="224">
        <v>2.8260611703308625E-2</v>
      </c>
      <c r="EA27" s="224">
        <v>2.8260611703308625E-2</v>
      </c>
      <c r="EB27" s="224">
        <v>2.8260611703308625E-2</v>
      </c>
    </row>
    <row r="28" spans="1:132" x14ac:dyDescent="0.25">
      <c r="A28" s="209" t="s">
        <v>246</v>
      </c>
      <c r="B28" s="217"/>
      <c r="C28" s="217"/>
      <c r="D28" s="217"/>
      <c r="E28" s="217"/>
      <c r="F28" s="217">
        <v>8.899999999999908E-3</v>
      </c>
      <c r="G28" s="217">
        <v>6.9382495787495557E-4</v>
      </c>
      <c r="H28" s="217">
        <v>1.4857369255150132E-3</v>
      </c>
      <c r="I28" s="217">
        <v>1.0088022945307085E-2</v>
      </c>
      <c r="J28" s="217">
        <v>1.4687163419171645E-2</v>
      </c>
      <c r="K28" s="217">
        <v>3.5317958120235637E-2</v>
      </c>
      <c r="L28" s="217">
        <v>1.0252586447945244E-3</v>
      </c>
      <c r="M28" s="217">
        <v>-1.0242085661079647E-3</v>
      </c>
      <c r="N28" s="217">
        <v>8.1088638270108149E-3</v>
      </c>
      <c r="O28" s="217">
        <v>-2.0340236686390289E-3</v>
      </c>
      <c r="P28" s="217">
        <v>2.7793218454696955E-3</v>
      </c>
      <c r="Q28" s="217">
        <v>-1.0162601626015899E-3</v>
      </c>
      <c r="R28" s="217">
        <v>1.303985942846575E-2</v>
      </c>
      <c r="S28" s="217">
        <v>-5.7513237173636433E-3</v>
      </c>
      <c r="T28" s="217">
        <v>1.3772839959600436E-3</v>
      </c>
      <c r="U28" s="217">
        <v>-7.335411699981309E-4</v>
      </c>
      <c r="V28" s="217">
        <v>9.2677555514772969E-3</v>
      </c>
      <c r="W28" s="217">
        <v>1.454677697972695E-3</v>
      </c>
      <c r="X28" s="217">
        <v>6.8996822514750811E-3</v>
      </c>
      <c r="Y28" s="217">
        <v>-1.2713010549093795E-2</v>
      </c>
      <c r="Z28" s="217">
        <v>-3.6529680365297024E-3</v>
      </c>
      <c r="AA28" s="217">
        <v>1.2832263978002079E-3</v>
      </c>
      <c r="AB28" s="217">
        <v>-7.5979494690588956E-3</v>
      </c>
      <c r="AC28" s="217">
        <v>2.0293330873535576E-2</v>
      </c>
      <c r="AD28" s="217">
        <v>-2.62182442817116E-3</v>
      </c>
      <c r="AE28" s="217">
        <v>-7.2516316171133965E-4</v>
      </c>
      <c r="AF28" s="217">
        <v>-6.6219158200289119E-3</v>
      </c>
      <c r="AG28" s="217">
        <v>6.3921103095609944E-4</v>
      </c>
      <c r="AH28" s="217">
        <v>1.2228508851980235E-2</v>
      </c>
      <c r="AI28" s="217">
        <v>3.0652722683015554E-3</v>
      </c>
      <c r="AJ28" s="217">
        <v>-3.5951824555102707E-4</v>
      </c>
      <c r="AK28" s="217">
        <v>5.3048012947312095E-3</v>
      </c>
      <c r="AL28" s="217">
        <v>1.0732492621412515E-3</v>
      </c>
      <c r="AM28" s="217">
        <v>2.9482712409540923E-3</v>
      </c>
      <c r="AN28" s="217">
        <v>4.4539461963299942E-3</v>
      </c>
      <c r="AO28" s="217">
        <v>-4.07946080170285E-3</v>
      </c>
      <c r="AP28" s="217">
        <v>3.4728406055208882E-3</v>
      </c>
      <c r="AQ28" s="217">
        <v>1.419824296743144E-3</v>
      </c>
      <c r="AR28" s="217">
        <v>-7.6207354895879709E-3</v>
      </c>
      <c r="AS28" s="217">
        <v>2.6788106080901652E-3</v>
      </c>
      <c r="AT28" s="284">
        <v>-1.7811025024490057E-3</v>
      </c>
      <c r="AU28" s="284">
        <v>4.4607012222321885E-3</v>
      </c>
      <c r="AV28" s="284">
        <v>-9.14823696598277E-3</v>
      </c>
      <c r="AW28" s="284">
        <v>5.7368232341341585E-3</v>
      </c>
      <c r="AX28" s="284">
        <v>1.6755793226381321E-2</v>
      </c>
      <c r="AY28" s="284">
        <v>1.2535063113604528E-2</v>
      </c>
      <c r="AZ28" s="284">
        <v>1.3765041987706672E-2</v>
      </c>
      <c r="BA28" s="284">
        <v>1.6737830913748919E-2</v>
      </c>
      <c r="BB28" s="284">
        <v>2.2173693935830574E-2</v>
      </c>
      <c r="BC28" s="284">
        <v>2.3007395234182493E-2</v>
      </c>
      <c r="BD28" s="284">
        <v>1.1244979919678766E-2</v>
      </c>
      <c r="BE28" s="284">
        <v>1.4853057982525675E-2</v>
      </c>
      <c r="BF28" s="284">
        <v>1.0252797996399998E-2</v>
      </c>
      <c r="BG28" s="284">
        <v>7.747133560582764E-4</v>
      </c>
      <c r="BH28" s="284">
        <v>3.7931568354232503E-3</v>
      </c>
      <c r="BI28" s="284">
        <v>-2.5449217243771471E-3</v>
      </c>
      <c r="BJ28" s="284">
        <v>5.7213545693521883E-3</v>
      </c>
      <c r="BK28" s="284">
        <v>7.7644526445264095E-3</v>
      </c>
      <c r="BL28" s="284">
        <v>-5.1109924479366686E-3</v>
      </c>
      <c r="BM28" s="284">
        <v>-5.4439503143688395E-3</v>
      </c>
      <c r="BN28" s="284">
        <v>4.2402282013722647E-3</v>
      </c>
      <c r="BO28" s="218">
        <v>4.6061722708430342E-3</v>
      </c>
      <c r="BP28" s="231">
        <v>2.4068412574475896E-3</v>
      </c>
      <c r="BQ28" s="231">
        <v>7.4923202028243539E-3</v>
      </c>
      <c r="BR28" s="231">
        <v>1.0624507445103015E-2</v>
      </c>
      <c r="BS28" s="231">
        <v>9.7084651141207783E-3</v>
      </c>
      <c r="BT28" s="231">
        <v>2.9087898657778498E-3</v>
      </c>
      <c r="BU28" s="231">
        <v>5.8677680183325531E-3</v>
      </c>
      <c r="BV28" s="231"/>
      <c r="BW28" s="231"/>
      <c r="BX28" s="231"/>
      <c r="BY28" s="231"/>
      <c r="BZ28" s="231"/>
      <c r="CA28" s="231"/>
      <c r="CB28" s="231"/>
      <c r="CC28" s="231"/>
      <c r="CD28" s="231"/>
      <c r="CE28" s="231"/>
      <c r="CF28" s="231"/>
      <c r="CG28" s="231"/>
      <c r="CH28" s="231"/>
      <c r="CI28" s="231"/>
      <c r="CJ28" s="231"/>
      <c r="CK28" s="231"/>
      <c r="CL28" s="231"/>
      <c r="CM28" s="231"/>
      <c r="CN28" s="231"/>
      <c r="CO28" s="231"/>
      <c r="CP28" s="231"/>
      <c r="CQ28" s="231"/>
      <c r="CR28" s="231"/>
      <c r="CS28" s="231"/>
      <c r="CT28" s="231"/>
      <c r="CU28" s="231"/>
      <c r="CV28" s="221"/>
      <c r="CW28" s="221"/>
      <c r="CX28" s="203"/>
      <c r="CY28" s="203"/>
      <c r="CZ28" s="203"/>
      <c r="DA28" s="203"/>
      <c r="DB28" s="203">
        <v>4.7715177096714356E-3</v>
      </c>
      <c r="DC28" s="203">
        <v>1.0136986301369832E-2</v>
      </c>
      <c r="DD28" s="203">
        <v>-9.3119971069524077E-3</v>
      </c>
      <c r="DE28" s="203">
        <v>2.0350428910385077E-2</v>
      </c>
      <c r="DF28" s="291">
        <v>4.3824344870762033E-3</v>
      </c>
      <c r="DG28" s="291">
        <v>-8.9047195013236546E-5</v>
      </c>
      <c r="DH28" s="291">
        <v>-8.0149612610214138E-4</v>
      </c>
      <c r="DI28" s="291">
        <v>6.114081996434928E-2</v>
      </c>
      <c r="DJ28" s="291">
        <v>7.3156391735259563E-2</v>
      </c>
      <c r="DK28" s="291">
        <v>1.2287704468967764E-2</v>
      </c>
      <c r="DL28" s="222">
        <v>2.8606772846759831E-3</v>
      </c>
      <c r="DM28" s="223">
        <v>1.887105114655907E-2</v>
      </c>
      <c r="DN28" s="223">
        <v>2.9409453805224084E-2</v>
      </c>
      <c r="DO28" s="224">
        <v>2.9409453805224084E-2</v>
      </c>
      <c r="DP28" s="224">
        <v>2.9409453805224084E-2</v>
      </c>
      <c r="DQ28" s="224">
        <v>2.9409453805224084E-2</v>
      </c>
      <c r="DR28" s="224">
        <v>2.9409453805224084E-2</v>
      </c>
      <c r="DS28" s="224">
        <v>2.9409453805224084E-2</v>
      </c>
      <c r="DT28" s="224">
        <v>2.9409453805224084E-2</v>
      </c>
      <c r="DU28" s="224">
        <v>2.9409453805224084E-2</v>
      </c>
      <c r="DV28" s="224">
        <v>2.9409453805224084E-2</v>
      </c>
      <c r="DW28" s="224">
        <v>2.9409453805224084E-2</v>
      </c>
      <c r="DX28" s="224">
        <v>2.9409453805224084E-2</v>
      </c>
      <c r="DY28" s="224">
        <v>2.9409453805224084E-2</v>
      </c>
      <c r="DZ28" s="224">
        <v>2.9409453805224084E-2</v>
      </c>
      <c r="EA28" s="224">
        <v>2.9409453805224084E-2</v>
      </c>
      <c r="EB28" s="224">
        <v>2.9409453805224084E-2</v>
      </c>
    </row>
    <row r="29" spans="1:132" s="577" customFormat="1" ht="11.25" x14ac:dyDescent="0.25">
      <c r="A29" s="209" t="s">
        <v>247</v>
      </c>
      <c r="B29" s="217"/>
      <c r="C29" s="217"/>
      <c r="D29" s="217"/>
      <c r="E29" s="217"/>
      <c r="F29" s="217">
        <v>-0.69661258495943867</v>
      </c>
      <c r="G29" s="217">
        <v>3.0713640469737236E-3</v>
      </c>
      <c r="H29" s="217">
        <v>7.0244956772334E-3</v>
      </c>
      <c r="I29" s="217">
        <v>1.3950992666786011E-2</v>
      </c>
      <c r="J29" s="217">
        <v>2.3990121714588142E-2</v>
      </c>
      <c r="K29" s="217">
        <v>1.7915590008613425E-2</v>
      </c>
      <c r="L29" s="217">
        <v>1.4892536808258416E-2</v>
      </c>
      <c r="M29" s="217">
        <v>3.8352509588128747E-3</v>
      </c>
      <c r="N29" s="217">
        <v>9.302325581395321E-3</v>
      </c>
      <c r="O29" s="217">
        <v>6.2541145490455641E-3</v>
      </c>
      <c r="P29" s="217">
        <v>1.2921164540399044E-2</v>
      </c>
      <c r="Q29" s="217">
        <v>5.6515420636202851E-3</v>
      </c>
      <c r="R29" s="217">
        <v>1.7822736030828512E-2</v>
      </c>
      <c r="S29" s="217">
        <v>1.0727244044801854E-2</v>
      </c>
      <c r="T29" s="217">
        <v>7.335726549087207E-3</v>
      </c>
      <c r="U29" s="217">
        <v>7.2823055469475317E-3</v>
      </c>
      <c r="V29" s="217">
        <v>6.7681895093061328E-3</v>
      </c>
      <c r="W29" s="217">
        <v>9.6256684491977662E-3</v>
      </c>
      <c r="X29" s="217">
        <v>1.0441888619854733E-2</v>
      </c>
      <c r="Y29" s="217">
        <v>2.3962857570767326E-3</v>
      </c>
      <c r="Z29" s="217">
        <v>1.64350814283587E-3</v>
      </c>
      <c r="AA29" s="217">
        <v>9.0990453460619847E-3</v>
      </c>
      <c r="AB29" s="217">
        <v>5.4693274205468434E-3</v>
      </c>
      <c r="AC29" s="217">
        <v>1.411349603057932E-2</v>
      </c>
      <c r="AD29" s="217">
        <v>1.3337199188170556E-2</v>
      </c>
      <c r="AE29" s="217">
        <v>1.0729613733905685E-2</v>
      </c>
      <c r="AF29" s="217">
        <v>6.652512384996534E-3</v>
      </c>
      <c r="AG29" s="217">
        <v>1.0967379077615247E-2</v>
      </c>
      <c r="AH29" s="217">
        <v>1.0987482614742694E-2</v>
      </c>
      <c r="AI29" s="217">
        <v>1.4307332507910386E-2</v>
      </c>
      <c r="AJ29" s="217">
        <v>6.6458700664586701E-3</v>
      </c>
      <c r="AK29" s="217">
        <v>2.3713284828887238E-2</v>
      </c>
      <c r="AL29" s="217">
        <v>-3.6851803106080494E-3</v>
      </c>
      <c r="AM29" s="217">
        <v>1.0964332892998696E-2</v>
      </c>
      <c r="AN29" s="217">
        <v>1.3981445184894747E-2</v>
      </c>
      <c r="AO29" s="217">
        <v>1.8041237113401998E-3</v>
      </c>
      <c r="AP29" s="217">
        <v>1.4406997684589751E-2</v>
      </c>
      <c r="AQ29" s="217">
        <v>1.6992137966015841E-2</v>
      </c>
      <c r="AR29" s="217">
        <v>-1.4962593516209544E-2</v>
      </c>
      <c r="AS29" s="217">
        <v>1.7468354430379751E-2</v>
      </c>
      <c r="AT29" s="284">
        <v>-1.6173177407314832E-3</v>
      </c>
      <c r="AU29" s="284">
        <v>2.3302180685358387E-2</v>
      </c>
      <c r="AV29" s="284">
        <v>9.7418412079883776E-3</v>
      </c>
      <c r="AW29" s="284">
        <v>1.6160154365653767E-2</v>
      </c>
      <c r="AX29" s="284">
        <v>8.0702587230001566E-3</v>
      </c>
      <c r="AY29" s="284">
        <v>4.5914763362373545E-3</v>
      </c>
      <c r="AZ29" s="284">
        <v>7.5002929801946117E-3</v>
      </c>
      <c r="BA29" s="284">
        <v>1.0236128882168183E-2</v>
      </c>
      <c r="BB29" s="284">
        <v>1.8767990788716382E-2</v>
      </c>
      <c r="BC29" s="284">
        <v>3.7183544303797333E-2</v>
      </c>
      <c r="BD29" s="284">
        <v>2.1357742181540962E-2</v>
      </c>
      <c r="BE29" s="284">
        <v>1.2162594686866646E-2</v>
      </c>
      <c r="BF29" s="284">
        <v>1.3913776747127571E-2</v>
      </c>
      <c r="BG29" s="284">
        <v>1.1435700176734009E-3</v>
      </c>
      <c r="BH29" s="284">
        <v>1.9003115264797588E-2</v>
      </c>
      <c r="BI29" s="284">
        <v>7.1333944767146829E-3</v>
      </c>
      <c r="BJ29" s="284">
        <v>4.7556409996964977E-3</v>
      </c>
      <c r="BK29" s="284">
        <v>4.8338368580060909E-3</v>
      </c>
      <c r="BL29" s="284">
        <v>4.2092603728203226E-3</v>
      </c>
      <c r="BM29" s="284">
        <v>3.0938123752495272E-3</v>
      </c>
      <c r="BN29" s="284">
        <v>3.4822405730772221E-3</v>
      </c>
      <c r="BO29" s="218">
        <v>6.9403133055720989E-3</v>
      </c>
      <c r="BP29" s="231">
        <v>8.5280796236623987E-3</v>
      </c>
      <c r="BQ29" s="231">
        <v>1.2632125368356607E-2</v>
      </c>
      <c r="BR29" s="231">
        <v>8.7780699035618255E-3</v>
      </c>
      <c r="BS29" s="231">
        <v>1.4210921640214513E-2</v>
      </c>
      <c r="BT29" s="231">
        <v>1.2362450401468373E-2</v>
      </c>
      <c r="BU29" s="231">
        <v>9.7572169573305612E-3</v>
      </c>
      <c r="BV29" s="231"/>
      <c r="BW29" s="231"/>
      <c r="BX29" s="231"/>
      <c r="BY29" s="231"/>
      <c r="BZ29" s="231"/>
      <c r="CA29" s="231"/>
      <c r="CB29" s="231"/>
      <c r="CC29" s="231"/>
      <c r="CD29" s="231"/>
      <c r="CE29" s="231"/>
      <c r="CF29" s="231"/>
      <c r="CG29" s="231"/>
      <c r="CH29" s="231"/>
      <c r="CI29" s="231"/>
      <c r="CJ29" s="231"/>
      <c r="CK29" s="231"/>
      <c r="CL29" s="231"/>
      <c r="CM29" s="231"/>
      <c r="CN29" s="231"/>
      <c r="CO29" s="231"/>
      <c r="CP29" s="231"/>
      <c r="CQ29" s="231"/>
      <c r="CR29" s="231"/>
      <c r="CS29" s="231"/>
      <c r="CT29" s="231"/>
      <c r="CU29" s="231"/>
      <c r="CV29" s="221"/>
      <c r="CW29" s="221"/>
      <c r="CX29" s="203"/>
      <c r="CY29" s="203"/>
      <c r="CZ29" s="203"/>
      <c r="DA29" s="203"/>
      <c r="DB29" s="203">
        <v>2.9533917858791003E-2</v>
      </c>
      <c r="DC29" s="203">
        <v>3.0629015389212588E-2</v>
      </c>
      <c r="DD29" s="203">
        <v>4.2331110466802047E-2</v>
      </c>
      <c r="DE29" s="203">
        <v>5.674547983310152E-2</v>
      </c>
      <c r="DF29" s="291">
        <v>2.3163990523821898E-2</v>
      </c>
      <c r="DG29" s="291">
        <v>3.3959351685104222E-2</v>
      </c>
      <c r="DH29" s="291">
        <v>4.8270714107987223E-2</v>
      </c>
      <c r="DI29" s="291">
        <v>3.0738191312603691E-2</v>
      </c>
      <c r="DJ29" s="291">
        <v>9.2343120322395E-2</v>
      </c>
      <c r="DK29" s="291">
        <v>4.1741330241382935E-2</v>
      </c>
      <c r="DL29" s="222">
        <v>1.6998886977638517E-2</v>
      </c>
      <c r="DM29" s="223">
        <v>3.193683465732633E-2</v>
      </c>
      <c r="DN29" s="223">
        <v>4.5868082679456412E-2</v>
      </c>
      <c r="DO29" s="224">
        <v>4.5868082679456412E-2</v>
      </c>
      <c r="DP29" s="224">
        <v>4.5868082679456412E-2</v>
      </c>
      <c r="DQ29" s="224">
        <v>4.5868082679456412E-2</v>
      </c>
      <c r="DR29" s="224">
        <v>4.5868082679456412E-2</v>
      </c>
      <c r="DS29" s="224">
        <v>4.5868082679456412E-2</v>
      </c>
      <c r="DT29" s="224">
        <v>4.5868082679456412E-2</v>
      </c>
      <c r="DU29" s="224">
        <v>4.5868082679456412E-2</v>
      </c>
      <c r="DV29" s="224">
        <v>4.5868082679456412E-2</v>
      </c>
      <c r="DW29" s="224">
        <v>4.5868082679456412E-2</v>
      </c>
      <c r="DX29" s="224">
        <v>4.5868082679456412E-2</v>
      </c>
      <c r="DY29" s="224">
        <v>4.5868082679456412E-2</v>
      </c>
      <c r="DZ29" s="224">
        <v>4.5868082679456412E-2</v>
      </c>
      <c r="EA29" s="224">
        <v>4.5868082679456412E-2</v>
      </c>
      <c r="EB29" s="224">
        <v>4.5868082679456412E-2</v>
      </c>
    </row>
    <row r="30" spans="1:132" s="577" customFormat="1" ht="11.25" x14ac:dyDescent="0.25">
      <c r="A30" s="209" t="s">
        <v>248</v>
      </c>
      <c r="B30" s="217"/>
      <c r="C30" s="217"/>
      <c r="D30" s="217"/>
      <c r="E30" s="217"/>
      <c r="F30" s="217">
        <v>1.7387218045112673E-2</v>
      </c>
      <c r="G30" s="217">
        <v>1.1085450346420389E-2</v>
      </c>
      <c r="H30" s="217">
        <v>1.6902695294654935E-2</v>
      </c>
      <c r="I30" s="217">
        <v>1.7969451931716174E-2</v>
      </c>
      <c r="J30" s="217">
        <v>1.8534863195057483E-2</v>
      </c>
      <c r="K30" s="217">
        <v>2.1663778162911651E-2</v>
      </c>
      <c r="L30" s="217">
        <v>8.4817642069550114E-3</v>
      </c>
      <c r="M30" s="217">
        <v>6.307821698906535E-3</v>
      </c>
      <c r="N30" s="217">
        <v>1.9222732971165835E-2</v>
      </c>
      <c r="O30" s="217">
        <v>1.2300123001230068E-2</v>
      </c>
      <c r="P30" s="217">
        <v>1.4175779667881638E-2</v>
      </c>
      <c r="Q30" s="217">
        <v>7.1884984025558651E-3</v>
      </c>
      <c r="R30" s="217">
        <v>2.1015067406820132E-2</v>
      </c>
      <c r="S30" s="217">
        <v>9.3203883495145412E-3</v>
      </c>
      <c r="T30" s="217">
        <v>1.1158137745286734E-2</v>
      </c>
      <c r="U30" s="217">
        <v>6.8493150684931781E-3</v>
      </c>
      <c r="V30" s="217">
        <v>2.9478458049886358E-2</v>
      </c>
      <c r="W30" s="217">
        <v>1.3582966226138193E-2</v>
      </c>
      <c r="X30" s="217">
        <v>1.0141253169141384E-2</v>
      </c>
      <c r="Y30" s="217">
        <v>3.9440659734673034E-3</v>
      </c>
      <c r="Z30" s="217">
        <v>9.2857142857143415E-3</v>
      </c>
      <c r="AA30" s="217">
        <v>1.2384996461429543E-2</v>
      </c>
      <c r="AB30" s="217">
        <v>1.747640685075158E-3</v>
      </c>
      <c r="AC30" s="217">
        <v>0</v>
      </c>
      <c r="AD30" s="217">
        <v>1.046755059316129E-2</v>
      </c>
      <c r="AE30" s="217">
        <v>1.2085635359116109E-2</v>
      </c>
      <c r="AF30" s="217">
        <v>6.1412487205729782E-3</v>
      </c>
      <c r="AG30" s="217">
        <v>4.0691759918618509E-3</v>
      </c>
      <c r="AH30" s="217">
        <v>1.6548463356973908E-2</v>
      </c>
      <c r="AI30" s="217">
        <v>9.302325581395321E-3</v>
      </c>
      <c r="AJ30" s="217">
        <v>6.254114549045342E-3</v>
      </c>
      <c r="AK30" s="217">
        <v>1.4393195943735781E-2</v>
      </c>
      <c r="AL30" s="217">
        <v>1.2899064817800676E-2</v>
      </c>
      <c r="AM30" s="217">
        <v>7.3225087551733736E-3</v>
      </c>
      <c r="AN30" s="217">
        <v>8.5335018963339504E-3</v>
      </c>
      <c r="AO30" s="217">
        <v>1.2848636790974588E-2</v>
      </c>
      <c r="AP30" s="217">
        <v>1.2066831683168466E-2</v>
      </c>
      <c r="AQ30" s="217">
        <v>1.3757260776520841E-2</v>
      </c>
      <c r="AR30" s="217">
        <v>4.8250904704463249E-3</v>
      </c>
      <c r="AS30" s="217">
        <v>9.6038415366146435E-3</v>
      </c>
      <c r="AT30" s="284">
        <v>1.0107015457788471E-2</v>
      </c>
      <c r="AU30" s="284">
        <v>1.7657445556209517E-3</v>
      </c>
      <c r="AV30" s="284">
        <v>1.2044653349001289E-2</v>
      </c>
      <c r="AW30" s="284">
        <v>1.5674891146589154E-2</v>
      </c>
      <c r="AX30" s="284">
        <v>9.4312660760218492E-3</v>
      </c>
      <c r="AY30" s="284">
        <v>8.7768969422423737E-3</v>
      </c>
      <c r="AZ30" s="284">
        <v>1.1507156890260939E-2</v>
      </c>
      <c r="BA30" s="284">
        <v>2.2475027746947873E-2</v>
      </c>
      <c r="BB30" s="284">
        <v>2.5237449118046262E-2</v>
      </c>
      <c r="BC30" s="284">
        <v>3.9438856537850731E-2</v>
      </c>
      <c r="BD30" s="284">
        <v>9.931245225363039E-3</v>
      </c>
      <c r="BE30" s="284">
        <v>2.0171457387796243E-2</v>
      </c>
      <c r="BF30" s="284">
        <v>1.8289668808699977E-2</v>
      </c>
      <c r="BG30" s="284">
        <v>6.553398058252391E-3</v>
      </c>
      <c r="BH30" s="284">
        <v>1.4950566674704513E-2</v>
      </c>
      <c r="BI30" s="284">
        <v>1.1166547873604271E-2</v>
      </c>
      <c r="BJ30" s="284">
        <v>1.4097744360902276E-2</v>
      </c>
      <c r="BK30" s="284">
        <v>7.6459684893419588E-3</v>
      </c>
      <c r="BL30" s="284">
        <v>1.1266957921361342E-2</v>
      </c>
      <c r="BM30" s="284">
        <v>5.2296498408368475E-3</v>
      </c>
      <c r="BN30" s="284">
        <v>2.013119203800029E-2</v>
      </c>
      <c r="BO30" s="218">
        <v>9.3126385809312318E-3</v>
      </c>
      <c r="BP30" s="231">
        <v>1.0651742521955221E-2</v>
      </c>
      <c r="BQ30" s="231">
        <v>1.5818353138310436E-2</v>
      </c>
      <c r="BR30" s="231">
        <v>1.5432628764291767E-2</v>
      </c>
      <c r="BS30" s="231">
        <v>1.283617291666168E-2</v>
      </c>
      <c r="BT30" s="231">
        <v>1.1940116012138225E-2</v>
      </c>
      <c r="BU30" s="231">
        <v>1.4943514799154877E-2</v>
      </c>
      <c r="BV30" s="231"/>
      <c r="BW30" s="231"/>
      <c r="BX30" s="231"/>
      <c r="BY30" s="231"/>
      <c r="BZ30" s="231"/>
      <c r="CA30" s="231"/>
      <c r="CB30" s="231"/>
      <c r="CC30" s="231"/>
      <c r="CD30" s="231"/>
      <c r="CE30" s="231"/>
      <c r="CF30" s="231"/>
      <c r="CG30" s="231"/>
      <c r="CH30" s="231"/>
      <c r="CI30" s="231"/>
      <c r="CJ30" s="231"/>
      <c r="CK30" s="231"/>
      <c r="CL30" s="231"/>
      <c r="CM30" s="231"/>
      <c r="CN30" s="231"/>
      <c r="CO30" s="231"/>
      <c r="CP30" s="231"/>
      <c r="CQ30" s="231"/>
      <c r="CR30" s="231"/>
      <c r="CS30" s="231"/>
      <c r="CT30" s="231"/>
      <c r="CU30" s="231"/>
      <c r="CV30" s="221"/>
      <c r="CW30" s="221"/>
      <c r="CX30" s="203"/>
      <c r="CY30" s="203"/>
      <c r="CZ30" s="203"/>
      <c r="DA30" s="203"/>
      <c r="DB30" s="203">
        <v>5.8201058201058142E-2</v>
      </c>
      <c r="DC30" s="203">
        <v>2.3571428571428577E-2</v>
      </c>
      <c r="DD30" s="203">
        <v>3.3147243545010419E-2</v>
      </c>
      <c r="DE30" s="203">
        <v>4.7281323877068626E-2</v>
      </c>
      <c r="DF30" s="291">
        <v>4.2244437278297298E-2</v>
      </c>
      <c r="DG30" s="291">
        <v>4.0841584158415767E-2</v>
      </c>
      <c r="DH30" s="291">
        <v>4.0130796670630131E-2</v>
      </c>
      <c r="DI30" s="291">
        <v>5.3158045155758948E-2</v>
      </c>
      <c r="DJ30" s="291">
        <v>9.7964721845319014E-2</v>
      </c>
      <c r="DK30" s="291">
        <v>5.1903114186851118E-2</v>
      </c>
      <c r="DL30" s="222">
        <v>3.8768796992481258E-2</v>
      </c>
      <c r="DM30" s="223">
        <v>5.7059229969281589E-2</v>
      </c>
      <c r="DN30" s="223">
        <v>5.6299328520314607E-2</v>
      </c>
      <c r="DO30" s="224">
        <v>5.6299328520314607E-2</v>
      </c>
      <c r="DP30" s="224">
        <v>5.6299328520314607E-2</v>
      </c>
      <c r="DQ30" s="224">
        <v>5.6299328520314607E-2</v>
      </c>
      <c r="DR30" s="224">
        <v>5.6299328520314607E-2</v>
      </c>
      <c r="DS30" s="224">
        <v>5.6299328520314607E-2</v>
      </c>
      <c r="DT30" s="224">
        <v>5.6299328520314607E-2</v>
      </c>
      <c r="DU30" s="224">
        <v>5.6299328520314607E-2</v>
      </c>
      <c r="DV30" s="224">
        <v>5.6299328520314607E-2</v>
      </c>
      <c r="DW30" s="224">
        <v>5.6299328520314607E-2</v>
      </c>
      <c r="DX30" s="224">
        <v>5.6299328520314607E-2</v>
      </c>
      <c r="DY30" s="224">
        <v>5.6299328520314607E-2</v>
      </c>
      <c r="DZ30" s="224">
        <v>5.6299328520314607E-2</v>
      </c>
      <c r="EA30" s="224">
        <v>5.6299328520314607E-2</v>
      </c>
      <c r="EB30" s="224">
        <v>5.6299328520314607E-2</v>
      </c>
    </row>
    <row r="31" spans="1:132" s="578" customFormat="1" ht="11.25" x14ac:dyDescent="0.25">
      <c r="A31" s="209" t="s">
        <v>249</v>
      </c>
      <c r="B31" s="217"/>
      <c r="C31" s="217"/>
      <c r="D31" s="217"/>
      <c r="E31" s="217"/>
      <c r="F31" s="217">
        <v>-1.3211978860833917E-2</v>
      </c>
      <c r="G31" s="217">
        <v>2.6777744718833318E-3</v>
      </c>
      <c r="H31" s="217">
        <v>-8.2096933728981192E-3</v>
      </c>
      <c r="I31" s="217">
        <v>-2.4633489578139045E-2</v>
      </c>
      <c r="J31" s="217">
        <v>-1.6053169734151274E-2</v>
      </c>
      <c r="K31" s="217">
        <v>-2.0056115556479348E-2</v>
      </c>
      <c r="L31" s="217">
        <v>1.0286320254506931E-2</v>
      </c>
      <c r="M31" s="217">
        <v>2.6031279521360418E-2</v>
      </c>
      <c r="N31" s="217">
        <v>-3.9897698209718779E-3</v>
      </c>
      <c r="O31" s="217">
        <v>9.0386195562859317E-3</v>
      </c>
      <c r="P31" s="217">
        <v>-9.0594462540716236E-3</v>
      </c>
      <c r="Q31" s="217">
        <v>-5.9578839239855519E-3</v>
      </c>
      <c r="R31" s="217">
        <v>5.4769039991733326E-3</v>
      </c>
      <c r="S31" s="217">
        <v>2.9804727646454143E-3</v>
      </c>
      <c r="T31" s="217">
        <v>1.0246951531911463E-4</v>
      </c>
      <c r="U31" s="217">
        <v>-1.1372950819672156E-2</v>
      </c>
      <c r="V31" s="217">
        <v>1.4509275572598401E-3</v>
      </c>
      <c r="W31" s="217">
        <v>-5.7953016661492773E-3</v>
      </c>
      <c r="X31" s="217">
        <v>1.3011345893619186E-2</v>
      </c>
      <c r="Y31" s="217">
        <v>2.0961775585696785E-2</v>
      </c>
      <c r="Z31" s="217">
        <v>2.3953301127214166E-2</v>
      </c>
      <c r="AA31" s="217">
        <v>-2.9486927462157864E-3</v>
      </c>
      <c r="AB31" s="217">
        <v>8.8722397476341808E-3</v>
      </c>
      <c r="AC31" s="217">
        <v>4.4948211842876784E-3</v>
      </c>
      <c r="AD31" s="217">
        <v>9.4357976653696163E-3</v>
      </c>
      <c r="AE31" s="217">
        <v>-1.6960585911149573E-2</v>
      </c>
      <c r="AF31" s="217">
        <v>-5.0975394569160448E-3</v>
      </c>
      <c r="AG31" s="217">
        <v>2.7588925017243415E-3</v>
      </c>
      <c r="AH31" s="217">
        <v>-3.0460843077527722E-3</v>
      </c>
      <c r="AI31" s="217">
        <v>-2.5034496353242619E-2</v>
      </c>
      <c r="AJ31" s="217">
        <v>-2.3048928427011783E-2</v>
      </c>
      <c r="AK31" s="217">
        <v>4.8634105960265739E-3</v>
      </c>
      <c r="AL31" s="217">
        <v>-2.1419009370816533E-2</v>
      </c>
      <c r="AM31" s="217">
        <v>5.1562664421760385E-3</v>
      </c>
      <c r="AN31" s="217">
        <v>7.223618090452133E-3</v>
      </c>
      <c r="AO31" s="217">
        <v>8.1072653570315456E-3</v>
      </c>
      <c r="AP31" s="217">
        <v>-1.6290339210227822E-2</v>
      </c>
      <c r="AQ31" s="217">
        <v>9.6425951158158885E-3</v>
      </c>
      <c r="AR31" s="217">
        <v>1.7647669469531557E-3</v>
      </c>
      <c r="AS31" s="217">
        <v>-7.0466321243524144E-3</v>
      </c>
      <c r="AT31" s="284">
        <v>-1.9828845752452029E-3</v>
      </c>
      <c r="AU31" s="284">
        <v>2.792010875248363E-2</v>
      </c>
      <c r="AV31" s="284">
        <v>-2.3194303153611373E-2</v>
      </c>
      <c r="AW31" s="284">
        <v>-2.1870443657571292E-2</v>
      </c>
      <c r="AX31" s="284">
        <v>-7.3466780238500284E-3</v>
      </c>
      <c r="AY31" s="284">
        <v>-1.2013300439772667E-2</v>
      </c>
      <c r="AZ31" s="284">
        <v>7.0567799370317985E-3</v>
      </c>
      <c r="BA31" s="284">
        <v>1.369124622682194E-2</v>
      </c>
      <c r="BB31" s="284">
        <v>5.3174518770604529E-3</v>
      </c>
      <c r="BC31" s="284">
        <v>1.2059663598857462E-2</v>
      </c>
      <c r="BD31" s="284">
        <v>2.9998954740253048E-2</v>
      </c>
      <c r="BE31" s="284">
        <v>1.3497057032677118E-2</v>
      </c>
      <c r="BF31" s="284">
        <v>-1.7923300290377586E-2</v>
      </c>
      <c r="BG31" s="284">
        <v>3.4665579119086409E-3</v>
      </c>
      <c r="BH31" s="284">
        <v>4.8770575086365398E-3</v>
      </c>
      <c r="BI31" s="284">
        <v>6.1678463094034797E-3</v>
      </c>
      <c r="BJ31" s="284">
        <v>-4.019696512913562E-4</v>
      </c>
      <c r="BK31" s="284">
        <v>1.4878857947119739E-2</v>
      </c>
      <c r="BL31" s="284">
        <v>4.3585933630509999E-3</v>
      </c>
      <c r="BM31" s="284">
        <v>5.6218561988361504E-3</v>
      </c>
      <c r="BN31" s="284">
        <v>8.3366025892508411E-3</v>
      </c>
      <c r="BO31" s="218">
        <v>-2.1787763836202845E-2</v>
      </c>
      <c r="BP31" s="231">
        <v>0.01</v>
      </c>
      <c r="BQ31" s="231">
        <v>0.01</v>
      </c>
      <c r="BR31" s="231">
        <v>0.01</v>
      </c>
      <c r="BS31" s="231">
        <v>0.01</v>
      </c>
      <c r="BT31" s="231">
        <v>0.01</v>
      </c>
      <c r="BU31" s="231">
        <v>0.01</v>
      </c>
      <c r="BV31" s="231"/>
      <c r="BW31" s="231"/>
      <c r="BX31" s="231"/>
      <c r="BY31" s="231"/>
      <c r="BZ31" s="231"/>
      <c r="CA31" s="231"/>
      <c r="CB31" s="231"/>
      <c r="CC31" s="231"/>
      <c r="CD31" s="231"/>
      <c r="CE31" s="231"/>
      <c r="CF31" s="231"/>
      <c r="CG31" s="231"/>
      <c r="CH31" s="231"/>
      <c r="CI31" s="231"/>
      <c r="CJ31" s="231"/>
      <c r="CK31" s="231"/>
      <c r="CL31" s="231"/>
      <c r="CM31" s="231"/>
      <c r="CN31" s="231"/>
      <c r="CO31" s="231"/>
      <c r="CP31" s="231"/>
      <c r="CQ31" s="231"/>
      <c r="CR31" s="231"/>
      <c r="CS31" s="231"/>
      <c r="CT31" s="231"/>
      <c r="CU31" s="231"/>
      <c r="CV31" s="221"/>
      <c r="CW31" s="221"/>
      <c r="CX31" s="203"/>
      <c r="CY31" s="203"/>
      <c r="CZ31" s="203"/>
      <c r="DA31" s="203"/>
      <c r="DB31" s="203">
        <v>2.974401492382639E-2</v>
      </c>
      <c r="DC31" s="203">
        <v>3.4621578099838901E-2</v>
      </c>
      <c r="DD31" s="203">
        <v>-1.0019455252918252E-2</v>
      </c>
      <c r="DE31" s="203">
        <v>-4.5789525400412701E-2</v>
      </c>
      <c r="DF31" s="291">
        <v>-1.2357120790855713E-3</v>
      </c>
      <c r="DG31" s="291">
        <v>-1.206309928858651E-2</v>
      </c>
      <c r="DH31" s="291">
        <v>-1.9828845752452473E-2</v>
      </c>
      <c r="DI31" s="291">
        <v>1.1712095400340239E-3</v>
      </c>
      <c r="DJ31" s="291">
        <v>6.2107837924066933E-2</v>
      </c>
      <c r="DK31" s="291">
        <v>-3.6046860919194401E-3</v>
      </c>
      <c r="DL31" s="222">
        <v>2.462064114159368E-2</v>
      </c>
      <c r="DM31" s="223">
        <v>6.1931836014124109E-3</v>
      </c>
      <c r="DN31" s="223">
        <v>4.0604010000000024E-2</v>
      </c>
      <c r="DO31" s="224">
        <v>4.0604010000000024E-2</v>
      </c>
      <c r="DP31" s="224">
        <v>4.0604010000000024E-2</v>
      </c>
      <c r="DQ31" s="224">
        <v>4.0604010000000024E-2</v>
      </c>
      <c r="DR31" s="224">
        <v>4.0604010000000024E-2</v>
      </c>
      <c r="DS31" s="224">
        <v>4.0604010000000024E-2</v>
      </c>
      <c r="DT31" s="224">
        <v>4.0604010000000024E-2</v>
      </c>
      <c r="DU31" s="224">
        <v>4.0604010000000024E-2</v>
      </c>
      <c r="DV31" s="224">
        <v>4.0604010000000024E-2</v>
      </c>
      <c r="DW31" s="224">
        <v>4.0604010000000024E-2</v>
      </c>
      <c r="DX31" s="224">
        <v>4.0604010000000024E-2</v>
      </c>
      <c r="DY31" s="224">
        <v>4.0604010000000024E-2</v>
      </c>
      <c r="DZ31" s="224">
        <v>4.0604010000000024E-2</v>
      </c>
      <c r="EA31" s="224">
        <v>4.0604010000000024E-2</v>
      </c>
      <c r="EB31" s="224">
        <v>4.0604010000000024E-2</v>
      </c>
    </row>
    <row r="32" spans="1:132" s="577" customFormat="1" ht="11.25" x14ac:dyDescent="0.25">
      <c r="A32" s="216" t="s">
        <v>250</v>
      </c>
      <c r="B32" s="217"/>
      <c r="C32" s="217"/>
      <c r="D32" s="217"/>
      <c r="E32" s="217"/>
      <c r="F32" s="217">
        <v>2.6567501699861218E-3</v>
      </c>
      <c r="G32" s="217">
        <v>9.6978263229978712E-3</v>
      </c>
      <c r="H32" s="217">
        <v>6.5007527534930443E-3</v>
      </c>
      <c r="I32" s="217">
        <v>5.4151852929640309E-3</v>
      </c>
      <c r="J32" s="217">
        <v>5.7192661106333365E-3</v>
      </c>
      <c r="K32" s="217">
        <v>1.4441386840273518E-2</v>
      </c>
      <c r="L32" s="217">
        <v>5.6103551047332889E-3</v>
      </c>
      <c r="M32" s="217">
        <v>1.2780809614817645E-2</v>
      </c>
      <c r="N32" s="217">
        <v>1.0741889196345333E-2</v>
      </c>
      <c r="O32" s="217">
        <v>4.1649081745365191E-3</v>
      </c>
      <c r="P32" s="217">
        <v>-1.6046944937456731E-3</v>
      </c>
      <c r="Q32" s="217">
        <v>1.1053049769709666E-2</v>
      </c>
      <c r="R32" s="217">
        <v>1.2534614668957555E-3</v>
      </c>
      <c r="S32" s="217">
        <v>-7.3067131684390052E-4</v>
      </c>
      <c r="T32" s="217">
        <v>1.0430291077585307E-2</v>
      </c>
      <c r="U32" s="217">
        <v>9.4638480830002703E-3</v>
      </c>
      <c r="V32" s="217">
        <v>1.275914260071831E-2</v>
      </c>
      <c r="W32" s="217">
        <v>1.7649024843086503E-2</v>
      </c>
      <c r="X32" s="217">
        <v>6.0111698449982764E-3</v>
      </c>
      <c r="Y32" s="217">
        <v>1.8995350053500282E-2</v>
      </c>
      <c r="Z32" s="217">
        <v>-1.7541651270347458E-4</v>
      </c>
      <c r="AA32" s="217">
        <v>1.4627917724968409E-2</v>
      </c>
      <c r="AB32" s="217">
        <v>1.4567128955095709E-2</v>
      </c>
      <c r="AC32" s="217">
        <v>1.1133515788327442E-2</v>
      </c>
      <c r="AD32" s="217">
        <v>7.1387630227994769E-3</v>
      </c>
      <c r="AE32" s="217">
        <v>9.2987577507404051E-3</v>
      </c>
      <c r="AF32" s="217">
        <v>6.6109909884319862E-3</v>
      </c>
      <c r="AG32" s="217">
        <v>4.7162364677035828E-3</v>
      </c>
      <c r="AH32" s="217">
        <v>4.7047249922005374E-3</v>
      </c>
      <c r="AI32" s="217">
        <v>7.2964051746868819E-3</v>
      </c>
      <c r="AJ32" s="217">
        <v>-3.1126840374429143E-4</v>
      </c>
      <c r="AK32" s="217">
        <v>5.302588946380915E-3</v>
      </c>
      <c r="AL32" s="217">
        <v>6.2970788271126121E-3</v>
      </c>
      <c r="AM32" s="217">
        <v>7.1153922458244701E-3</v>
      </c>
      <c r="AN32" s="217">
        <v>7.315500665162622E-3</v>
      </c>
      <c r="AO32" s="217">
        <v>7.6154758575817105E-3</v>
      </c>
      <c r="AP32" s="217">
        <v>-1.0883054685217886E-6</v>
      </c>
      <c r="AQ32" s="217">
        <v>1.2244900920562296E-2</v>
      </c>
      <c r="AR32" s="217">
        <v>5.2047607272258656E-3</v>
      </c>
      <c r="AS32" s="217">
        <v>9.3199180135286053E-3</v>
      </c>
      <c r="AT32" s="284">
        <v>1.015615010134252E-2</v>
      </c>
      <c r="AU32" s="284">
        <v>3.4604471865682385E-3</v>
      </c>
      <c r="AV32" s="284">
        <v>3.9830752407454817E-4</v>
      </c>
      <c r="AW32" s="284">
        <v>1.262651156391037E-2</v>
      </c>
      <c r="AX32" s="284">
        <v>1.1160520021616493E-2</v>
      </c>
      <c r="AY32" s="284">
        <v>1.0718233209513262E-2</v>
      </c>
      <c r="AZ32" s="284">
        <v>1.2741237496141755E-2</v>
      </c>
      <c r="BA32" s="284">
        <v>3.0023892952659281E-2</v>
      </c>
      <c r="BB32" s="284">
        <v>2.3748263246916812E-2</v>
      </c>
      <c r="BC32" s="284">
        <v>4.2836016684453471E-2</v>
      </c>
      <c r="BD32" s="284">
        <v>3.5403814750461171E-2</v>
      </c>
      <c r="BE32" s="284">
        <v>2.4891828912351865E-2</v>
      </c>
      <c r="BF32" s="284">
        <v>1.3229479780968889E-2</v>
      </c>
      <c r="BG32" s="284">
        <v>1.4448153615917558E-2</v>
      </c>
      <c r="BH32" s="284">
        <v>2.9939472666271616E-3</v>
      </c>
      <c r="BI32" s="284">
        <v>1.6350010622271816E-2</v>
      </c>
      <c r="BJ32" s="284">
        <v>8.2676078083445681E-3</v>
      </c>
      <c r="BK32" s="284">
        <v>1.2895513825595506E-2</v>
      </c>
      <c r="BL32" s="284">
        <v>9.010999189286828E-3</v>
      </c>
      <c r="BM32" s="284">
        <v>1.3354375920921147E-2</v>
      </c>
      <c r="BN32" s="284">
        <v>1.2427411106995301E-2</v>
      </c>
      <c r="BO32" s="218">
        <v>9.5891125931406584E-3</v>
      </c>
      <c r="BP32" s="579">
        <v>7.3694626074156666E-3</v>
      </c>
      <c r="BQ32" s="579">
        <v>1.1766274247648978E-2</v>
      </c>
      <c r="BR32" s="579">
        <v>9.1385688299383538E-3</v>
      </c>
      <c r="BS32" s="579">
        <v>1.6533344297897656E-3</v>
      </c>
      <c r="BT32" s="579">
        <v>6.2002020436509042E-3</v>
      </c>
      <c r="BU32" s="579">
        <v>1.2880082284519201E-2</v>
      </c>
      <c r="BV32" s="579"/>
      <c r="BW32" s="579"/>
      <c r="BX32" s="579"/>
      <c r="BY32" s="579"/>
      <c r="BZ32" s="579"/>
      <c r="CA32" s="579"/>
      <c r="CB32" s="579"/>
      <c r="CC32" s="579"/>
      <c r="CD32" s="579"/>
      <c r="CE32" s="579"/>
      <c r="CF32" s="579"/>
      <c r="CG32" s="579"/>
      <c r="CH32" s="579"/>
      <c r="CI32" s="579"/>
      <c r="CJ32" s="579"/>
      <c r="CK32" s="579"/>
      <c r="CL32" s="579"/>
      <c r="CM32" s="579"/>
      <c r="CN32" s="579"/>
      <c r="CO32" s="579"/>
      <c r="CP32" s="579"/>
      <c r="CQ32" s="579"/>
      <c r="CR32" s="579"/>
      <c r="CS32" s="579"/>
      <c r="CT32" s="579"/>
      <c r="CU32" s="579"/>
      <c r="CV32" s="221"/>
      <c r="CW32" s="221"/>
      <c r="CX32" s="203"/>
      <c r="CY32" s="203"/>
      <c r="CZ32" s="203"/>
      <c r="DA32" s="203"/>
      <c r="DB32" s="203">
        <v>5.6523589462863955E-2</v>
      </c>
      <c r="DC32" s="203">
        <v>4.0686479528649455E-2</v>
      </c>
      <c r="DD32" s="203">
        <v>2.8049766885987815E-2</v>
      </c>
      <c r="DE32" s="203">
        <v>1.7085180723531712E-2</v>
      </c>
      <c r="DF32" s="291">
        <v>2.864564480967724E-2</v>
      </c>
      <c r="DG32" s="291">
        <v>2.6995417145672107E-2</v>
      </c>
      <c r="DH32" s="291">
        <v>2.6859470560516963E-2</v>
      </c>
      <c r="DI32" s="291">
        <v>6.6095224925207141E-2</v>
      </c>
      <c r="DJ32" s="291">
        <v>0.13291412486036602</v>
      </c>
      <c r="DK32" s="291">
        <v>4.7802140526980397E-2</v>
      </c>
      <c r="DL32" s="222">
        <v>4.4233713225780624E-2</v>
      </c>
      <c r="DM32" s="579">
        <v>4.1783641696707452E-2</v>
      </c>
      <c r="DN32" s="579">
        <v>3.0174219718064998E-2</v>
      </c>
      <c r="DO32" s="580">
        <v>3.0499999999999958E-2</v>
      </c>
      <c r="DP32" s="580">
        <v>0.03</v>
      </c>
      <c r="DQ32" s="580">
        <v>0.03</v>
      </c>
      <c r="DR32" s="580">
        <v>0.03</v>
      </c>
      <c r="DS32" s="580">
        <v>0.03</v>
      </c>
      <c r="DT32" s="580">
        <v>0.03</v>
      </c>
      <c r="DU32" s="580">
        <v>0.03</v>
      </c>
      <c r="DV32" s="580">
        <v>0.03</v>
      </c>
      <c r="DW32" s="236">
        <v>0.03</v>
      </c>
      <c r="DX32" s="236">
        <v>0.03</v>
      </c>
      <c r="DY32" s="236">
        <v>0.03</v>
      </c>
      <c r="DZ32" s="236">
        <v>0.03</v>
      </c>
      <c r="EA32" s="236">
        <v>0.03</v>
      </c>
      <c r="EB32" s="236">
        <v>0.03</v>
      </c>
    </row>
    <row r="33" spans="1:132" s="577" customFormat="1" ht="11.25" x14ac:dyDescent="0.25">
      <c r="A33" s="216"/>
      <c r="B33" s="217"/>
      <c r="C33" s="217"/>
      <c r="D33" s="217"/>
      <c r="E33" s="217"/>
      <c r="F33" s="217"/>
      <c r="G33" s="217"/>
      <c r="H33" s="217"/>
      <c r="I33" s="217"/>
      <c r="J33" s="217"/>
      <c r="K33" s="217"/>
      <c r="L33" s="217"/>
      <c r="M33" s="217"/>
      <c r="N33" s="217"/>
      <c r="O33" s="217"/>
      <c r="P33" s="217"/>
      <c r="Q33" s="217"/>
      <c r="R33" s="217"/>
      <c r="S33" s="217"/>
      <c r="T33" s="217"/>
      <c r="U33" s="217"/>
      <c r="V33" s="217"/>
      <c r="W33" s="217"/>
      <c r="X33" s="217"/>
      <c r="Y33" s="217"/>
      <c r="Z33" s="217"/>
      <c r="AA33" s="217"/>
      <c r="AB33" s="217"/>
      <c r="AC33" s="217"/>
      <c r="AD33" s="217"/>
      <c r="AE33" s="217"/>
      <c r="AF33" s="217"/>
      <c r="AG33" s="217"/>
      <c r="AH33" s="285"/>
      <c r="AI33" s="285"/>
      <c r="AJ33" s="285"/>
      <c r="AK33" s="285"/>
      <c r="AL33" s="285"/>
      <c r="AM33" s="285"/>
      <c r="AN33" s="285"/>
      <c r="AO33" s="285"/>
      <c r="AP33" s="285"/>
      <c r="AQ33" s="285"/>
      <c r="AR33" s="285"/>
      <c r="AS33" s="285"/>
      <c r="AT33" s="285"/>
      <c r="AU33" s="285"/>
      <c r="AV33" s="285"/>
      <c r="AW33" s="285"/>
      <c r="AX33" s="285"/>
      <c r="AY33" s="285"/>
      <c r="AZ33" s="285"/>
      <c r="BA33" s="285"/>
      <c r="BB33" s="285"/>
      <c r="BC33" s="285"/>
      <c r="BD33" s="285"/>
      <c r="BE33" s="285"/>
      <c r="BF33" s="285"/>
      <c r="BG33" s="285"/>
      <c r="BH33" s="285"/>
      <c r="BI33" s="285"/>
      <c r="BJ33" s="285"/>
      <c r="BK33" s="285"/>
      <c r="BL33" s="285"/>
      <c r="BM33" s="285"/>
      <c r="BN33" s="285"/>
      <c r="BO33" s="237"/>
      <c r="BP33" s="581"/>
      <c r="BQ33" s="581"/>
      <c r="BR33" s="581"/>
      <c r="BS33" s="581"/>
      <c r="BT33" s="581"/>
      <c r="BU33" s="581"/>
      <c r="BV33" s="581"/>
      <c r="BW33" s="581"/>
      <c r="BX33" s="581"/>
      <c r="BY33" s="581"/>
      <c r="BZ33" s="581"/>
      <c r="CA33" s="581"/>
      <c r="CB33" s="581"/>
      <c r="CC33" s="581"/>
      <c r="CD33" s="581"/>
      <c r="CE33" s="581"/>
      <c r="CF33" s="581"/>
      <c r="CG33" s="581"/>
      <c r="CH33" s="581"/>
      <c r="CI33" s="581"/>
      <c r="CJ33" s="581"/>
      <c r="CK33" s="581"/>
      <c r="CL33" s="581"/>
      <c r="CM33" s="581"/>
      <c r="CN33" s="581"/>
      <c r="CO33" s="581"/>
      <c r="CP33" s="581"/>
      <c r="CQ33" s="581"/>
      <c r="CR33" s="581"/>
      <c r="CS33" s="581"/>
      <c r="CT33" s="581"/>
      <c r="CU33" s="581"/>
      <c r="CV33" s="221"/>
      <c r="CW33" s="221"/>
      <c r="CX33" s="203"/>
      <c r="CY33" s="203"/>
      <c r="CZ33" s="203"/>
      <c r="DA33" s="203"/>
      <c r="DB33" s="203"/>
      <c r="DC33" s="203"/>
      <c r="DD33" s="203"/>
      <c r="DE33" s="203"/>
      <c r="DF33" s="291"/>
      <c r="DG33" s="291"/>
      <c r="DH33" s="291"/>
      <c r="DI33" s="291"/>
      <c r="DJ33" s="291"/>
      <c r="DK33" s="291"/>
      <c r="DL33" s="222"/>
      <c r="DM33" s="224"/>
      <c r="DN33" s="224"/>
      <c r="DO33" s="224"/>
      <c r="DP33" s="224"/>
      <c r="DQ33" s="224"/>
      <c r="DR33" s="224"/>
      <c r="DS33" s="224"/>
      <c r="DT33" s="224"/>
      <c r="DU33" s="224"/>
      <c r="DV33" s="224"/>
      <c r="DW33" s="224"/>
      <c r="DX33" s="224"/>
      <c r="DY33" s="224"/>
      <c r="DZ33" s="224"/>
      <c r="EA33" s="224"/>
      <c r="EB33" s="224"/>
    </row>
    <row r="34" spans="1:132" s="577" customFormat="1" ht="11.25" x14ac:dyDescent="0.25">
      <c r="A34" s="216"/>
      <c r="B34" s="217"/>
      <c r="C34" s="217"/>
      <c r="D34" s="217"/>
      <c r="E34" s="217"/>
      <c r="F34" s="217"/>
      <c r="G34" s="217"/>
      <c r="H34" s="217"/>
      <c r="I34" s="217"/>
      <c r="J34" s="217"/>
      <c r="K34" s="217"/>
      <c r="L34" s="217"/>
      <c r="M34" s="217"/>
      <c r="N34" s="217"/>
      <c r="O34" s="217"/>
      <c r="P34" s="217"/>
      <c r="Q34" s="217"/>
      <c r="R34" s="217"/>
      <c r="S34" s="217"/>
      <c r="T34" s="217"/>
      <c r="U34" s="217"/>
      <c r="V34" s="217"/>
      <c r="W34" s="217"/>
      <c r="X34" s="217"/>
      <c r="Y34" s="217"/>
      <c r="Z34" s="217"/>
      <c r="AA34" s="217"/>
      <c r="AB34" s="217"/>
      <c r="AC34" s="217"/>
      <c r="AD34" s="217"/>
      <c r="AE34" s="217"/>
      <c r="AF34" s="217"/>
      <c r="AG34" s="217"/>
      <c r="AH34" s="217"/>
      <c r="AI34" s="217"/>
      <c r="AJ34" s="217"/>
      <c r="AK34" s="217"/>
      <c r="AL34" s="217"/>
      <c r="AM34" s="217"/>
      <c r="AN34" s="217"/>
      <c r="AO34" s="217"/>
      <c r="AP34" s="217"/>
      <c r="AQ34" s="217"/>
      <c r="AR34" s="284"/>
      <c r="AS34" s="284"/>
      <c r="AT34" s="284"/>
      <c r="AU34" s="284"/>
      <c r="AV34" s="284"/>
      <c r="AW34" s="284"/>
      <c r="AX34" s="284"/>
      <c r="AY34" s="284"/>
      <c r="AZ34" s="284"/>
      <c r="BA34" s="284"/>
      <c r="BB34" s="284"/>
      <c r="BC34" s="284"/>
      <c r="BD34" s="284"/>
      <c r="BE34" s="284"/>
      <c r="BF34" s="284"/>
      <c r="BG34" s="284"/>
      <c r="BH34" s="284"/>
      <c r="BI34" s="284"/>
      <c r="BJ34" s="284"/>
      <c r="BK34" s="284"/>
      <c r="BL34" s="284"/>
      <c r="BM34" s="284"/>
      <c r="BN34" s="284"/>
      <c r="BO34" s="218"/>
      <c r="BP34" s="582"/>
      <c r="BQ34" s="582"/>
      <c r="BR34" s="582"/>
      <c r="BS34" s="582"/>
      <c r="BT34" s="582"/>
      <c r="BU34" s="582"/>
      <c r="BV34" s="582"/>
      <c r="BW34" s="582"/>
      <c r="BX34" s="582"/>
      <c r="BY34" s="582"/>
      <c r="BZ34" s="582"/>
      <c r="CA34" s="582"/>
      <c r="CB34" s="582"/>
      <c r="CC34" s="582"/>
      <c r="CD34" s="582"/>
      <c r="CE34" s="582"/>
      <c r="CF34" s="582"/>
      <c r="CG34" s="582"/>
      <c r="CH34" s="582"/>
      <c r="CI34" s="582"/>
      <c r="CJ34" s="582"/>
      <c r="CK34" s="582"/>
      <c r="CL34" s="582"/>
      <c r="CM34" s="582"/>
      <c r="CN34" s="582"/>
      <c r="CO34" s="582"/>
      <c r="CP34" s="582"/>
      <c r="CQ34" s="582"/>
      <c r="CR34" s="582"/>
      <c r="CS34" s="582"/>
      <c r="CT34" s="582"/>
      <c r="CU34" s="582"/>
      <c r="CV34" s="221"/>
      <c r="CW34" s="221"/>
      <c r="CX34" s="203"/>
      <c r="CY34" s="203"/>
      <c r="CZ34" s="203"/>
      <c r="DA34" s="203"/>
      <c r="DB34" s="203"/>
      <c r="DC34" s="203"/>
      <c r="DD34" s="203"/>
      <c r="DE34" s="203"/>
      <c r="DF34" s="291"/>
      <c r="DG34" s="291"/>
      <c r="DH34" s="291"/>
      <c r="DI34" s="291"/>
      <c r="DJ34" s="291"/>
      <c r="DK34" s="291"/>
      <c r="DL34" s="222"/>
      <c r="DM34" s="238"/>
      <c r="DN34" s="238"/>
      <c r="DO34" s="238"/>
      <c r="DP34" s="238"/>
      <c r="DQ34" s="238"/>
      <c r="DR34" s="238"/>
      <c r="DS34" s="238"/>
      <c r="DT34" s="238"/>
      <c r="DU34" s="238"/>
      <c r="DV34" s="238"/>
      <c r="DW34" s="238"/>
      <c r="DX34" s="238"/>
      <c r="DY34" s="238"/>
      <c r="DZ34" s="238"/>
      <c r="EA34" s="238"/>
      <c r="EB34" s="238"/>
    </row>
    <row r="35" spans="1:132" s="577" customFormat="1" ht="11.25" x14ac:dyDescent="0.25">
      <c r="A35" s="213" t="s">
        <v>251</v>
      </c>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c r="AA35" s="213"/>
      <c r="AB35" s="213"/>
      <c r="AC35" s="213"/>
      <c r="AD35" s="213"/>
      <c r="AE35" s="213"/>
      <c r="AF35" s="213"/>
      <c r="AG35" s="213"/>
      <c r="AH35" s="213"/>
      <c r="AI35" s="213"/>
      <c r="AJ35" s="213"/>
      <c r="AK35" s="213"/>
      <c r="AL35" s="213"/>
      <c r="AM35" s="213"/>
      <c r="AN35" s="213"/>
      <c r="AO35" s="213"/>
      <c r="AP35" s="213"/>
      <c r="AQ35" s="213"/>
      <c r="AR35" s="213"/>
      <c r="AS35" s="213"/>
      <c r="AT35" s="213"/>
      <c r="AU35" s="213"/>
      <c r="AV35" s="213"/>
      <c r="AW35" s="213"/>
      <c r="AX35" s="213"/>
      <c r="AY35" s="213"/>
      <c r="AZ35" s="213"/>
      <c r="BA35" s="213"/>
      <c r="BB35" s="213"/>
      <c r="BC35" s="213"/>
      <c r="BD35" s="239"/>
      <c r="BE35" s="239"/>
      <c r="BF35" s="239"/>
      <c r="BG35" s="239"/>
      <c r="BH35" s="239"/>
      <c r="BI35" s="239"/>
      <c r="BJ35" s="239"/>
      <c r="BK35" s="239"/>
      <c r="BL35" s="239"/>
      <c r="BM35" s="239"/>
      <c r="BN35" s="239"/>
      <c r="BO35" s="240"/>
      <c r="BP35" s="213"/>
      <c r="BQ35" s="213"/>
      <c r="BR35" s="213"/>
      <c r="BS35" s="213"/>
      <c r="BT35" s="213"/>
      <c r="BU35" s="213"/>
      <c r="BV35" s="213"/>
      <c r="BW35" s="213"/>
      <c r="BX35" s="213"/>
      <c r="BY35" s="213"/>
      <c r="BZ35" s="213"/>
      <c r="CA35" s="213"/>
      <c r="CB35" s="213"/>
      <c r="CC35" s="213"/>
      <c r="CD35" s="213"/>
      <c r="CE35" s="213"/>
      <c r="CF35" s="213"/>
      <c r="CG35" s="213"/>
      <c r="CH35" s="213"/>
      <c r="CI35" s="213"/>
      <c r="CJ35" s="213"/>
      <c r="CK35" s="213"/>
      <c r="CL35" s="213"/>
      <c r="CM35" s="213"/>
      <c r="CN35" s="213"/>
      <c r="CO35" s="213"/>
      <c r="CP35" s="213"/>
      <c r="CQ35" s="213"/>
      <c r="CR35" s="213"/>
      <c r="CS35" s="213"/>
      <c r="CT35" s="213"/>
      <c r="CU35" s="213"/>
      <c r="CV35" s="213"/>
      <c r="CW35" s="213"/>
      <c r="CX35" s="213"/>
      <c r="CY35" s="213"/>
      <c r="CZ35" s="213"/>
      <c r="DA35" s="213"/>
      <c r="DB35" s="213"/>
      <c r="DC35" s="213"/>
      <c r="DD35" s="213"/>
      <c r="DE35" s="213"/>
      <c r="DF35" s="213"/>
      <c r="DG35" s="213"/>
      <c r="DH35" s="213"/>
      <c r="DI35" s="213"/>
      <c r="DJ35" s="213"/>
      <c r="DK35" s="213"/>
      <c r="DL35" s="215"/>
      <c r="DM35" s="213"/>
      <c r="DN35" s="213"/>
      <c r="DO35" s="213"/>
      <c r="DP35" s="213"/>
      <c r="DQ35" s="213"/>
      <c r="DR35" s="213"/>
      <c r="DS35" s="213"/>
      <c r="DT35" s="213"/>
      <c r="DU35" s="213"/>
      <c r="DV35" s="213"/>
      <c r="DW35" s="213"/>
      <c r="DX35" s="213"/>
      <c r="DY35" s="213"/>
      <c r="DZ35" s="213"/>
      <c r="EA35" s="213"/>
      <c r="EB35" s="213"/>
    </row>
    <row r="36" spans="1:132" s="577" customFormat="1" ht="11.25" x14ac:dyDescent="0.25">
      <c r="A36" s="202" t="s">
        <v>252</v>
      </c>
      <c r="B36" s="191">
        <v>583.20000000000005</v>
      </c>
      <c r="C36" s="191">
        <v>533.65</v>
      </c>
      <c r="D36" s="191">
        <v>549.70000000000005</v>
      </c>
      <c r="E36" s="191">
        <v>507.45</v>
      </c>
      <c r="F36" s="191">
        <v>524.4</v>
      </c>
      <c r="G36" s="191">
        <v>546.04</v>
      </c>
      <c r="H36" s="191">
        <v>483.55</v>
      </c>
      <c r="I36" s="191">
        <v>468</v>
      </c>
      <c r="J36" s="191">
        <v>477.45</v>
      </c>
      <c r="K36" s="191">
        <v>467.22</v>
      </c>
      <c r="L36" s="191">
        <v>519.75</v>
      </c>
      <c r="M36" s="191">
        <v>519.54999999999995</v>
      </c>
      <c r="N36" s="191">
        <v>488.35</v>
      </c>
      <c r="O36" s="191">
        <v>501.07</v>
      </c>
      <c r="P36" s="191">
        <v>474.7</v>
      </c>
      <c r="Q36" s="191">
        <v>479.2</v>
      </c>
      <c r="R36" s="191">
        <v>473</v>
      </c>
      <c r="S36" s="191">
        <v>507.25</v>
      </c>
      <c r="T36" s="191">
        <v>504.76</v>
      </c>
      <c r="U36" s="191">
        <v>528.85</v>
      </c>
      <c r="V36" s="191">
        <v>549.47</v>
      </c>
      <c r="W36" s="191">
        <v>552.95000000000005</v>
      </c>
      <c r="X36" s="191">
        <v>598.32000000000005</v>
      </c>
      <c r="Y36" s="191">
        <v>606.45000000000005</v>
      </c>
      <c r="Z36" s="191">
        <v>625.29</v>
      </c>
      <c r="AA36" s="191">
        <v>639.15</v>
      </c>
      <c r="AB36" s="191">
        <v>696.2</v>
      </c>
      <c r="AC36" s="191">
        <v>707.8</v>
      </c>
      <c r="AD36" s="191">
        <v>667.74</v>
      </c>
      <c r="AE36" s="191">
        <v>663.26</v>
      </c>
      <c r="AF36" s="191">
        <v>657.32</v>
      </c>
      <c r="AG36" s="191">
        <v>670.68</v>
      </c>
      <c r="AH36" s="191">
        <v>660.25</v>
      </c>
      <c r="AI36" s="191">
        <v>663.8</v>
      </c>
      <c r="AJ36" s="191">
        <v>639.03</v>
      </c>
      <c r="AK36" s="191">
        <v>615.44000000000005</v>
      </c>
      <c r="AL36" s="191">
        <v>603.9</v>
      </c>
      <c r="AM36" s="191">
        <v>654.35</v>
      </c>
      <c r="AN36" s="191">
        <v>656.85</v>
      </c>
      <c r="AO36" s="191">
        <v>693.6</v>
      </c>
      <c r="AP36" s="191">
        <v>679.7</v>
      </c>
      <c r="AQ36" s="191">
        <v>678.72</v>
      </c>
      <c r="AR36" s="280">
        <v>728.41</v>
      </c>
      <c r="AS36" s="280">
        <v>751.75</v>
      </c>
      <c r="AT36" s="280">
        <v>855.15</v>
      </c>
      <c r="AU36" s="280">
        <v>821.22</v>
      </c>
      <c r="AV36" s="280">
        <v>784.33</v>
      </c>
      <c r="AW36" s="280">
        <v>711.78</v>
      </c>
      <c r="AX36" s="280">
        <v>719.04</v>
      </c>
      <c r="AY36" s="280">
        <v>734.38</v>
      </c>
      <c r="AZ36" s="280">
        <v>810.06</v>
      </c>
      <c r="BA36" s="280">
        <v>852</v>
      </c>
      <c r="BB36" s="280">
        <v>786.05</v>
      </c>
      <c r="BC36" s="280">
        <v>918.08</v>
      </c>
      <c r="BD36" s="280">
        <v>968.69</v>
      </c>
      <c r="BE36" s="280">
        <v>851.13</v>
      </c>
      <c r="BF36" s="280">
        <v>795.47</v>
      </c>
      <c r="BG36" s="281">
        <v>802.25</v>
      </c>
      <c r="BH36" s="281">
        <v>891.53</v>
      </c>
      <c r="BI36" s="281">
        <v>879</v>
      </c>
      <c r="BJ36" s="281">
        <v>979.36</v>
      </c>
      <c r="BK36" s="281">
        <v>940.23</v>
      </c>
      <c r="BL36" s="281">
        <v>898.7</v>
      </c>
      <c r="BM36" s="281">
        <v>994.92</v>
      </c>
      <c r="BN36" s="281">
        <v>951.08</v>
      </c>
      <c r="BO36" s="199">
        <v>931.62</v>
      </c>
      <c r="BP36" s="583">
        <v>966.58</v>
      </c>
      <c r="BQ36" s="241">
        <v>967.72699937024083</v>
      </c>
      <c r="BR36" s="241">
        <v>971.2731157689351</v>
      </c>
      <c r="BS36" s="241">
        <v>964.92886566082211</v>
      </c>
      <c r="BT36" s="241">
        <v>969.40625730994134</v>
      </c>
      <c r="BU36" s="241">
        <v>972.44301788569032</v>
      </c>
      <c r="BV36" s="241"/>
      <c r="BW36" s="241"/>
      <c r="BX36" s="241"/>
      <c r="BY36" s="241"/>
      <c r="BZ36" s="241"/>
      <c r="CA36" s="241"/>
      <c r="CB36" s="241"/>
      <c r="CC36" s="241"/>
      <c r="CD36" s="241"/>
      <c r="CE36" s="241"/>
      <c r="CF36" s="241"/>
      <c r="CG36" s="241"/>
      <c r="CH36" s="241"/>
      <c r="CI36" s="241"/>
      <c r="CJ36" s="241"/>
      <c r="CK36" s="241"/>
      <c r="CL36" s="241"/>
      <c r="CM36" s="241"/>
      <c r="CN36" s="241"/>
      <c r="CO36" s="241"/>
      <c r="CP36" s="241"/>
      <c r="CQ36" s="241"/>
      <c r="CR36" s="241"/>
      <c r="CS36" s="241"/>
      <c r="CT36" s="241"/>
      <c r="CU36" s="241"/>
      <c r="CV36" s="241"/>
      <c r="CW36" s="241"/>
      <c r="CX36" s="202"/>
      <c r="CY36" s="191">
        <v>519.54999999999995</v>
      </c>
      <c r="CZ36" s="191">
        <v>479.2</v>
      </c>
      <c r="DA36" s="191">
        <v>528.85</v>
      </c>
      <c r="DB36" s="191">
        <v>606.45000000000005</v>
      </c>
      <c r="DC36" s="191">
        <v>707.8</v>
      </c>
      <c r="DD36" s="191">
        <v>670.68</v>
      </c>
      <c r="DE36" s="191">
        <v>615.44000000000005</v>
      </c>
      <c r="DF36" s="280">
        <v>693.6</v>
      </c>
      <c r="DG36" s="280">
        <v>751.75</v>
      </c>
      <c r="DH36" s="280">
        <v>711.78</v>
      </c>
      <c r="DI36" s="280">
        <v>852</v>
      </c>
      <c r="DJ36" s="280">
        <v>851.13</v>
      </c>
      <c r="DK36" s="280">
        <v>879</v>
      </c>
      <c r="DL36" s="192">
        <v>994.92</v>
      </c>
      <c r="DM36" s="241">
        <v>967.72699937024083</v>
      </c>
      <c r="DN36" s="241">
        <v>972.44301788569032</v>
      </c>
      <c r="DO36" s="242">
        <v>981.97677296300105</v>
      </c>
      <c r="DP36" s="242">
        <v>991.60399622734428</v>
      </c>
      <c r="DQ36" s="242">
        <v>1001.3256040334948</v>
      </c>
      <c r="DR36" s="242">
        <v>1011.1425217200978</v>
      </c>
      <c r="DS36" s="242">
        <v>1021.0556836977458</v>
      </c>
      <c r="DT36" s="242">
        <v>1031.0660335379198</v>
      </c>
      <c r="DU36" s="242">
        <v>1041.1745240628013</v>
      </c>
      <c r="DV36" s="242">
        <v>1051.3821174359659</v>
      </c>
      <c r="DW36" s="242">
        <v>1061.6897852539657</v>
      </c>
      <c r="DX36" s="242">
        <v>1072.0985086388087</v>
      </c>
      <c r="DY36" s="242">
        <v>1082.6092783313461</v>
      </c>
      <c r="DZ36" s="242">
        <v>1093.2230947855751</v>
      </c>
      <c r="EA36" s="242">
        <v>1103.9409682638652</v>
      </c>
      <c r="EB36" s="242">
        <v>1114.7639189331187</v>
      </c>
    </row>
    <row r="37" spans="1:132" s="577" customFormat="1" ht="11.25" x14ac:dyDescent="0.25">
      <c r="A37" s="202" t="s">
        <v>253</v>
      </c>
      <c r="B37" s="191">
        <v>3.1526999999999998</v>
      </c>
      <c r="C37" s="191">
        <v>3.0065</v>
      </c>
      <c r="D37" s="191">
        <v>2.8820000000000001</v>
      </c>
      <c r="E37" s="191">
        <v>2.8879999999999999</v>
      </c>
      <c r="F37" s="191">
        <v>2.8420000000000001</v>
      </c>
      <c r="G37" s="191">
        <v>2.8254999999999999</v>
      </c>
      <c r="H37" s="191">
        <v>2.7861000000000002</v>
      </c>
      <c r="I37" s="191">
        <v>2.8063000000000002</v>
      </c>
      <c r="J37" s="191">
        <v>2.8025000000000002</v>
      </c>
      <c r="K37" s="191">
        <v>2.7495000000000003</v>
      </c>
      <c r="L37" s="191">
        <v>2.774</v>
      </c>
      <c r="M37" s="191">
        <v>2.6964999999999999</v>
      </c>
      <c r="N37" s="191">
        <v>2.6684999999999999</v>
      </c>
      <c r="O37" s="191">
        <v>2.6640000000000001</v>
      </c>
      <c r="P37" s="191">
        <v>2.5975000000000001</v>
      </c>
      <c r="Q37" s="191">
        <v>2.5514999999999999</v>
      </c>
      <c r="R37" s="191">
        <v>2.5895000000000001</v>
      </c>
      <c r="S37" s="191">
        <v>2.7805</v>
      </c>
      <c r="T37" s="191">
        <v>2.7814999999999999</v>
      </c>
      <c r="U37" s="191">
        <v>2.7989999999999999</v>
      </c>
      <c r="V37" s="191">
        <v>2.8085</v>
      </c>
      <c r="W37" s="191">
        <v>2.7984999999999998</v>
      </c>
      <c r="X37" s="191">
        <v>2.8904000000000001</v>
      </c>
      <c r="Y37" s="191">
        <v>2.9794999999999998</v>
      </c>
      <c r="Z37" s="191">
        <v>3.0964999999999998</v>
      </c>
      <c r="AA37" s="191">
        <v>3.1795</v>
      </c>
      <c r="AB37" s="191">
        <v>3.2334999999999998</v>
      </c>
      <c r="AC37" s="191">
        <v>3.4140000000000001</v>
      </c>
      <c r="AD37" s="191">
        <v>3.3130000000000002</v>
      </c>
      <c r="AE37" s="191">
        <v>3.2854999999999999</v>
      </c>
      <c r="AF37" s="191">
        <v>3.3835000000000002</v>
      </c>
      <c r="AG37" s="191">
        <v>3.3559999999999999</v>
      </c>
      <c r="AH37" s="191">
        <v>3.2484999999999999</v>
      </c>
      <c r="AI37" s="191">
        <v>3.2450000000000001</v>
      </c>
      <c r="AJ37" s="191">
        <v>3.2654999999999998</v>
      </c>
      <c r="AK37" s="191">
        <v>3.2374000000000001</v>
      </c>
      <c r="AL37" s="191">
        <v>3.2298</v>
      </c>
      <c r="AM37" s="191">
        <v>3.2765</v>
      </c>
      <c r="AN37" s="191">
        <v>3.3039999999999998</v>
      </c>
      <c r="AO37" s="191">
        <v>3.3685</v>
      </c>
      <c r="AP37" s="191">
        <v>3.3184999999999998</v>
      </c>
      <c r="AQ37" s="191">
        <v>3.294</v>
      </c>
      <c r="AR37" s="280">
        <v>3.3694999999999999</v>
      </c>
      <c r="AS37" s="280">
        <v>3.3130000000000002</v>
      </c>
      <c r="AT37" s="280">
        <v>3.4319999999999999</v>
      </c>
      <c r="AU37" s="280">
        <v>3.5415000000000001</v>
      </c>
      <c r="AV37" s="280">
        <v>3.6025</v>
      </c>
      <c r="AW37" s="280">
        <v>3.6179999999999999</v>
      </c>
      <c r="AX37" s="280">
        <v>3.7435</v>
      </c>
      <c r="AY37" s="280">
        <v>3.8658999999999999</v>
      </c>
      <c r="AZ37" s="280">
        <v>4.1345000000000001</v>
      </c>
      <c r="BA37" s="280">
        <v>4.0015000000000001</v>
      </c>
      <c r="BB37" s="280">
        <v>3.6804000000000001</v>
      </c>
      <c r="BC37" s="280">
        <v>3.8264999999999998</v>
      </c>
      <c r="BD37" s="280">
        <v>3.9832000000000001</v>
      </c>
      <c r="BE37" s="280">
        <v>3.8060999999999998</v>
      </c>
      <c r="BF37" s="280">
        <v>3.7631000000000001</v>
      </c>
      <c r="BG37" s="280">
        <v>3.625</v>
      </c>
      <c r="BH37" s="280">
        <v>3.7848999999999999</v>
      </c>
      <c r="BI37" s="280">
        <v>3.7042000000000002</v>
      </c>
      <c r="BJ37" s="280">
        <v>3.7176</v>
      </c>
      <c r="BK37" s="280">
        <v>3.8424999999999998</v>
      </c>
      <c r="BL37" s="280">
        <v>3.7040000000000002</v>
      </c>
      <c r="BM37" s="280">
        <v>3.7403</v>
      </c>
      <c r="BN37" s="280">
        <v>3.677</v>
      </c>
      <c r="BO37" s="192">
        <v>3.5425</v>
      </c>
      <c r="BP37" s="583">
        <v>3.51</v>
      </c>
      <c r="BQ37" s="241">
        <v>3.4962778373884862</v>
      </c>
      <c r="BR37" s="241">
        <v>3.5130463843086166</v>
      </c>
      <c r="BS37" s="241">
        <v>3.5197550830587501</v>
      </c>
      <c r="BT37" s="241">
        <v>3.4980263157894731</v>
      </c>
      <c r="BU37" s="241">
        <v>3.4843509636741978</v>
      </c>
      <c r="BV37" s="241"/>
      <c r="BW37" s="241"/>
      <c r="BX37" s="241"/>
      <c r="BY37" s="241"/>
      <c r="BZ37" s="241"/>
      <c r="CA37" s="241"/>
      <c r="CB37" s="241"/>
      <c r="CC37" s="241"/>
      <c r="CD37" s="241"/>
      <c r="CE37" s="241"/>
      <c r="CF37" s="241"/>
      <c r="CG37" s="241"/>
      <c r="CH37" s="241"/>
      <c r="CI37" s="241"/>
      <c r="CJ37" s="241"/>
      <c r="CK37" s="241"/>
      <c r="CL37" s="241"/>
      <c r="CM37" s="241"/>
      <c r="CN37" s="241"/>
      <c r="CO37" s="241"/>
      <c r="CP37" s="241"/>
      <c r="CQ37" s="241"/>
      <c r="CR37" s="241"/>
      <c r="CS37" s="241"/>
      <c r="CT37" s="241"/>
      <c r="CU37" s="241"/>
      <c r="CV37" s="241"/>
      <c r="CW37" s="241"/>
      <c r="CX37" s="202"/>
      <c r="CY37" s="191">
        <v>2.6964999999999999</v>
      </c>
      <c r="CZ37" s="191">
        <v>2.5514999999999999</v>
      </c>
      <c r="DA37" s="191">
        <v>2.7989999999999999</v>
      </c>
      <c r="DB37" s="191">
        <v>2.9794999999999998</v>
      </c>
      <c r="DC37" s="191">
        <v>3.4140000000000001</v>
      </c>
      <c r="DD37" s="191">
        <v>3.3559999999999999</v>
      </c>
      <c r="DE37" s="191">
        <v>3.2374000000000001</v>
      </c>
      <c r="DF37" s="280">
        <v>3.3685</v>
      </c>
      <c r="DG37" s="280">
        <v>3.3130000000000002</v>
      </c>
      <c r="DH37" s="280">
        <v>3.6179999999999999</v>
      </c>
      <c r="DI37" s="280">
        <v>4.0015000000000001</v>
      </c>
      <c r="DJ37" s="280">
        <v>3.8060999999999998</v>
      </c>
      <c r="DK37" s="280">
        <v>3.7042000000000002</v>
      </c>
      <c r="DL37" s="192">
        <v>3.7403</v>
      </c>
      <c r="DM37" s="241">
        <v>3.4962778373884862</v>
      </c>
      <c r="DN37" s="241">
        <v>3.4843509636741978</v>
      </c>
      <c r="DO37" s="242">
        <v>3.4928910395655559</v>
      </c>
      <c r="DP37" s="242">
        <v>3.5014520470154711</v>
      </c>
      <c r="DQ37" s="242">
        <v>3.5100340373267831</v>
      </c>
      <c r="DR37" s="242">
        <v>3.5186370619280742</v>
      </c>
      <c r="DS37" s="242">
        <v>3.5272611723739762</v>
      </c>
      <c r="DT37" s="242">
        <v>3.5359064203454809</v>
      </c>
      <c r="DU37" s="242">
        <v>3.5445728576502491</v>
      </c>
      <c r="DV37" s="242">
        <v>3.553260536222921</v>
      </c>
      <c r="DW37" s="242">
        <v>3.5619695081254279</v>
      </c>
      <c r="DX37" s="242">
        <v>3.5706998255473041</v>
      </c>
      <c r="DY37" s="242">
        <v>3.5794515408059979</v>
      </c>
      <c r="DZ37" s="242">
        <v>3.588224706347189</v>
      </c>
      <c r="EA37" s="242">
        <v>3.5970193747450985</v>
      </c>
      <c r="EB37" s="242">
        <v>3.6058355987028072</v>
      </c>
    </row>
    <row r="38" spans="1:132" s="578" customFormat="1" ht="12" thickBot="1" x14ac:dyDescent="0.3">
      <c r="A38" s="209" t="s">
        <v>254</v>
      </c>
      <c r="B38" s="243">
        <v>2548.3000000000002</v>
      </c>
      <c r="C38" s="243">
        <v>2143.15</v>
      </c>
      <c r="D38" s="243">
        <v>1919.73</v>
      </c>
      <c r="E38" s="243">
        <v>2043.79</v>
      </c>
      <c r="F38" s="243">
        <v>1920.35</v>
      </c>
      <c r="G38" s="243">
        <v>1900.11</v>
      </c>
      <c r="H38" s="243">
        <v>1802.18</v>
      </c>
      <c r="I38" s="243">
        <v>1907.7</v>
      </c>
      <c r="J38" s="243">
        <v>1871</v>
      </c>
      <c r="K38" s="243">
        <v>1770.78</v>
      </c>
      <c r="L38" s="243">
        <v>1931.98</v>
      </c>
      <c r="M38" s="243">
        <v>1938.5</v>
      </c>
      <c r="N38" s="243">
        <v>1788.75</v>
      </c>
      <c r="O38" s="243">
        <v>1783.76</v>
      </c>
      <c r="P38" s="243">
        <v>1800.53</v>
      </c>
      <c r="Q38" s="243">
        <v>1767</v>
      </c>
      <c r="R38" s="243">
        <v>1825</v>
      </c>
      <c r="S38" s="243">
        <v>1922.77</v>
      </c>
      <c r="T38" s="243">
        <v>1916.98</v>
      </c>
      <c r="U38" s="243">
        <v>1929.51</v>
      </c>
      <c r="V38" s="243">
        <v>1971.2</v>
      </c>
      <c r="W38" s="243">
        <v>1877.44</v>
      </c>
      <c r="X38" s="243">
        <v>2024.85</v>
      </c>
      <c r="Y38" s="243">
        <v>2376.5100000000002</v>
      </c>
      <c r="Z38" s="243">
        <v>2599.62</v>
      </c>
      <c r="AA38" s="243">
        <v>2606</v>
      </c>
      <c r="AB38" s="243">
        <v>3087.44</v>
      </c>
      <c r="AC38" s="243">
        <v>3174.5</v>
      </c>
      <c r="AD38" s="243">
        <v>3002.2</v>
      </c>
      <c r="AE38" s="243">
        <v>2920.35</v>
      </c>
      <c r="AF38" s="243">
        <v>2882.06</v>
      </c>
      <c r="AG38" s="243">
        <v>3002</v>
      </c>
      <c r="AH38" s="243">
        <v>2873.98</v>
      </c>
      <c r="AI38" s="243">
        <v>3045.67</v>
      </c>
      <c r="AJ38" s="243">
        <v>2937.65</v>
      </c>
      <c r="AK38" s="243">
        <v>2985.78</v>
      </c>
      <c r="AL38" s="243">
        <v>2794.06</v>
      </c>
      <c r="AM38" s="243">
        <v>2931.61</v>
      </c>
      <c r="AN38" s="243">
        <v>2966.17</v>
      </c>
      <c r="AO38" s="243">
        <v>3254.25</v>
      </c>
      <c r="AP38" s="243">
        <v>3188.74</v>
      </c>
      <c r="AQ38" s="243">
        <v>3211.36</v>
      </c>
      <c r="AR38" s="286">
        <v>3477.98</v>
      </c>
      <c r="AS38" s="286">
        <v>3287.23</v>
      </c>
      <c r="AT38" s="286">
        <v>4065.37</v>
      </c>
      <c r="AU38" s="286">
        <v>3758.06</v>
      </c>
      <c r="AV38" s="286">
        <v>3828.4</v>
      </c>
      <c r="AW38" s="286">
        <v>3428.26</v>
      </c>
      <c r="AX38" s="286">
        <v>3663.44</v>
      </c>
      <c r="AY38" s="286">
        <v>3755.08</v>
      </c>
      <c r="AZ38" s="286">
        <v>3809.13</v>
      </c>
      <c r="BA38" s="286">
        <v>4064.92</v>
      </c>
      <c r="BB38" s="286">
        <v>3764.45</v>
      </c>
      <c r="BC38" s="286">
        <v>4151.66</v>
      </c>
      <c r="BD38" s="286">
        <v>4606.84</v>
      </c>
      <c r="BE38" s="286">
        <v>4850.83</v>
      </c>
      <c r="BF38" s="286">
        <v>4663.25</v>
      </c>
      <c r="BG38" s="286">
        <v>4171.7</v>
      </c>
      <c r="BH38" s="286">
        <v>4067.88</v>
      </c>
      <c r="BI38" s="286">
        <v>3854.92</v>
      </c>
      <c r="BJ38" s="286">
        <v>3852.31</v>
      </c>
      <c r="BK38" s="286">
        <v>4153.08</v>
      </c>
      <c r="BL38" s="286">
        <v>4206.8999999999996</v>
      </c>
      <c r="BM38" s="286">
        <v>4405.7700000000004</v>
      </c>
      <c r="BN38" s="286">
        <v>4182.91</v>
      </c>
      <c r="BO38" s="244">
        <v>4099.51</v>
      </c>
      <c r="BP38" s="583">
        <v>3929.29</v>
      </c>
      <c r="BQ38" s="245">
        <v>3918.4784622414413</v>
      </c>
      <c r="BR38" s="245">
        <v>3982.9809885964405</v>
      </c>
      <c r="BS38" s="245">
        <v>4007.0792355688945</v>
      </c>
      <c r="BT38" s="245">
        <v>3963.7574561403508</v>
      </c>
      <c r="BU38" s="245">
        <v>3952.8510803312797</v>
      </c>
      <c r="BV38" s="245"/>
      <c r="BW38" s="245"/>
      <c r="BX38" s="245"/>
      <c r="BY38" s="245"/>
      <c r="BZ38" s="245"/>
      <c r="CA38" s="245"/>
      <c r="CB38" s="245"/>
      <c r="CC38" s="245"/>
      <c r="CD38" s="245"/>
      <c r="CE38" s="245"/>
      <c r="CF38" s="245"/>
      <c r="CG38" s="245"/>
      <c r="CH38" s="245"/>
      <c r="CI38" s="245"/>
      <c r="CJ38" s="245"/>
      <c r="CK38" s="245"/>
      <c r="CL38" s="245"/>
      <c r="CM38" s="245"/>
      <c r="CN38" s="245"/>
      <c r="CO38" s="245"/>
      <c r="CP38" s="245"/>
      <c r="CQ38" s="245"/>
      <c r="CR38" s="245"/>
      <c r="CS38" s="245"/>
      <c r="CT38" s="245"/>
      <c r="CU38" s="245"/>
      <c r="CV38" s="245"/>
      <c r="CW38" s="245"/>
      <c r="CX38" s="209"/>
      <c r="CY38" s="243">
        <v>1938.5</v>
      </c>
      <c r="CZ38" s="243">
        <v>1767</v>
      </c>
      <c r="DA38" s="243">
        <v>1929.51</v>
      </c>
      <c r="DB38" s="243">
        <v>2376.5100000000002</v>
      </c>
      <c r="DC38" s="243">
        <v>3174.5</v>
      </c>
      <c r="DD38" s="243">
        <v>3002</v>
      </c>
      <c r="DE38" s="243">
        <v>2985.78</v>
      </c>
      <c r="DF38" s="286">
        <v>3254.25</v>
      </c>
      <c r="DG38" s="286">
        <v>3287.23</v>
      </c>
      <c r="DH38" s="286">
        <v>3428.26</v>
      </c>
      <c r="DI38" s="286">
        <v>4064.92</v>
      </c>
      <c r="DJ38" s="286">
        <v>4850.83</v>
      </c>
      <c r="DK38" s="286">
        <v>3854.92</v>
      </c>
      <c r="DL38" s="244">
        <v>4405.7700000000004</v>
      </c>
      <c r="DM38" s="245">
        <v>3918.4784622414413</v>
      </c>
      <c r="DN38" s="241">
        <v>3952.8510803312797</v>
      </c>
      <c r="DO38" s="246">
        <v>4010.9812432773283</v>
      </c>
      <c r="DP38" s="246">
        <v>4069.9662615608186</v>
      </c>
      <c r="DQ38" s="246">
        <v>4129.8187065837719</v>
      </c>
      <c r="DR38" s="246">
        <v>4190.5513346217695</v>
      </c>
      <c r="DS38" s="246">
        <v>4252.177089542678</v>
      </c>
      <c r="DT38" s="246">
        <v>4314.7091055653655</v>
      </c>
      <c r="DU38" s="246">
        <v>4378.1607100589745</v>
      </c>
      <c r="DV38" s="246">
        <v>4442.5454263833717</v>
      </c>
      <c r="DW38" s="246">
        <v>4507.8769767713629</v>
      </c>
      <c r="DX38" s="246">
        <v>4574.1692852532951</v>
      </c>
      <c r="DY38" s="246">
        <v>4641.4364806246676</v>
      </c>
      <c r="DZ38" s="246">
        <v>4709.6928994573846</v>
      </c>
      <c r="EA38" s="246">
        <v>4778.9530891552877</v>
      </c>
      <c r="EB38" s="246">
        <v>4849.2318110546303</v>
      </c>
    </row>
    <row r="39" spans="1:132" s="577" customFormat="1" ht="12" thickBot="1" x14ac:dyDescent="0.3">
      <c r="A39" s="247" t="s">
        <v>255</v>
      </c>
      <c r="B39" s="191">
        <v>3.7185000000000001</v>
      </c>
      <c r="C39" s="191">
        <v>3.7955999999999999</v>
      </c>
      <c r="D39" s="191">
        <v>3.8416000000000001</v>
      </c>
      <c r="E39" s="191">
        <v>3.7989999999999999</v>
      </c>
      <c r="F39" s="191">
        <v>3.8788</v>
      </c>
      <c r="G39" s="191">
        <v>3.9304999999999999</v>
      </c>
      <c r="H39" s="191">
        <v>3.9595000000000002</v>
      </c>
      <c r="I39" s="191">
        <v>3.9786999999999999</v>
      </c>
      <c r="J39" s="191">
        <v>4.0517000000000003</v>
      </c>
      <c r="K39" s="191">
        <v>4.1085000000000003</v>
      </c>
      <c r="L39" s="191">
        <v>4.2047999999999996</v>
      </c>
      <c r="M39" s="191">
        <v>4.3</v>
      </c>
      <c r="N39" s="191">
        <v>4.3788</v>
      </c>
      <c r="O39" s="191">
        <v>4.5259999999999998</v>
      </c>
      <c r="P39" s="191">
        <v>4.6966000000000001</v>
      </c>
      <c r="Q39" s="191">
        <v>4.9154999999999998</v>
      </c>
      <c r="R39" s="191">
        <v>5.1212999999999997</v>
      </c>
      <c r="S39" s="191">
        <v>5.3864999999999998</v>
      </c>
      <c r="T39" s="191">
        <v>5.7915000000000001</v>
      </c>
      <c r="U39" s="191">
        <v>6.5197000000000003</v>
      </c>
      <c r="V39" s="191">
        <v>8.0029000000000003</v>
      </c>
      <c r="W39" s="191">
        <v>8.1323000000000008</v>
      </c>
      <c r="X39" s="191">
        <v>8.4275000000000002</v>
      </c>
      <c r="Y39" s="191">
        <v>8.4649999999999999</v>
      </c>
      <c r="Z39" s="191">
        <v>8.8189999999999991</v>
      </c>
      <c r="AA39" s="191">
        <v>9.0869</v>
      </c>
      <c r="AB39" s="191">
        <v>9.4185999999999996</v>
      </c>
      <c r="AC39" s="191">
        <v>12.9315</v>
      </c>
      <c r="AD39" s="191">
        <v>14.704499999999999</v>
      </c>
      <c r="AE39" s="191">
        <v>15.045</v>
      </c>
      <c r="AF39" s="191">
        <v>15.307499999999999</v>
      </c>
      <c r="AG39" s="191">
        <v>15.88</v>
      </c>
      <c r="AH39" s="191">
        <v>15.39</v>
      </c>
      <c r="AI39" s="191">
        <v>16.600999999999999</v>
      </c>
      <c r="AJ39" s="191">
        <v>17.329999999999998</v>
      </c>
      <c r="AK39" s="191">
        <v>18.649000000000001</v>
      </c>
      <c r="AL39" s="191">
        <v>20.149000000000001</v>
      </c>
      <c r="AM39" s="191">
        <v>28.85</v>
      </c>
      <c r="AN39" s="191">
        <v>41.25</v>
      </c>
      <c r="AO39" s="191">
        <v>37.700000000000003</v>
      </c>
      <c r="AP39" s="191">
        <v>43.344999999999999</v>
      </c>
      <c r="AQ39" s="191">
        <v>42.45</v>
      </c>
      <c r="AR39" s="280">
        <v>57.594999999999999</v>
      </c>
      <c r="AS39" s="280">
        <v>59.89</v>
      </c>
      <c r="AT39" s="280">
        <v>64.468999999999994</v>
      </c>
      <c r="AU39" s="280">
        <v>70.459999999999994</v>
      </c>
      <c r="AV39" s="280">
        <v>76.180000000000007</v>
      </c>
      <c r="AW39" s="280">
        <v>84.15</v>
      </c>
      <c r="AX39" s="280">
        <v>92</v>
      </c>
      <c r="AY39" s="280">
        <v>95.72</v>
      </c>
      <c r="AZ39" s="280">
        <v>98.74</v>
      </c>
      <c r="BA39" s="280">
        <v>102.72</v>
      </c>
      <c r="BB39" s="280">
        <v>111.01</v>
      </c>
      <c r="BC39" s="280">
        <v>125.23</v>
      </c>
      <c r="BD39" s="280">
        <v>147.32</v>
      </c>
      <c r="BE39" s="280">
        <v>177.16</v>
      </c>
      <c r="BF39" s="280">
        <v>209.01</v>
      </c>
      <c r="BG39" s="280">
        <v>256.7</v>
      </c>
      <c r="BH39" s="286">
        <v>349.9984</v>
      </c>
      <c r="BI39" s="286">
        <v>808.47500000000002</v>
      </c>
      <c r="BJ39" s="286">
        <v>857.6721</v>
      </c>
      <c r="BK39" s="286">
        <v>911.50660000000005</v>
      </c>
      <c r="BL39" s="286">
        <v>968.71939999999995</v>
      </c>
      <c r="BM39" s="286">
        <v>1030.9849999999999</v>
      </c>
      <c r="BN39" s="286">
        <v>1073.1025</v>
      </c>
      <c r="BO39" s="244">
        <v>1203.6274000000001</v>
      </c>
      <c r="BP39" s="583">
        <v>1413.4629</v>
      </c>
      <c r="BQ39" s="248">
        <v>1419.8786338463999</v>
      </c>
      <c r="BR39" s="248">
        <v>1475.975460170072</v>
      </c>
      <c r="BS39" s="248">
        <v>1522.2046351556046</v>
      </c>
      <c r="BT39" s="248">
        <v>1568.3289578054546</v>
      </c>
      <c r="BU39" s="248">
        <v>1607.8642975312939</v>
      </c>
      <c r="BV39" s="228" t="s">
        <v>239</v>
      </c>
      <c r="BW39" s="241"/>
      <c r="BX39" s="241"/>
      <c r="BY39" s="241"/>
      <c r="BZ39" s="241"/>
      <c r="CA39" s="241"/>
      <c r="CB39" s="241"/>
      <c r="CC39" s="241"/>
      <c r="CD39" s="241"/>
      <c r="CE39" s="241"/>
      <c r="CF39" s="241"/>
      <c r="CG39" s="241"/>
      <c r="CH39" s="241"/>
      <c r="CI39" s="241"/>
      <c r="CJ39" s="241"/>
      <c r="CK39" s="241"/>
      <c r="CL39" s="241"/>
      <c r="CM39" s="241"/>
      <c r="CN39" s="241"/>
      <c r="CO39" s="241"/>
      <c r="CP39" s="241"/>
      <c r="CQ39" s="241"/>
      <c r="CR39" s="241"/>
      <c r="CS39" s="241"/>
      <c r="CT39" s="241"/>
      <c r="CU39" s="241"/>
      <c r="CV39" s="241"/>
      <c r="CW39" s="571"/>
      <c r="CX39" s="202"/>
      <c r="CY39" s="191">
        <v>4.3</v>
      </c>
      <c r="CZ39" s="191">
        <v>4.9154999999999998</v>
      </c>
      <c r="DA39" s="191">
        <v>6.5197000000000003</v>
      </c>
      <c r="DB39" s="191">
        <v>8.4649999999999999</v>
      </c>
      <c r="DC39" s="191">
        <v>12.9315</v>
      </c>
      <c r="DD39" s="191">
        <v>15.88</v>
      </c>
      <c r="DE39" s="191">
        <v>18.649000000000001</v>
      </c>
      <c r="DF39" s="280">
        <v>37.700000000000003</v>
      </c>
      <c r="DG39" s="280">
        <v>59.89</v>
      </c>
      <c r="DH39" s="280">
        <v>84.15</v>
      </c>
      <c r="DI39" s="280">
        <v>102.72</v>
      </c>
      <c r="DJ39" s="286">
        <v>177.16</v>
      </c>
      <c r="DK39" s="286">
        <v>808.47500000000002</v>
      </c>
      <c r="DL39" s="244">
        <v>1030.9849999999999</v>
      </c>
      <c r="DM39" s="245">
        <v>1419.8786338463999</v>
      </c>
      <c r="DN39" s="241">
        <v>1607.8642975312939</v>
      </c>
      <c r="DO39" s="246">
        <v>1702.4445503272525</v>
      </c>
      <c r="DP39" s="246">
        <v>1802.5883474053262</v>
      </c>
      <c r="DQ39" s="246">
        <v>1908.6229560762279</v>
      </c>
      <c r="DR39" s="246">
        <v>2020.8948946689472</v>
      </c>
      <c r="DS39" s="246">
        <v>2139.7710649435912</v>
      </c>
      <c r="DT39" s="246">
        <v>2265.6399511167438</v>
      </c>
      <c r="DU39" s="246">
        <v>2398.9128894177288</v>
      </c>
      <c r="DV39" s="246">
        <v>2540.0254123246541</v>
      </c>
      <c r="DW39" s="246">
        <v>2689.438671873163</v>
      </c>
      <c r="DX39" s="246">
        <v>2847.6409466892314</v>
      </c>
      <c r="DY39" s="246">
        <v>3015.1492376709512</v>
      </c>
      <c r="DZ39" s="246">
        <v>3192.5109575339484</v>
      </c>
      <c r="EA39" s="246">
        <v>3380.3057197418275</v>
      </c>
      <c r="EB39" s="246">
        <v>3579.1472326678177</v>
      </c>
    </row>
    <row r="40" spans="1:132" x14ac:dyDescent="0.25">
      <c r="A40" s="202" t="s">
        <v>256</v>
      </c>
      <c r="B40" s="191">
        <v>2.3228</v>
      </c>
      <c r="C40" s="191">
        <v>1.9518</v>
      </c>
      <c r="D40" s="191">
        <v>1.7669999999999999</v>
      </c>
      <c r="E40" s="191">
        <v>1.7444999999999999</v>
      </c>
      <c r="F40" s="191">
        <v>1.7789999999999999</v>
      </c>
      <c r="G40" s="191">
        <v>1.8047</v>
      </c>
      <c r="H40" s="191">
        <v>1.6873</v>
      </c>
      <c r="I40" s="191">
        <v>1.6613</v>
      </c>
      <c r="J40" s="191">
        <v>1.6318000000000001</v>
      </c>
      <c r="K40" s="191">
        <v>1.5632999999999999</v>
      </c>
      <c r="L40" s="191">
        <v>1.8793</v>
      </c>
      <c r="M40" s="191">
        <v>1.8668</v>
      </c>
      <c r="N40" s="191">
        <v>1.8268</v>
      </c>
      <c r="O40" s="191">
        <v>2.0093999999999999</v>
      </c>
      <c r="P40" s="191">
        <v>2.0264000000000002</v>
      </c>
      <c r="Q40" s="191">
        <v>2.0516000000000001</v>
      </c>
      <c r="R40" s="191">
        <v>2.0219</v>
      </c>
      <c r="S40" s="191">
        <v>2.2322000000000002</v>
      </c>
      <c r="T40" s="191">
        <v>2.2168999999999999</v>
      </c>
      <c r="U40" s="191">
        <v>2.3592</v>
      </c>
      <c r="V40" s="191">
        <v>2.2720000000000002</v>
      </c>
      <c r="W40" s="191">
        <v>2.2145000000000001</v>
      </c>
      <c r="X40" s="191">
        <v>2.4460999999999999</v>
      </c>
      <c r="Y40" s="191">
        <v>2.6581999999999999</v>
      </c>
      <c r="Z40" s="191">
        <v>3.1974</v>
      </c>
      <c r="AA40" s="191">
        <v>3.1030000000000002</v>
      </c>
      <c r="AB40" s="191">
        <v>3.9470999999999998</v>
      </c>
      <c r="AC40" s="191">
        <v>3.964</v>
      </c>
      <c r="AD40" s="191">
        <v>3.5928</v>
      </c>
      <c r="AE40" s="191">
        <v>3.2126000000000001</v>
      </c>
      <c r="AF40" s="191">
        <v>3.2612999999999999</v>
      </c>
      <c r="AG40" s="191">
        <v>3.25</v>
      </c>
      <c r="AH40" s="191">
        <v>3.1219999999999999</v>
      </c>
      <c r="AI40" s="191">
        <v>3.3081999999999998</v>
      </c>
      <c r="AJ40" s="191">
        <v>3.1625000000000001</v>
      </c>
      <c r="AK40" s="191">
        <v>3.3125</v>
      </c>
      <c r="AL40" s="191">
        <v>3.3062999999999998</v>
      </c>
      <c r="AM40" s="191">
        <v>3.8769</v>
      </c>
      <c r="AN40" s="191">
        <v>4.0503999999999998</v>
      </c>
      <c r="AO40" s="191">
        <v>3.8812000000000002</v>
      </c>
      <c r="AP40" s="191">
        <v>3.9209999999999998</v>
      </c>
      <c r="AQ40" s="191">
        <v>3.8496999999999999</v>
      </c>
      <c r="AR40" s="280">
        <v>4.157</v>
      </c>
      <c r="AS40" s="191">
        <v>4.0248999999999997</v>
      </c>
      <c r="AT40" s="191">
        <v>5.2053000000000003</v>
      </c>
      <c r="AU40" s="191">
        <v>5.4659000000000004</v>
      </c>
      <c r="AV40" s="280">
        <v>5.6102999999999996</v>
      </c>
      <c r="AW40" s="280">
        <v>5.1935000000000002</v>
      </c>
      <c r="AX40" s="280">
        <v>5.6344000000000003</v>
      </c>
      <c r="AY40" s="280">
        <v>4.9690000000000003</v>
      </c>
      <c r="AZ40" s="280">
        <v>5.4429999999999996</v>
      </c>
      <c r="BA40" s="280">
        <v>5.5713999999999997</v>
      </c>
      <c r="BB40" s="280">
        <v>4.7411000000000003</v>
      </c>
      <c r="BC40" s="280">
        <v>5.2558999999999996</v>
      </c>
      <c r="BD40" s="280">
        <v>5.4138000000000002</v>
      </c>
      <c r="BE40" s="280">
        <v>5.2859999999999996</v>
      </c>
      <c r="BF40" s="280">
        <v>5.0640000000000001</v>
      </c>
      <c r="BG40" s="280">
        <v>4.7854000000000001</v>
      </c>
      <c r="BH40" s="280">
        <v>5.0340999999999996</v>
      </c>
      <c r="BI40" s="280">
        <v>4.8571999999999997</v>
      </c>
      <c r="BJ40" s="280">
        <v>5.0141</v>
      </c>
      <c r="BK40" s="280">
        <v>5.5940000000000003</v>
      </c>
      <c r="BL40" s="280">
        <v>5.4496000000000002</v>
      </c>
      <c r="BM40" s="280">
        <v>6.1773999999999996</v>
      </c>
      <c r="BN40" s="280">
        <v>5.7057000000000002</v>
      </c>
      <c r="BO40" s="192">
        <v>5.4317000000000002</v>
      </c>
      <c r="BP40" s="583">
        <v>5.4303999999999997</v>
      </c>
      <c r="BQ40" s="241">
        <v>5.4622713598191943</v>
      </c>
      <c r="BR40" s="241">
        <v>5.5272746612184092</v>
      </c>
      <c r="BS40" s="241">
        <v>5.5405334387278007</v>
      </c>
      <c r="BT40" s="241">
        <v>5.529375126705653</v>
      </c>
      <c r="BU40" s="241">
        <v>5.561827377780812</v>
      </c>
      <c r="BV40" s="241"/>
      <c r="BW40" s="241"/>
      <c r="BX40" s="241"/>
      <c r="BY40" s="241"/>
      <c r="BZ40" s="241"/>
      <c r="CA40" s="241"/>
      <c r="CB40" s="241"/>
      <c r="CC40" s="241"/>
      <c r="CD40" s="241"/>
      <c r="CE40" s="241"/>
      <c r="CF40" s="241"/>
      <c r="CG40" s="241"/>
      <c r="CH40" s="241"/>
      <c r="CI40" s="241"/>
      <c r="CJ40" s="241"/>
      <c r="CK40" s="241"/>
      <c r="CL40" s="241"/>
      <c r="CM40" s="241"/>
      <c r="CN40" s="241"/>
      <c r="CO40" s="241"/>
      <c r="CP40" s="241"/>
      <c r="CQ40" s="241"/>
      <c r="CR40" s="241"/>
      <c r="CS40" s="241"/>
      <c r="CT40" s="241"/>
      <c r="CU40" s="241"/>
      <c r="CV40" s="241"/>
      <c r="CW40" s="241"/>
      <c r="CX40" s="202"/>
      <c r="CY40" s="191">
        <v>1.8668</v>
      </c>
      <c r="CZ40" s="191">
        <v>2.0516000000000001</v>
      </c>
      <c r="DA40" s="191">
        <v>2.3592</v>
      </c>
      <c r="DB40" s="191">
        <v>2.6581999999999999</v>
      </c>
      <c r="DC40" s="191">
        <v>3.964</v>
      </c>
      <c r="DD40" s="191">
        <v>3.25</v>
      </c>
      <c r="DE40" s="191">
        <v>3.3125</v>
      </c>
      <c r="DF40" s="280">
        <v>3.8812000000000002</v>
      </c>
      <c r="DG40" s="280">
        <v>4.0248999999999997</v>
      </c>
      <c r="DH40" s="280">
        <v>5.1935000000000002</v>
      </c>
      <c r="DI40" s="280">
        <v>5.5713999999999997</v>
      </c>
      <c r="DJ40" s="280">
        <v>5.2859999999999996</v>
      </c>
      <c r="DK40" s="280">
        <v>4.8571999999999997</v>
      </c>
      <c r="DL40" s="192">
        <v>6.1773999999999996</v>
      </c>
      <c r="DM40" s="241">
        <v>5.4622713598191943</v>
      </c>
      <c r="DN40" s="241">
        <v>5.561827377780812</v>
      </c>
      <c r="DO40" s="242">
        <v>5.6965108446741315</v>
      </c>
      <c r="DP40" s="242">
        <v>5.8344557641481032</v>
      </c>
      <c r="DQ40" s="242">
        <v>5.9757411145152179</v>
      </c>
      <c r="DR40" s="242">
        <v>6.1204477866020079</v>
      </c>
      <c r="DS40" s="242">
        <v>6.2686586300618794</v>
      </c>
      <c r="DT40" s="242">
        <v>6.4204585008094561</v>
      </c>
      <c r="DU40" s="242">
        <v>6.575934309603567</v>
      </c>
      <c r="DV40" s="242">
        <v>6.7351750718067116</v>
      </c>
      <c r="DW40" s="242">
        <v>6.8982719583494818</v>
      </c>
      <c r="DX40" s="242">
        <v>7.0653183479291206</v>
      </c>
      <c r="DY40" s="242">
        <v>7.2364098804721095</v>
      </c>
      <c r="DZ40" s="242">
        <v>7.4116445118913852</v>
      </c>
      <c r="EA40" s="242">
        <v>7.5911225701695386</v>
      </c>
      <c r="EB40" s="242">
        <v>7.7749468128001142</v>
      </c>
    </row>
    <row r="41" spans="1:132" s="584" customFormat="1" ht="11.25" x14ac:dyDescent="0.25">
      <c r="A41" s="202" t="s">
        <v>257</v>
      </c>
      <c r="B41" s="191">
        <v>5120</v>
      </c>
      <c r="C41" s="191">
        <v>5045</v>
      </c>
      <c r="D41" s="191">
        <v>4895</v>
      </c>
      <c r="E41" s="191">
        <v>4672.5</v>
      </c>
      <c r="F41" s="191">
        <v>4745</v>
      </c>
      <c r="G41" s="191">
        <v>4760</v>
      </c>
      <c r="H41" s="191">
        <v>4820</v>
      </c>
      <c r="I41" s="191">
        <v>4645</v>
      </c>
      <c r="J41" s="191">
        <v>4115</v>
      </c>
      <c r="K41" s="191">
        <v>4055</v>
      </c>
      <c r="L41" s="191">
        <v>4180</v>
      </c>
      <c r="M41" s="191">
        <v>4435</v>
      </c>
      <c r="N41" s="191">
        <v>4310</v>
      </c>
      <c r="O41" s="191">
        <v>4540</v>
      </c>
      <c r="P41" s="191">
        <v>4465</v>
      </c>
      <c r="Q41" s="191">
        <v>4220</v>
      </c>
      <c r="R41" s="191">
        <v>4008</v>
      </c>
      <c r="S41" s="191">
        <v>4452.5</v>
      </c>
      <c r="T41" s="191">
        <v>4427.5</v>
      </c>
      <c r="U41" s="191">
        <v>4598.2</v>
      </c>
      <c r="V41" s="191">
        <v>4442.1000000000004</v>
      </c>
      <c r="W41" s="191">
        <v>4386.8999999999996</v>
      </c>
      <c r="X41" s="191">
        <v>4527.5</v>
      </c>
      <c r="Y41" s="191">
        <v>4635.7</v>
      </c>
      <c r="Z41" s="191">
        <v>4798.8</v>
      </c>
      <c r="AA41" s="191">
        <v>5183.5</v>
      </c>
      <c r="AB41" s="191">
        <v>5636.1</v>
      </c>
      <c r="AC41" s="191">
        <v>5782</v>
      </c>
      <c r="AD41" s="191">
        <v>5628.7</v>
      </c>
      <c r="AE41" s="191">
        <v>5589</v>
      </c>
      <c r="AF41" s="191">
        <v>5555.4</v>
      </c>
      <c r="AG41" s="191">
        <v>5737.5</v>
      </c>
      <c r="AH41" s="191">
        <v>5638.1</v>
      </c>
      <c r="AI41" s="191">
        <v>5555</v>
      </c>
      <c r="AJ41" s="191">
        <v>5667.5</v>
      </c>
      <c r="AK41" s="191">
        <v>5588</v>
      </c>
      <c r="AL41" s="191">
        <v>5548.3</v>
      </c>
      <c r="AM41" s="191">
        <v>5693.2</v>
      </c>
      <c r="AN41" s="191">
        <v>5892.9</v>
      </c>
      <c r="AO41" s="191">
        <v>5963.9</v>
      </c>
      <c r="AP41" s="191">
        <v>6190</v>
      </c>
      <c r="AQ41" s="191">
        <v>6197.5</v>
      </c>
      <c r="AR41" s="280">
        <v>6380.1</v>
      </c>
      <c r="AS41" s="280">
        <v>6465</v>
      </c>
      <c r="AT41" s="280">
        <v>6563</v>
      </c>
      <c r="AU41" s="280">
        <v>6817.5</v>
      </c>
      <c r="AV41" s="280">
        <v>6990.2</v>
      </c>
      <c r="AW41" s="280">
        <v>6911.6</v>
      </c>
      <c r="AX41" s="280">
        <v>6311.1</v>
      </c>
      <c r="AY41" s="280">
        <v>6752.3</v>
      </c>
      <c r="AZ41" s="280">
        <v>6907</v>
      </c>
      <c r="BA41" s="280">
        <v>6876.9</v>
      </c>
      <c r="BB41" s="280">
        <v>6941.9</v>
      </c>
      <c r="BC41" s="280">
        <v>6849.1</v>
      </c>
      <c r="BD41" s="280">
        <v>7074.7</v>
      </c>
      <c r="BE41" s="280">
        <v>7339.5</v>
      </c>
      <c r="BF41" s="280">
        <v>7181.8</v>
      </c>
      <c r="BG41" s="286">
        <v>7265.8</v>
      </c>
      <c r="BH41" s="286">
        <v>7287.5</v>
      </c>
      <c r="BI41" s="286">
        <v>7275</v>
      </c>
      <c r="BJ41" s="286">
        <v>7385.5</v>
      </c>
      <c r="BK41" s="286">
        <v>7538.5</v>
      </c>
      <c r="BL41" s="286">
        <v>7793.8</v>
      </c>
      <c r="BM41" s="286">
        <v>7820.2</v>
      </c>
      <c r="BN41" s="286">
        <v>7987.9</v>
      </c>
      <c r="BO41" s="244">
        <v>7928.5</v>
      </c>
      <c r="BP41" s="583">
        <v>7172.3</v>
      </c>
      <c r="BQ41" s="241">
        <v>7206.0363044560136</v>
      </c>
      <c r="BR41" s="241">
        <v>7301.7475899165383</v>
      </c>
      <c r="BS41" s="241">
        <v>7315.7969140881269</v>
      </c>
      <c r="BT41" s="241">
        <v>7337.2681282599115</v>
      </c>
      <c r="BU41" s="241">
        <v>7368.217674035197</v>
      </c>
      <c r="BV41" s="241"/>
      <c r="BW41" s="241"/>
      <c r="BX41" s="241"/>
      <c r="BY41" s="241"/>
      <c r="BZ41" s="241"/>
      <c r="CA41" s="241"/>
      <c r="CB41" s="241"/>
      <c r="CC41" s="241"/>
      <c r="CD41" s="241"/>
      <c r="CE41" s="241"/>
      <c r="CF41" s="241"/>
      <c r="CG41" s="241"/>
      <c r="CH41" s="241"/>
      <c r="CI41" s="241"/>
      <c r="CJ41" s="241"/>
      <c r="CK41" s="241"/>
      <c r="CL41" s="241"/>
      <c r="CM41" s="241"/>
      <c r="CN41" s="241"/>
      <c r="CO41" s="241"/>
      <c r="CP41" s="241"/>
      <c r="CQ41" s="241"/>
      <c r="CR41" s="241"/>
      <c r="CS41" s="241"/>
      <c r="CT41" s="241"/>
      <c r="CU41" s="241"/>
      <c r="CV41" s="241"/>
      <c r="CW41" s="241"/>
      <c r="CX41" s="202"/>
      <c r="CY41" s="191">
        <v>4435</v>
      </c>
      <c r="CZ41" s="191">
        <v>4220</v>
      </c>
      <c r="DA41" s="191">
        <v>4598.2</v>
      </c>
      <c r="DB41" s="191">
        <v>4635.7</v>
      </c>
      <c r="DC41" s="191">
        <v>5782</v>
      </c>
      <c r="DD41" s="191">
        <v>5737.5</v>
      </c>
      <c r="DE41" s="191">
        <v>5588</v>
      </c>
      <c r="DF41" s="280">
        <v>5963.9</v>
      </c>
      <c r="DG41" s="280">
        <v>6465</v>
      </c>
      <c r="DH41" s="280">
        <v>6911.6</v>
      </c>
      <c r="DI41" s="280">
        <v>6876.9</v>
      </c>
      <c r="DJ41" s="280">
        <v>7339.5</v>
      </c>
      <c r="DK41" s="280">
        <v>7275</v>
      </c>
      <c r="DL41" s="192">
        <v>7820.2</v>
      </c>
      <c r="DM41" s="241">
        <v>7206.0363044560136</v>
      </c>
      <c r="DN41" s="241">
        <v>7368.217674035197</v>
      </c>
      <c r="DO41" s="242">
        <v>7578.3670858287096</v>
      </c>
      <c r="DP41" s="242">
        <v>7794.5101825581032</v>
      </c>
      <c r="DQ41" s="242">
        <v>8016.8179104982419</v>
      </c>
      <c r="DR41" s="242">
        <v>8245.4660914937231</v>
      </c>
      <c r="DS41" s="242">
        <v>8480.6355620153245</v>
      </c>
      <c r="DT41" s="242">
        <v>8722.5123161824758</v>
      </c>
      <c r="DU41" s="242">
        <v>8971.2876528648903</v>
      </c>
      <c r="DV41" s="242">
        <v>9227.1583269796902</v>
      </c>
      <c r="DW41" s="242">
        <v>9490.3267051036855</v>
      </c>
      <c r="DX41" s="242">
        <v>9761.0009255238856</v>
      </c>
      <c r="DY41" s="242">
        <v>10039.395062852813</v>
      </c>
      <c r="DZ41" s="242">
        <v>10325.72929733883</v>
      </c>
      <c r="EA41" s="242">
        <v>10620.230089005376</v>
      </c>
      <c r="EB41" s="242">
        <v>10923.130356756828</v>
      </c>
    </row>
    <row r="42" spans="1:132" s="584" customFormat="1" ht="11.25" x14ac:dyDescent="0.25">
      <c r="A42" s="202" t="s">
        <v>258</v>
      </c>
      <c r="B42" s="191">
        <v>14.1456</v>
      </c>
      <c r="C42" s="191">
        <v>13.169700000000001</v>
      </c>
      <c r="D42" s="191">
        <v>13.4885</v>
      </c>
      <c r="E42" s="191">
        <v>13.0817</v>
      </c>
      <c r="F42" s="191">
        <v>12.331899999999999</v>
      </c>
      <c r="G42" s="191">
        <v>12.867000000000001</v>
      </c>
      <c r="H42" s="191">
        <v>12.6005</v>
      </c>
      <c r="I42" s="191">
        <v>12.3401</v>
      </c>
      <c r="J42" s="191">
        <v>11.898899999999999</v>
      </c>
      <c r="K42" s="191">
        <v>11.7141</v>
      </c>
      <c r="L42" s="191">
        <v>13.8973</v>
      </c>
      <c r="M42" s="191">
        <v>13.935700000000001</v>
      </c>
      <c r="N42" s="191">
        <v>12.810700000000001</v>
      </c>
      <c r="O42" s="191">
        <v>13.360799999999999</v>
      </c>
      <c r="P42" s="191">
        <v>12.858499999999999</v>
      </c>
      <c r="Q42" s="191">
        <v>12.9251</v>
      </c>
      <c r="R42" s="191">
        <v>12.331200000000001</v>
      </c>
      <c r="S42" s="191">
        <v>12.9308</v>
      </c>
      <c r="T42" s="191">
        <v>13.166499999999999</v>
      </c>
      <c r="U42" s="191">
        <v>13.0954</v>
      </c>
      <c r="V42" s="191">
        <v>13.0543</v>
      </c>
      <c r="W42" s="191">
        <v>12.976900000000001</v>
      </c>
      <c r="X42" s="191">
        <v>13.427899999999999</v>
      </c>
      <c r="Y42" s="191">
        <v>14.747199999999999</v>
      </c>
      <c r="Z42" s="191">
        <v>15.2707</v>
      </c>
      <c r="AA42" s="191">
        <v>15.688499999999999</v>
      </c>
      <c r="AB42" s="191">
        <v>16.9177</v>
      </c>
      <c r="AC42" s="191">
        <v>17.2075</v>
      </c>
      <c r="AD42" s="191">
        <v>17.279299999999999</v>
      </c>
      <c r="AE42" s="191">
        <v>18.468399999999999</v>
      </c>
      <c r="AF42" s="191">
        <v>19.385200000000001</v>
      </c>
      <c r="AG42" s="191">
        <v>20.7272</v>
      </c>
      <c r="AH42" s="191">
        <v>18.724900000000002</v>
      </c>
      <c r="AI42" s="191">
        <v>18.1203</v>
      </c>
      <c r="AJ42" s="191">
        <v>18.2545</v>
      </c>
      <c r="AK42" s="191">
        <v>19.658999999999999</v>
      </c>
      <c r="AL42" s="191">
        <v>18.1812</v>
      </c>
      <c r="AM42" s="191">
        <v>19.907800000000002</v>
      </c>
      <c r="AN42" s="191">
        <v>18.718299999999999</v>
      </c>
      <c r="AO42" s="191">
        <v>19.650400000000001</v>
      </c>
      <c r="AP42" s="191">
        <v>19.427900000000001</v>
      </c>
      <c r="AQ42" s="191">
        <v>19.222899999999999</v>
      </c>
      <c r="AR42" s="280">
        <v>19.734400000000001</v>
      </c>
      <c r="AS42" s="280">
        <v>18.926500000000001</v>
      </c>
      <c r="AT42" s="280">
        <v>23.6723</v>
      </c>
      <c r="AU42" s="280">
        <v>22.9924</v>
      </c>
      <c r="AV42" s="280">
        <v>22.114599999999999</v>
      </c>
      <c r="AW42" s="280">
        <v>19.914300000000001</v>
      </c>
      <c r="AX42" s="280">
        <v>20.432500000000001</v>
      </c>
      <c r="AY42" s="280">
        <v>19.936499999999999</v>
      </c>
      <c r="AZ42" s="280">
        <v>20.64</v>
      </c>
      <c r="BA42" s="280">
        <v>20.529399999999999</v>
      </c>
      <c r="BB42" s="280">
        <v>19.869900000000001</v>
      </c>
      <c r="BC42" s="280">
        <v>20.118300000000001</v>
      </c>
      <c r="BD42" s="280">
        <v>20.138200000000001</v>
      </c>
      <c r="BE42" s="280">
        <v>19.4999</v>
      </c>
      <c r="BF42" s="280">
        <v>18.046199999999999</v>
      </c>
      <c r="BG42" s="280">
        <v>17.1248</v>
      </c>
      <c r="BH42" s="280">
        <v>17.422699999999999</v>
      </c>
      <c r="BI42" s="280">
        <v>16.972000000000001</v>
      </c>
      <c r="BJ42" s="280">
        <v>16.558599999999998</v>
      </c>
      <c r="BK42" s="280">
        <v>18.318300000000001</v>
      </c>
      <c r="BL42" s="280">
        <v>19.691500000000001</v>
      </c>
      <c r="BM42" s="280">
        <v>20.827200000000001</v>
      </c>
      <c r="BN42" s="280">
        <v>20.4711</v>
      </c>
      <c r="BO42" s="192">
        <v>18.747499999999999</v>
      </c>
      <c r="BP42" s="583">
        <v>18.636500000000002</v>
      </c>
      <c r="BQ42" s="241">
        <v>18.71609238725544</v>
      </c>
      <c r="BR42" s="241">
        <v>18.799830592160792</v>
      </c>
      <c r="BS42" s="241">
        <v>18.902440436201683</v>
      </c>
      <c r="BT42" s="241">
        <v>18.799978070175438</v>
      </c>
      <c r="BU42" s="241">
        <v>18.880268636266457</v>
      </c>
      <c r="BV42" s="241"/>
      <c r="BW42" s="241"/>
      <c r="BX42" s="241"/>
      <c r="BY42" s="241"/>
      <c r="BZ42" s="241"/>
      <c r="CA42" s="241"/>
      <c r="CB42" s="241"/>
      <c r="CC42" s="241"/>
      <c r="CD42" s="241"/>
      <c r="CE42" s="241"/>
      <c r="CF42" s="241"/>
      <c r="CG42" s="241"/>
      <c r="CH42" s="241"/>
      <c r="CI42" s="241"/>
      <c r="CJ42" s="241"/>
      <c r="CK42" s="241"/>
      <c r="CL42" s="241"/>
      <c r="CM42" s="241"/>
      <c r="CN42" s="241"/>
      <c r="CO42" s="241"/>
      <c r="CP42" s="241"/>
      <c r="CQ42" s="241"/>
      <c r="CR42" s="241"/>
      <c r="CS42" s="241"/>
      <c r="CT42" s="241"/>
      <c r="CU42" s="241"/>
      <c r="CV42" s="241"/>
      <c r="CW42" s="241"/>
      <c r="CX42" s="202"/>
      <c r="CY42" s="191">
        <v>13.935700000000001</v>
      </c>
      <c r="CZ42" s="191">
        <v>12.9251</v>
      </c>
      <c r="DA42" s="191">
        <v>13.0954</v>
      </c>
      <c r="DB42" s="191">
        <v>14.747199999999999</v>
      </c>
      <c r="DC42" s="191">
        <v>17.2075</v>
      </c>
      <c r="DD42" s="191">
        <v>20.7272</v>
      </c>
      <c r="DE42" s="191">
        <v>19.658999999999999</v>
      </c>
      <c r="DF42" s="280">
        <v>19.650400000000001</v>
      </c>
      <c r="DG42" s="280">
        <v>18.926500000000001</v>
      </c>
      <c r="DH42" s="280">
        <v>19.914300000000001</v>
      </c>
      <c r="DI42" s="280">
        <v>20.529399999999999</v>
      </c>
      <c r="DJ42" s="280">
        <v>19.4999</v>
      </c>
      <c r="DK42" s="280">
        <v>16.972000000000001</v>
      </c>
      <c r="DL42" s="192">
        <v>20.827200000000001</v>
      </c>
      <c r="DM42" s="241">
        <v>18.71609238725544</v>
      </c>
      <c r="DN42" s="241">
        <v>18.880268636266457</v>
      </c>
      <c r="DO42" s="242">
        <v>19.15791964562332</v>
      </c>
      <c r="DP42" s="242">
        <v>19.439653758058959</v>
      </c>
      <c r="DQ42" s="242">
        <v>19.725531019206887</v>
      </c>
      <c r="DR42" s="242">
        <v>20.015612357724638</v>
      </c>
      <c r="DS42" s="242">
        <v>20.309959598279416</v>
      </c>
      <c r="DT42" s="242">
        <v>20.608635474724704</v>
      </c>
      <c r="DU42" s="242">
        <v>20.911703643470659</v>
      </c>
      <c r="DV42" s="242">
        <v>21.219228697051111</v>
      </c>
      <c r="DW42" s="242">
        <v>21.531276177890103</v>
      </c>
      <c r="DX42" s="242">
        <v>21.847912592270841</v>
      </c>
      <c r="DY42" s="242">
        <v>22.169205424510121</v>
      </c>
      <c r="DZ42" s="242">
        <v>22.495223151341158</v>
      </c>
      <c r="EA42" s="242">
        <v>22.826035256507943</v>
      </c>
      <c r="EB42" s="242">
        <v>23.161712245574236</v>
      </c>
    </row>
    <row r="43" spans="1:132" x14ac:dyDescent="0.25">
      <c r="A43" s="202" t="s">
        <v>259</v>
      </c>
      <c r="B43" s="191">
        <v>24.05</v>
      </c>
      <c r="C43" s="191">
        <v>23.521999999999998</v>
      </c>
      <c r="D43" s="191">
        <v>21.45</v>
      </c>
      <c r="E43" s="191">
        <v>19.5</v>
      </c>
      <c r="F43" s="191">
        <v>19.45</v>
      </c>
      <c r="G43" s="191">
        <v>21.12</v>
      </c>
      <c r="H43" s="191">
        <v>20.3</v>
      </c>
      <c r="I43" s="191">
        <v>19.899999999999999</v>
      </c>
      <c r="J43" s="191">
        <v>19.25</v>
      </c>
      <c r="K43" s="191">
        <v>18.399999999999999</v>
      </c>
      <c r="L43" s="191">
        <v>20.303899999999999</v>
      </c>
      <c r="M43" s="191">
        <v>19.95</v>
      </c>
      <c r="N43" s="191">
        <v>19.5</v>
      </c>
      <c r="O43" s="191">
        <v>21.63</v>
      </c>
      <c r="P43" s="191">
        <v>21</v>
      </c>
      <c r="Q43" s="191">
        <v>19.18</v>
      </c>
      <c r="R43" s="191">
        <v>18.945</v>
      </c>
      <c r="S43" s="191">
        <v>20.555</v>
      </c>
      <c r="T43" s="191">
        <v>22.05</v>
      </c>
      <c r="U43" s="191">
        <v>21.3995</v>
      </c>
      <c r="V43" s="191">
        <v>22.634</v>
      </c>
      <c r="W43" s="191">
        <v>22.88</v>
      </c>
      <c r="X43" s="191">
        <v>24.68</v>
      </c>
      <c r="Y43" s="191">
        <v>24.332999999999998</v>
      </c>
      <c r="Z43" s="191">
        <v>25.734999999999999</v>
      </c>
      <c r="AA43" s="191">
        <v>27.0505</v>
      </c>
      <c r="AB43" s="191">
        <v>29.097000000000001</v>
      </c>
      <c r="AC43" s="191">
        <v>29.873000000000001</v>
      </c>
      <c r="AD43" s="191">
        <v>31.76</v>
      </c>
      <c r="AE43" s="191">
        <v>30.5</v>
      </c>
      <c r="AF43" s="191">
        <v>28.364999999999998</v>
      </c>
      <c r="AG43" s="191">
        <v>29.260999999999999</v>
      </c>
      <c r="AH43" s="191">
        <v>28.52</v>
      </c>
      <c r="AI43" s="191">
        <v>28.524999999999999</v>
      </c>
      <c r="AJ43" s="191">
        <v>28.99</v>
      </c>
      <c r="AK43" s="191">
        <v>28.7</v>
      </c>
      <c r="AL43" s="191">
        <v>28.335000000000001</v>
      </c>
      <c r="AM43" s="191">
        <v>31.484999999999999</v>
      </c>
      <c r="AN43" s="191">
        <v>33.35</v>
      </c>
      <c r="AO43" s="191">
        <v>32.4</v>
      </c>
      <c r="AP43" s="191">
        <v>33.47</v>
      </c>
      <c r="AQ43" s="191">
        <v>35.18</v>
      </c>
      <c r="AR43" s="280">
        <v>36.96</v>
      </c>
      <c r="AS43" s="280">
        <v>37.35</v>
      </c>
      <c r="AT43" s="280">
        <v>43.1</v>
      </c>
      <c r="AU43" s="280">
        <v>42.202500000000001</v>
      </c>
      <c r="AV43" s="280">
        <v>42.55</v>
      </c>
      <c r="AW43" s="280">
        <v>42.352499999999999</v>
      </c>
      <c r="AX43" s="280">
        <v>44.22</v>
      </c>
      <c r="AY43" s="280">
        <v>43.607500000000002</v>
      </c>
      <c r="AZ43" s="280">
        <v>42.942500000000003</v>
      </c>
      <c r="BA43" s="280">
        <v>44.6875</v>
      </c>
      <c r="BB43" s="280">
        <v>41.137500000000003</v>
      </c>
      <c r="BC43" s="280">
        <v>39.772500000000001</v>
      </c>
      <c r="BD43" s="280">
        <v>41.712499999999999</v>
      </c>
      <c r="BE43" s="280">
        <v>39.912500000000001</v>
      </c>
      <c r="BF43" s="280">
        <v>38.664999999999999</v>
      </c>
      <c r="BG43" s="280">
        <v>37.5</v>
      </c>
      <c r="BH43" s="280">
        <v>38.4925</v>
      </c>
      <c r="BI43" s="280">
        <v>38.85</v>
      </c>
      <c r="BJ43" s="280">
        <v>37.549999999999997</v>
      </c>
      <c r="BK43" s="280">
        <v>39.950000000000003</v>
      </c>
      <c r="BL43" s="280">
        <v>41.8</v>
      </c>
      <c r="BM43" s="280">
        <v>43.95</v>
      </c>
      <c r="BN43" s="280">
        <v>42.134999999999998</v>
      </c>
      <c r="BO43" s="192">
        <v>39.774999999999999</v>
      </c>
      <c r="BP43" s="583">
        <v>40.075000000000003</v>
      </c>
      <c r="BQ43" s="241">
        <v>40.041739355048549</v>
      </c>
      <c r="BR43" s="241">
        <v>41.26147524615736</v>
      </c>
      <c r="BS43" s="241">
        <v>41.757907398263484</v>
      </c>
      <c r="BT43" s="241">
        <v>42.135464485903007</v>
      </c>
      <c r="BU43" s="241">
        <v>42.100493737952164</v>
      </c>
      <c r="BV43" s="241"/>
      <c r="BW43" s="241"/>
      <c r="BX43" s="241"/>
      <c r="BY43" s="241"/>
      <c r="BZ43" s="241"/>
      <c r="CA43" s="241"/>
      <c r="CB43" s="241"/>
      <c r="CC43" s="241"/>
      <c r="CD43" s="241"/>
      <c r="CE43" s="241"/>
      <c r="CF43" s="241"/>
      <c r="CG43" s="241"/>
      <c r="CH43" s="241"/>
      <c r="CI43" s="241"/>
      <c r="CJ43" s="241"/>
      <c r="CK43" s="241"/>
      <c r="CL43" s="241"/>
      <c r="CM43" s="241"/>
      <c r="CN43" s="241"/>
      <c r="CO43" s="241"/>
      <c r="CP43" s="241"/>
      <c r="CQ43" s="241"/>
      <c r="CR43" s="241"/>
      <c r="CS43" s="241"/>
      <c r="CT43" s="241"/>
      <c r="CU43" s="241"/>
      <c r="CV43" s="241"/>
      <c r="CW43" s="241"/>
      <c r="CX43" s="202"/>
      <c r="CY43" s="191">
        <v>19.95</v>
      </c>
      <c r="CZ43" s="191">
        <v>19.18</v>
      </c>
      <c r="DA43" s="191">
        <v>21.3995</v>
      </c>
      <c r="DB43" s="191">
        <v>24.332999999999998</v>
      </c>
      <c r="DC43" s="191">
        <v>29.873000000000001</v>
      </c>
      <c r="DD43" s="191">
        <v>29.260999999999999</v>
      </c>
      <c r="DE43" s="191">
        <v>28.7</v>
      </c>
      <c r="DF43" s="280">
        <v>32.4</v>
      </c>
      <c r="DG43" s="280">
        <v>37.35</v>
      </c>
      <c r="DH43" s="280">
        <v>42.352499999999999</v>
      </c>
      <c r="DI43" s="280">
        <v>44.6875</v>
      </c>
      <c r="DJ43" s="280">
        <v>39.912500000000001</v>
      </c>
      <c r="DK43" s="280">
        <v>38.85</v>
      </c>
      <c r="DL43" s="192">
        <v>43.95</v>
      </c>
      <c r="DM43" s="241">
        <v>40.041739355048549</v>
      </c>
      <c r="DN43" s="241">
        <v>42.100493737952164</v>
      </c>
      <c r="DO43" s="242">
        <v>44.525482344661633</v>
      </c>
      <c r="DP43" s="242">
        <v>47.090150304760009</v>
      </c>
      <c r="DQ43" s="242">
        <v>49.802543149557884</v>
      </c>
      <c r="DR43" s="242">
        <v>52.671169833001358</v>
      </c>
      <c r="DS43" s="242">
        <v>55.705029424817646</v>
      </c>
      <c r="DT43" s="242">
        <v>58.913639341186034</v>
      </c>
      <c r="DU43" s="242">
        <v>62.307065201495575</v>
      </c>
      <c r="DV43" s="242">
        <v>65.895952404852167</v>
      </c>
      <c r="DW43" s="242">
        <v>69.69155952539252</v>
      </c>
      <c r="DX43" s="242">
        <v>73.705793631168405</v>
      </c>
      <c r="DY43" s="242">
        <v>77.951247637398708</v>
      </c>
      <c r="DZ43" s="242">
        <v>82.441239811269</v>
      </c>
      <c r="EA43" s="242">
        <v>87.189855552207689</v>
      </c>
      <c r="EB43" s="242">
        <v>92.211991578706275</v>
      </c>
    </row>
    <row r="44" spans="1:132" x14ac:dyDescent="0.25">
      <c r="A44" s="202" t="s">
        <v>260</v>
      </c>
      <c r="B44" s="191"/>
      <c r="C44" s="191"/>
      <c r="D44" s="191"/>
      <c r="E44" s="191"/>
      <c r="F44" s="191">
        <v>1.3509862199405567</v>
      </c>
      <c r="G44" s="191">
        <v>1.2236906510034262</v>
      </c>
      <c r="H44" s="191">
        <v>1.3635124079629124</v>
      </c>
      <c r="I44" s="191">
        <v>1.3385089010841922</v>
      </c>
      <c r="J44" s="191">
        <v>1.4156285390713477</v>
      </c>
      <c r="K44" s="191">
        <v>1.4501160092807426</v>
      </c>
      <c r="L44" s="191">
        <v>1.3390465988216389</v>
      </c>
      <c r="M44" s="191">
        <v>1.2963443090484834</v>
      </c>
      <c r="N44" s="191">
        <v>1.3342228152101401</v>
      </c>
      <c r="O44" s="191">
        <v>1.2659830358273199</v>
      </c>
      <c r="P44" s="191">
        <v>1.2858428700012858</v>
      </c>
      <c r="Q44" s="191">
        <v>1.3192612137203166</v>
      </c>
      <c r="R44" s="191">
        <v>1.2817226352217379</v>
      </c>
      <c r="S44" s="191">
        <v>1.3008976193573565</v>
      </c>
      <c r="T44" s="191">
        <v>1.3526308670363858</v>
      </c>
      <c r="U44" s="191">
        <v>1.3741926618111859</v>
      </c>
      <c r="V44" s="191">
        <v>1.3768415255404105</v>
      </c>
      <c r="W44" s="191">
        <v>1.3689253935660506</v>
      </c>
      <c r="X44" s="191">
        <v>1.2631047113805736</v>
      </c>
      <c r="Y44" s="191">
        <v>1.2097749818533752</v>
      </c>
      <c r="Z44" s="191">
        <v>1.0731916720326251</v>
      </c>
      <c r="AA44" s="191">
        <v>1.1137097672346585</v>
      </c>
      <c r="AB44" s="191">
        <v>1.1176930814798256</v>
      </c>
      <c r="AC44" s="191">
        <v>1.0857763300760044</v>
      </c>
      <c r="AD44" s="191">
        <v>1.1380448389666553</v>
      </c>
      <c r="AE44" s="191">
        <v>1.1106175033318526</v>
      </c>
      <c r="AF44" s="191">
        <v>1.1234692731153804</v>
      </c>
      <c r="AG44" s="191">
        <v>1.051967178624027</v>
      </c>
      <c r="AH44" s="191">
        <v>1.0651999999999999</v>
      </c>
      <c r="AI44" s="191">
        <v>1.1426000000000001</v>
      </c>
      <c r="AJ44" s="191">
        <v>1.1814</v>
      </c>
      <c r="AK44" s="191">
        <v>1.2004999999999999</v>
      </c>
      <c r="AL44" s="191">
        <v>1.2323999999999999</v>
      </c>
      <c r="AM44" s="191">
        <v>1.1684000000000001</v>
      </c>
      <c r="AN44" s="191">
        <v>1.1604000000000001</v>
      </c>
      <c r="AO44" s="191">
        <v>1.1467000000000001</v>
      </c>
      <c r="AP44" s="191">
        <v>1.1217999999999999</v>
      </c>
      <c r="AQ44" s="191">
        <v>1.1373</v>
      </c>
      <c r="AR44" s="280">
        <v>1.0899000000000001</v>
      </c>
      <c r="AS44" s="280">
        <v>1.1213</v>
      </c>
      <c r="AT44" s="280">
        <v>1.1031</v>
      </c>
      <c r="AU44" s="280">
        <v>1.1234</v>
      </c>
      <c r="AV44" s="280">
        <v>1.1720999999999999</v>
      </c>
      <c r="AW44" s="280">
        <v>1.2216</v>
      </c>
      <c r="AX44" s="280">
        <v>1.173</v>
      </c>
      <c r="AY44" s="280">
        <v>1.1858</v>
      </c>
      <c r="AZ44" s="280">
        <v>1.1579999999999999</v>
      </c>
      <c r="BA44" s="280">
        <v>1.137</v>
      </c>
      <c r="BB44" s="280">
        <v>1.1067</v>
      </c>
      <c r="BC44" s="280">
        <v>1.0484</v>
      </c>
      <c r="BD44" s="280">
        <v>0.98019999999999996</v>
      </c>
      <c r="BE44" s="280">
        <v>1.0705</v>
      </c>
      <c r="BF44" s="280">
        <v>1.0839000000000001</v>
      </c>
      <c r="BG44" s="280">
        <v>1.0909</v>
      </c>
      <c r="BH44" s="280">
        <v>1.0572999999999999</v>
      </c>
      <c r="BI44" s="280">
        <v>1.1039000000000001</v>
      </c>
      <c r="BJ44" s="280">
        <v>1.079</v>
      </c>
      <c r="BK44" s="280">
        <v>1.0712999999999999</v>
      </c>
      <c r="BL44" s="280">
        <v>1.1134999999999999</v>
      </c>
      <c r="BM44" s="280">
        <v>1.0354000000000001</v>
      </c>
      <c r="BN44" s="280">
        <v>1.0815999999999999</v>
      </c>
      <c r="BO44" s="192">
        <v>1.1787000000000001</v>
      </c>
      <c r="BP44" s="583">
        <v>1.1741999999999999</v>
      </c>
      <c r="BQ44" s="249">
        <v>1.1741999999999999</v>
      </c>
      <c r="BR44" s="249">
        <v>1.1741999999999999</v>
      </c>
      <c r="BS44" s="249">
        <v>1.1741999999999999</v>
      </c>
      <c r="BT44" s="249">
        <v>1.1741999999999999</v>
      </c>
      <c r="BU44" s="249">
        <v>1.1741999999999999</v>
      </c>
      <c r="BV44" s="249"/>
      <c r="BW44" s="249"/>
      <c r="BX44" s="249"/>
      <c r="BY44" s="249"/>
      <c r="BZ44" s="249"/>
      <c r="CA44" s="249"/>
      <c r="CB44" s="249"/>
      <c r="CC44" s="249"/>
      <c r="CD44" s="249"/>
      <c r="CE44" s="249"/>
      <c r="CF44" s="249"/>
      <c r="CG44" s="249"/>
      <c r="CH44" s="249"/>
      <c r="CI44" s="249"/>
      <c r="CJ44" s="249"/>
      <c r="CK44" s="249"/>
      <c r="CL44" s="249"/>
      <c r="CM44" s="249"/>
      <c r="CN44" s="249"/>
      <c r="CO44" s="249"/>
      <c r="CP44" s="249"/>
      <c r="CQ44" s="249"/>
      <c r="CR44" s="249"/>
      <c r="CS44" s="249"/>
      <c r="CT44" s="249"/>
      <c r="CU44" s="249"/>
      <c r="CV44" s="241"/>
      <c r="CW44" s="241"/>
      <c r="CX44" s="202"/>
      <c r="CY44" s="191">
        <v>1.2963443090484834</v>
      </c>
      <c r="CZ44" s="191">
        <v>1.3192612137203166</v>
      </c>
      <c r="DA44" s="191">
        <v>1.3741926618111859</v>
      </c>
      <c r="DB44" s="191">
        <v>1.2097749818533752</v>
      </c>
      <c r="DC44" s="191">
        <v>1.0857763300760044</v>
      </c>
      <c r="DD44" s="191">
        <v>1.051967178624027</v>
      </c>
      <c r="DE44" s="191">
        <v>1.2004999999999999</v>
      </c>
      <c r="DF44" s="280">
        <v>1.1467000000000001</v>
      </c>
      <c r="DG44" s="280">
        <v>1.1213</v>
      </c>
      <c r="DH44" s="280">
        <v>1.2216</v>
      </c>
      <c r="DI44" s="280">
        <v>1.137</v>
      </c>
      <c r="DJ44" s="280">
        <v>1.0705</v>
      </c>
      <c r="DK44" s="280">
        <v>1.1039000000000001</v>
      </c>
      <c r="DL44" s="192">
        <v>1.0354000000000001</v>
      </c>
      <c r="DM44" s="241">
        <v>1.1741999999999999</v>
      </c>
      <c r="DN44" s="241">
        <v>1.1741999999999999</v>
      </c>
      <c r="DO44" s="242">
        <v>1.1741999999999999</v>
      </c>
      <c r="DP44" s="242">
        <v>1.1741999999999999</v>
      </c>
      <c r="DQ44" s="242">
        <v>1.1741999999999999</v>
      </c>
      <c r="DR44" s="242">
        <v>1.1741999999999999</v>
      </c>
      <c r="DS44" s="242">
        <v>1.1741999999999999</v>
      </c>
      <c r="DT44" s="242">
        <v>1.1741999999999999</v>
      </c>
      <c r="DU44" s="242">
        <v>1.1741999999999999</v>
      </c>
      <c r="DV44" s="242">
        <v>1.1741999999999999</v>
      </c>
      <c r="DW44" s="242">
        <v>1.1741999999999999</v>
      </c>
      <c r="DX44" s="242">
        <v>1.1741999999999999</v>
      </c>
      <c r="DY44" s="242">
        <v>1.1741999999999999</v>
      </c>
      <c r="DZ44" s="242">
        <v>1.1741999999999999</v>
      </c>
      <c r="EA44" s="242">
        <v>1.1741999999999999</v>
      </c>
      <c r="EB44" s="242">
        <v>1.1741999999999999</v>
      </c>
    </row>
    <row r="45" spans="1:132" x14ac:dyDescent="0.25">
      <c r="A45" s="202"/>
      <c r="B45" s="191"/>
      <c r="C45" s="191"/>
      <c r="D45" s="191"/>
      <c r="E45" s="191"/>
      <c r="F45" s="191"/>
      <c r="G45" s="191"/>
      <c r="H45" s="191"/>
      <c r="I45" s="191"/>
      <c r="J45" s="191"/>
      <c r="K45" s="191"/>
      <c r="L45" s="191"/>
      <c r="M45" s="191"/>
      <c r="N45" s="191"/>
      <c r="O45" s="191"/>
      <c r="P45" s="191"/>
      <c r="Q45" s="191"/>
      <c r="R45" s="191"/>
      <c r="S45" s="191"/>
      <c r="T45" s="191"/>
      <c r="U45" s="191"/>
      <c r="V45" s="191"/>
      <c r="W45" s="191"/>
      <c r="X45" s="191"/>
      <c r="Y45" s="191"/>
      <c r="Z45" s="191"/>
      <c r="AA45" s="191"/>
      <c r="AB45" s="191"/>
      <c r="AC45" s="191"/>
      <c r="AD45" s="191"/>
      <c r="AE45" s="191"/>
      <c r="AF45" s="191"/>
      <c r="AG45" s="191"/>
      <c r="AH45" s="191"/>
      <c r="AI45" s="191"/>
      <c r="AJ45" s="191"/>
      <c r="AK45" s="191"/>
      <c r="AL45" s="191"/>
      <c r="AM45" s="191"/>
      <c r="AN45" s="191"/>
      <c r="AO45" s="191"/>
      <c r="AP45" s="191"/>
      <c r="AQ45" s="191"/>
      <c r="AR45" s="280"/>
      <c r="AS45" s="280"/>
      <c r="AT45" s="280"/>
      <c r="AU45" s="280"/>
      <c r="AV45" s="280"/>
      <c r="AW45" s="280"/>
      <c r="AX45" s="280"/>
      <c r="AY45" s="280"/>
      <c r="AZ45" s="280"/>
      <c r="BA45" s="280"/>
      <c r="BB45" s="280"/>
      <c r="BC45" s="280"/>
      <c r="BD45" s="280"/>
      <c r="BE45" s="280"/>
      <c r="BF45" s="280"/>
      <c r="BG45" s="280"/>
      <c r="BH45" s="280"/>
      <c r="BI45" s="280"/>
      <c r="BJ45" s="280"/>
      <c r="BK45" s="280"/>
      <c r="BL45" s="280"/>
      <c r="BM45" s="280"/>
      <c r="BN45" s="280"/>
      <c r="BO45" s="192"/>
      <c r="BP45" s="241"/>
      <c r="BQ45" s="241"/>
      <c r="BR45" s="241"/>
      <c r="BS45" s="241"/>
      <c r="BT45" s="241"/>
      <c r="BU45" s="241"/>
      <c r="BV45" s="241"/>
      <c r="BW45" s="241"/>
      <c r="BX45" s="241"/>
      <c r="BY45" s="241"/>
      <c r="BZ45" s="241"/>
      <c r="CA45" s="241"/>
      <c r="CB45" s="241"/>
      <c r="CC45" s="241"/>
      <c r="CD45" s="241"/>
      <c r="CE45" s="241"/>
      <c r="CF45" s="241"/>
      <c r="CG45" s="241"/>
      <c r="CH45" s="241"/>
      <c r="CI45" s="241"/>
      <c r="CJ45" s="241"/>
      <c r="CK45" s="241"/>
      <c r="CL45" s="241"/>
      <c r="CM45" s="241"/>
      <c r="CN45" s="241"/>
      <c r="CO45" s="241"/>
      <c r="CP45" s="241"/>
      <c r="CQ45" s="241"/>
      <c r="CR45" s="241"/>
      <c r="CS45" s="241"/>
      <c r="CT45" s="241"/>
      <c r="CU45" s="241"/>
      <c r="CV45" s="241"/>
      <c r="CW45" s="241"/>
      <c r="CX45" s="202"/>
      <c r="CY45" s="191"/>
      <c r="CZ45" s="191"/>
      <c r="DA45" s="191"/>
      <c r="DB45" s="191"/>
      <c r="DC45" s="191"/>
      <c r="DD45" s="191"/>
      <c r="DE45" s="191"/>
      <c r="DF45" s="280"/>
      <c r="DG45" s="280"/>
      <c r="DH45" s="280"/>
      <c r="DI45" s="280"/>
      <c r="DJ45" s="280"/>
      <c r="DK45" s="280"/>
      <c r="DL45" s="192"/>
      <c r="DM45" s="242"/>
      <c r="DN45" s="242"/>
      <c r="DO45" s="242"/>
      <c r="DP45" s="242"/>
      <c r="DQ45" s="242"/>
      <c r="DR45" s="242"/>
      <c r="DS45" s="242"/>
      <c r="DT45" s="242"/>
      <c r="DU45" s="242"/>
      <c r="DV45" s="242"/>
      <c r="DW45" s="242"/>
      <c r="DX45" s="242"/>
      <c r="DY45" s="242"/>
      <c r="DZ45" s="242"/>
      <c r="EA45" s="242"/>
      <c r="EB45" s="242"/>
    </row>
    <row r="46" spans="1:132" x14ac:dyDescent="0.25">
      <c r="A46" s="213" t="s">
        <v>261</v>
      </c>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c r="AA46" s="213"/>
      <c r="AB46" s="213"/>
      <c r="AC46" s="213"/>
      <c r="AD46" s="213"/>
      <c r="AE46" s="213"/>
      <c r="AF46" s="213"/>
      <c r="AG46" s="213"/>
      <c r="AH46" s="213"/>
      <c r="AI46" s="213"/>
      <c r="AJ46" s="213"/>
      <c r="AK46" s="213"/>
      <c r="AL46" s="213"/>
      <c r="AM46" s="213"/>
      <c r="AN46" s="213"/>
      <c r="AO46" s="213"/>
      <c r="AP46" s="213"/>
      <c r="AQ46" s="213"/>
      <c r="AR46" s="213"/>
      <c r="AS46" s="213"/>
      <c r="AT46" s="213"/>
      <c r="AU46" s="213"/>
      <c r="AV46" s="213"/>
      <c r="AW46" s="213"/>
      <c r="AX46" s="213"/>
      <c r="AY46" s="213"/>
      <c r="AZ46" s="213"/>
      <c r="BA46" s="213"/>
      <c r="BB46" s="213"/>
      <c r="BC46" s="213"/>
      <c r="BD46" s="213"/>
      <c r="BE46" s="213"/>
      <c r="BF46" s="213"/>
      <c r="BG46" s="250"/>
      <c r="BH46" s="213"/>
      <c r="BI46" s="213"/>
      <c r="BJ46" s="213"/>
      <c r="BK46" s="213"/>
      <c r="BL46" s="213"/>
      <c r="BM46" s="213"/>
      <c r="BN46" s="213"/>
      <c r="BO46" s="215"/>
      <c r="BP46" s="213"/>
      <c r="BQ46" s="213"/>
      <c r="BR46" s="213"/>
      <c r="BS46" s="213"/>
      <c r="BT46" s="213"/>
      <c r="BU46" s="213"/>
      <c r="BV46" s="213"/>
      <c r="BW46" s="213"/>
      <c r="BX46" s="213"/>
      <c r="BY46" s="213"/>
      <c r="BZ46" s="213"/>
      <c r="CA46" s="213"/>
      <c r="CB46" s="213"/>
      <c r="CC46" s="213"/>
      <c r="CD46" s="213"/>
      <c r="CE46" s="213"/>
      <c r="CF46" s="213"/>
      <c r="CG46" s="213"/>
      <c r="CH46" s="213"/>
      <c r="CI46" s="213"/>
      <c r="CJ46" s="213"/>
      <c r="CK46" s="213"/>
      <c r="CL46" s="213"/>
      <c r="CM46" s="213"/>
      <c r="CN46" s="213"/>
      <c r="CO46" s="213"/>
      <c r="CP46" s="213"/>
      <c r="CQ46" s="213"/>
      <c r="CR46" s="213"/>
      <c r="CS46" s="213"/>
      <c r="CT46" s="213"/>
      <c r="CU46" s="213"/>
      <c r="CV46" s="213"/>
      <c r="CW46" s="213"/>
      <c r="CX46" s="213"/>
      <c r="CY46" s="213"/>
      <c r="CZ46" s="213"/>
      <c r="DA46" s="213"/>
      <c r="DB46" s="213"/>
      <c r="DC46" s="213"/>
      <c r="DD46" s="213"/>
      <c r="DE46" s="213"/>
      <c r="DF46" s="213"/>
      <c r="DG46" s="213"/>
      <c r="DH46" s="213"/>
      <c r="DI46" s="213"/>
      <c r="DJ46" s="213"/>
      <c r="DK46" s="213"/>
      <c r="DL46" s="215"/>
      <c r="DM46" s="213"/>
      <c r="DN46" s="213"/>
      <c r="DO46" s="213"/>
      <c r="DP46" s="213"/>
      <c r="DQ46" s="213"/>
      <c r="DR46" s="213"/>
      <c r="DS46" s="213"/>
      <c r="DT46" s="213"/>
      <c r="DU46" s="213"/>
      <c r="DV46" s="213"/>
      <c r="DW46" s="213"/>
      <c r="DX46" s="213"/>
      <c r="DY46" s="213"/>
      <c r="DZ46" s="213"/>
      <c r="EA46" s="213"/>
      <c r="EB46" s="213"/>
    </row>
    <row r="47" spans="1:132" ht="15.75" thickBot="1" x14ac:dyDescent="0.3">
      <c r="A47" s="217" t="s">
        <v>262</v>
      </c>
      <c r="B47" s="217"/>
      <c r="C47" s="217"/>
      <c r="D47" s="217"/>
      <c r="E47" s="217"/>
      <c r="F47" s="217"/>
      <c r="G47" s="217"/>
      <c r="H47" s="217"/>
      <c r="I47" s="217"/>
      <c r="J47" s="217"/>
      <c r="K47" s="217"/>
      <c r="L47" s="217"/>
      <c r="M47" s="217"/>
      <c r="N47" s="217"/>
      <c r="O47" s="217"/>
      <c r="P47" s="217"/>
      <c r="Q47" s="217"/>
      <c r="R47" s="217"/>
      <c r="S47" s="217"/>
      <c r="T47" s="217"/>
      <c r="U47" s="217"/>
      <c r="V47" s="217"/>
      <c r="W47" s="217"/>
      <c r="X47" s="217"/>
      <c r="Y47" s="217"/>
      <c r="Z47" s="217"/>
      <c r="AA47" s="217"/>
      <c r="AB47" s="217"/>
      <c r="AC47" s="217"/>
      <c r="AD47" s="217"/>
      <c r="AE47" s="217"/>
      <c r="AF47" s="217"/>
      <c r="AG47" s="225"/>
      <c r="AH47" s="225"/>
      <c r="AI47" s="225"/>
      <c r="AJ47" s="225"/>
      <c r="AK47" s="225"/>
      <c r="AL47" s="225"/>
      <c r="AM47" s="225"/>
      <c r="AN47" s="225"/>
      <c r="AO47" s="225"/>
      <c r="AP47" s="225">
        <v>7.0300000000000001E-2</v>
      </c>
      <c r="AQ47" s="225">
        <v>6.2600000000000003E-2</v>
      </c>
      <c r="AR47" s="585">
        <v>5.9499999999999997E-2</v>
      </c>
      <c r="AS47" s="585">
        <v>5.57E-2</v>
      </c>
      <c r="AT47" s="225">
        <v>0.05</v>
      </c>
      <c r="AU47" s="225">
        <v>4.9399999999999999E-2</v>
      </c>
      <c r="AV47" s="585">
        <v>4.9099999999999998E-2</v>
      </c>
      <c r="AW47" s="585">
        <v>4.5499999999999999E-2</v>
      </c>
      <c r="AX47" s="585">
        <v>4.3900000000000002E-2</v>
      </c>
      <c r="AY47" s="585">
        <v>4.6100000000000002E-2</v>
      </c>
      <c r="AZ47" s="585">
        <v>4.8800000000000003E-2</v>
      </c>
      <c r="BA47" s="585">
        <v>5.3199999999999997E-2</v>
      </c>
      <c r="BB47" s="585">
        <v>6.08E-2</v>
      </c>
      <c r="BC47" s="585">
        <v>6.8199999999999997E-2</v>
      </c>
      <c r="BD47" s="585">
        <v>7.0099999999999996E-2</v>
      </c>
      <c r="BE47" s="585">
        <v>7.1999999999999995E-2</v>
      </c>
      <c r="BF47" s="585">
        <v>7.2800000000000004E-2</v>
      </c>
      <c r="BG47" s="585">
        <v>7.2800000000000004E-2</v>
      </c>
      <c r="BH47" s="284">
        <v>7.0000000000000007E-2</v>
      </c>
      <c r="BI47" s="284">
        <v>6.5500000000000003E-2</v>
      </c>
      <c r="BJ47" s="284">
        <v>6.5299999999999997E-2</v>
      </c>
      <c r="BK47" s="284">
        <v>6.6699999999999995E-2</v>
      </c>
      <c r="BL47" s="284">
        <v>6.9099999999999995E-2</v>
      </c>
      <c r="BM47" s="284">
        <v>7.4299999999999991E-2</v>
      </c>
      <c r="BN47" s="284">
        <v>7.9699999999999993E-2</v>
      </c>
      <c r="BO47" s="218">
        <v>8.6500000000000007E-2</v>
      </c>
      <c r="BP47" s="251">
        <v>9.4999999999999959E-2</v>
      </c>
      <c r="BQ47" s="251">
        <v>9.2999999999999985E-2</v>
      </c>
      <c r="BR47" s="251">
        <v>8.6999999999999952E-2</v>
      </c>
      <c r="BS47" s="251">
        <v>7.9499999999999946E-2</v>
      </c>
      <c r="BT47" s="251">
        <v>7.3999999999999969E-2</v>
      </c>
      <c r="BU47" s="251">
        <v>6.8499999999999964E-2</v>
      </c>
      <c r="BV47" s="251"/>
      <c r="BW47" s="251"/>
      <c r="BX47" s="251"/>
      <c r="BY47" s="251"/>
      <c r="BZ47" s="251"/>
      <c r="CA47" s="251"/>
      <c r="CB47" s="251"/>
      <c r="CC47" s="251"/>
      <c r="CD47" s="251"/>
      <c r="CE47" s="251"/>
      <c r="CF47" s="251"/>
      <c r="CG47" s="251"/>
      <c r="CH47" s="251"/>
      <c r="CI47" s="251"/>
      <c r="CJ47" s="251"/>
      <c r="CK47" s="251"/>
      <c r="CL47" s="251"/>
      <c r="CM47" s="251"/>
      <c r="CN47" s="251"/>
      <c r="CO47" s="251"/>
      <c r="CP47" s="251"/>
      <c r="CQ47" s="251"/>
      <c r="CR47" s="251"/>
      <c r="CS47" s="251"/>
      <c r="CT47" s="251"/>
      <c r="CU47" s="251"/>
      <c r="CV47" s="252"/>
      <c r="CW47" s="223"/>
      <c r="CX47" s="217"/>
      <c r="CY47" s="217"/>
      <c r="CZ47" s="217"/>
      <c r="DA47" s="217"/>
      <c r="DB47" s="217">
        <v>0.05</v>
      </c>
      <c r="DC47" s="217">
        <v>6.25E-2</v>
      </c>
      <c r="DD47" s="217">
        <v>7.4999999999999997E-2</v>
      </c>
      <c r="DE47" s="217">
        <v>7.1250000000000008E-2</v>
      </c>
      <c r="DF47" s="217">
        <v>6.7500000000000004E-2</v>
      </c>
      <c r="DG47" s="284">
        <v>5.57E-2</v>
      </c>
      <c r="DH47" s="284">
        <v>4.5499999999999999E-2</v>
      </c>
      <c r="DI47" s="284">
        <v>5.3199999999999997E-2</v>
      </c>
      <c r="DJ47" s="284">
        <v>7.1999999999999995E-2</v>
      </c>
      <c r="DK47" s="284">
        <v>6.5500000000000003E-2</v>
      </c>
      <c r="DL47" s="218">
        <v>7.4299999999999991E-2</v>
      </c>
      <c r="DM47" s="223">
        <v>9.2999999999999985E-2</v>
      </c>
      <c r="DN47" s="223">
        <v>6.8499999999999964E-2</v>
      </c>
      <c r="DO47" s="224">
        <v>6.8499999999999964E-2</v>
      </c>
      <c r="DP47" s="224">
        <v>6.8499999999999964E-2</v>
      </c>
      <c r="DQ47" s="224">
        <v>6.8499999999999964E-2</v>
      </c>
      <c r="DR47" s="224">
        <v>6.8499999999999964E-2</v>
      </c>
      <c r="DS47" s="224">
        <v>6.8499999999999964E-2</v>
      </c>
      <c r="DT47" s="224">
        <v>6.8499999999999964E-2</v>
      </c>
      <c r="DU47" s="224">
        <v>6.8499999999999964E-2</v>
      </c>
      <c r="DV47" s="224">
        <v>6.8499999999999964E-2</v>
      </c>
      <c r="DW47" s="224">
        <v>6.8499999999999964E-2</v>
      </c>
      <c r="DX47" s="224">
        <v>6.8499999999999964E-2</v>
      </c>
      <c r="DY47" s="224">
        <v>6.8499999999999964E-2</v>
      </c>
      <c r="DZ47" s="224">
        <v>6.8499999999999964E-2</v>
      </c>
      <c r="EA47" s="224">
        <v>6.8499999999999964E-2</v>
      </c>
      <c r="EB47" s="224">
        <v>6.8499999999999964E-2</v>
      </c>
    </row>
    <row r="48" spans="1:132" ht="15.75" thickBot="1" x14ac:dyDescent="0.3">
      <c r="A48" s="217" t="s">
        <v>263</v>
      </c>
      <c r="B48" s="217"/>
      <c r="C48" s="217">
        <v>8.4041999999999988E-3</v>
      </c>
      <c r="D48" s="217">
        <v>4.1381000000000005E-3</v>
      </c>
      <c r="E48" s="217">
        <v>2.6832000000000002E-3</v>
      </c>
      <c r="F48" s="217">
        <v>2.5693000000000001E-3</v>
      </c>
      <c r="G48" s="217">
        <v>4.3861999999999998E-3</v>
      </c>
      <c r="H48" s="217">
        <v>3.8846999999999996E-3</v>
      </c>
      <c r="I48" s="217">
        <v>2.928E-3</v>
      </c>
      <c r="J48" s="217">
        <v>3.0793999999999999E-3</v>
      </c>
      <c r="K48" s="217">
        <v>2.6218999999999999E-3</v>
      </c>
      <c r="L48" s="217">
        <v>2.9853000000000002E-3</v>
      </c>
      <c r="M48" s="217">
        <v>4.7789E-3</v>
      </c>
      <c r="N48" s="217">
        <v>5.1349999999999998E-3</v>
      </c>
      <c r="O48" s="217">
        <v>4.6632000000000002E-3</v>
      </c>
      <c r="P48" s="217">
        <v>4.2513000000000004E-3</v>
      </c>
      <c r="Q48" s="217">
        <v>3.1756000000000002E-3</v>
      </c>
      <c r="R48" s="217">
        <v>2.9202E-3</v>
      </c>
      <c r="S48" s="217">
        <v>2.7504000000000001E-3</v>
      </c>
      <c r="T48" s="217">
        <v>2.6157999999999997E-3</v>
      </c>
      <c r="U48" s="217">
        <v>2.4128000000000001E-3</v>
      </c>
      <c r="V48" s="217">
        <v>2.3588999999999997E-3</v>
      </c>
      <c r="W48" s="217">
        <v>2.2821999999999999E-3</v>
      </c>
      <c r="X48" s="217">
        <v>2.3427000000000001E-3</v>
      </c>
      <c r="Y48" s="217">
        <v>2.3617999999999998E-3</v>
      </c>
      <c r="Z48" s="217">
        <v>2.6050000000000001E-3</v>
      </c>
      <c r="AA48" s="217">
        <v>2.7951E-3</v>
      </c>
      <c r="AB48" s="217">
        <v>3.1363000000000003E-3</v>
      </c>
      <c r="AC48" s="217">
        <v>4.0715999999999999E-3</v>
      </c>
      <c r="AD48" s="217">
        <v>6.2483999999999994E-3</v>
      </c>
      <c r="AE48" s="217">
        <v>6.4315999999999991E-3</v>
      </c>
      <c r="AF48" s="217">
        <v>7.8678000000000012E-3</v>
      </c>
      <c r="AG48" s="225">
        <v>9.1976000000000002E-3</v>
      </c>
      <c r="AH48" s="225">
        <v>1.07078E-2</v>
      </c>
      <c r="AI48" s="225">
        <v>1.2055500000000002E-2</v>
      </c>
      <c r="AJ48" s="225">
        <v>1.31498E-2</v>
      </c>
      <c r="AK48" s="225">
        <v>1.4591E-2</v>
      </c>
      <c r="AL48" s="225">
        <v>1.9251000000000001E-2</v>
      </c>
      <c r="AM48" s="225">
        <v>2.33826E-2</v>
      </c>
      <c r="AN48" s="225">
        <v>2.3370000000000002E-2</v>
      </c>
      <c r="AO48" s="225">
        <v>2.6225600000000002E-2</v>
      </c>
      <c r="AP48" s="225">
        <v>2.6870599999999998E-2</v>
      </c>
      <c r="AQ48" s="225">
        <v>2.5066600000000001E-2</v>
      </c>
      <c r="AR48" s="585">
        <v>2.19759E-2</v>
      </c>
      <c r="AS48" s="585">
        <v>1.93177E-2</v>
      </c>
      <c r="AT48" s="585">
        <v>1.5291299999999999E-2</v>
      </c>
      <c r="AU48" s="585">
        <v>5.9578000000000001E-3</v>
      </c>
      <c r="AV48" s="585">
        <v>2.5280000000000003E-3</v>
      </c>
      <c r="AW48" s="585">
        <v>2.2472E-3</v>
      </c>
      <c r="AX48" s="585">
        <v>2.0043000000000001E-3</v>
      </c>
      <c r="AY48" s="585">
        <v>1.572E-3</v>
      </c>
      <c r="AZ48" s="585">
        <v>1.572E-3</v>
      </c>
      <c r="BA48" s="585" t="e">
        <v>#VALUE!</v>
      </c>
      <c r="BB48" s="585">
        <v>5.1787000000000005E-3</v>
      </c>
      <c r="BC48" s="585">
        <v>1.5480000000000001E-2</v>
      </c>
      <c r="BD48" s="585">
        <v>0.03</v>
      </c>
      <c r="BE48" s="253">
        <v>4.065714285714285E-2</v>
      </c>
      <c r="BF48" s="585">
        <v>4.4988709677419393E-2</v>
      </c>
      <c r="BG48" s="585">
        <v>4.9677419354838742E-2</v>
      </c>
      <c r="BH48" s="284">
        <v>5.2369841269841316E-2</v>
      </c>
      <c r="BI48" s="284">
        <v>5.3217741935483849E-2</v>
      </c>
      <c r="BJ48" s="284">
        <v>5.3144262295081977E-2</v>
      </c>
      <c r="BK48" s="284">
        <v>5.3185714285714274E-2</v>
      </c>
      <c r="BL48" s="284">
        <v>5.277812499999996E-2</v>
      </c>
      <c r="BM48" s="284">
        <v>4.6787096774193529E-2</v>
      </c>
      <c r="BN48" s="284">
        <v>4.3281967213114773E-2</v>
      </c>
      <c r="BO48" s="218">
        <v>4.3564285714285715E-2</v>
      </c>
      <c r="BP48" s="251">
        <v>4.0099999999999997E-2</v>
      </c>
      <c r="BQ48" s="251">
        <v>3.7699999999999997E-2</v>
      </c>
      <c r="BR48" s="251">
        <v>3.5900000000000001E-2</v>
      </c>
      <c r="BS48" s="251">
        <v>3.44E-2</v>
      </c>
      <c r="BT48" s="251">
        <v>3.3700000000000001E-2</v>
      </c>
      <c r="BU48" s="251">
        <v>3.3099999999999997E-2</v>
      </c>
      <c r="BV48" s="251"/>
      <c r="BW48" s="251"/>
      <c r="BX48" s="251"/>
      <c r="BY48" s="251"/>
      <c r="BZ48" s="251"/>
      <c r="CA48" s="251"/>
      <c r="CB48" s="251"/>
      <c r="CC48" s="251"/>
      <c r="CD48" s="251"/>
      <c r="CE48" s="251"/>
      <c r="CF48" s="251"/>
      <c r="CG48" s="251"/>
      <c r="CH48" s="251"/>
      <c r="CI48" s="251"/>
      <c r="CJ48" s="251"/>
      <c r="CK48" s="251"/>
      <c r="CL48" s="251"/>
      <c r="CM48" s="251"/>
      <c r="CN48" s="251"/>
      <c r="CO48" s="251"/>
      <c r="CP48" s="251"/>
      <c r="CQ48" s="251"/>
      <c r="CR48" s="251"/>
      <c r="CS48" s="251"/>
      <c r="CT48" s="251"/>
      <c r="CU48" s="251"/>
      <c r="CV48" s="223"/>
      <c r="CW48" s="223"/>
      <c r="CX48" s="217"/>
      <c r="CY48" s="217"/>
      <c r="CZ48" s="217">
        <v>4.306275E-3</v>
      </c>
      <c r="DA48" s="217">
        <v>2.6747999999999997E-3</v>
      </c>
      <c r="DB48" s="217">
        <v>2.3363999999999998E-3</v>
      </c>
      <c r="DC48" s="217">
        <v>3.1519999999999999E-3</v>
      </c>
      <c r="DD48" s="217">
        <v>7.4363499999999996E-3</v>
      </c>
      <c r="DE48" s="217">
        <v>1.2626025000000001E-2</v>
      </c>
      <c r="DF48" s="217">
        <v>2.3057299999999999E-2</v>
      </c>
      <c r="DG48" s="284">
        <v>2.3307700000000001E-2</v>
      </c>
      <c r="DH48" s="284">
        <v>6.5060750000000001E-3</v>
      </c>
      <c r="DI48" s="284" t="e">
        <v>#VALUE!</v>
      </c>
      <c r="DJ48" s="284">
        <v>2.2828960714285713E-2</v>
      </c>
      <c r="DK48" s="284">
        <v>5.3217741935483849E-2</v>
      </c>
      <c r="DL48" s="218">
        <v>4.6787096774193529E-2</v>
      </c>
      <c r="DM48" s="223">
        <v>3.7699999999999997E-2</v>
      </c>
      <c r="DN48" s="223">
        <v>3.3099999999999997E-2</v>
      </c>
      <c r="DO48" s="224">
        <v>3.3099999999999997E-2</v>
      </c>
      <c r="DP48" s="224">
        <v>3.3099999999999997E-2</v>
      </c>
      <c r="DQ48" s="224">
        <v>3.3099999999999997E-2</v>
      </c>
      <c r="DR48" s="224">
        <v>3.3099999999999997E-2</v>
      </c>
      <c r="DS48" s="224">
        <v>3.3099999999999997E-2</v>
      </c>
      <c r="DT48" s="224">
        <v>3.3099999999999997E-2</v>
      </c>
      <c r="DU48" s="224">
        <v>3.3099999999999997E-2</v>
      </c>
      <c r="DV48" s="224">
        <v>3.3099999999999997E-2</v>
      </c>
      <c r="DW48" s="224">
        <v>3.3099999999999997E-2</v>
      </c>
      <c r="DX48" s="224">
        <v>3.3099999999999997E-2</v>
      </c>
      <c r="DY48" s="224">
        <v>3.3099999999999997E-2</v>
      </c>
      <c r="DZ48" s="224">
        <v>3.3099999999999997E-2</v>
      </c>
      <c r="EA48" s="224">
        <v>3.3099999999999997E-2</v>
      </c>
      <c r="EB48" s="224">
        <v>3.3099999999999997E-2</v>
      </c>
    </row>
    <row r="49" spans="1:194" x14ac:dyDescent="0.25">
      <c r="A49" s="217" t="s">
        <v>264</v>
      </c>
      <c r="B49" s="217"/>
      <c r="C49" s="217">
        <v>7.4999999999999997E-3</v>
      </c>
      <c r="D49" s="217">
        <v>5.0000000000000001E-3</v>
      </c>
      <c r="E49" s="217">
        <v>5.0000000000000001E-3</v>
      </c>
      <c r="F49" s="217">
        <v>5.0000000000000001E-3</v>
      </c>
      <c r="G49" s="217">
        <v>0.01</v>
      </c>
      <c r="H49" s="217">
        <v>2.5000000000000001E-2</v>
      </c>
      <c r="I49" s="217">
        <v>3.2500000000000001E-2</v>
      </c>
      <c r="J49" s="217">
        <v>0.04</v>
      </c>
      <c r="K49" s="217">
        <v>5.2499999999999998E-2</v>
      </c>
      <c r="L49" s="217">
        <v>5.2499999999999998E-2</v>
      </c>
      <c r="M49" s="217">
        <v>5.2499999999999998E-2</v>
      </c>
      <c r="N49" s="217">
        <v>0.05</v>
      </c>
      <c r="O49" s="217">
        <v>0.05</v>
      </c>
      <c r="P49" s="217">
        <v>0.05</v>
      </c>
      <c r="Q49" s="217">
        <v>0.05</v>
      </c>
      <c r="R49" s="217">
        <v>0.05</v>
      </c>
      <c r="S49" s="217">
        <v>0.05</v>
      </c>
      <c r="T49" s="217">
        <v>0.05</v>
      </c>
      <c r="U49" s="217">
        <v>4.4999999999999998E-2</v>
      </c>
      <c r="V49" s="217">
        <v>0.04</v>
      </c>
      <c r="W49" s="217">
        <v>0.04</v>
      </c>
      <c r="X49" s="217">
        <v>3.2500000000000001E-2</v>
      </c>
      <c r="Y49" s="217">
        <v>0.03</v>
      </c>
      <c r="Z49" s="217">
        <v>0.03</v>
      </c>
      <c r="AA49" s="217">
        <v>0.03</v>
      </c>
      <c r="AB49" s="217">
        <v>0.03</v>
      </c>
      <c r="AC49" s="217">
        <v>3.5000000000000003E-2</v>
      </c>
      <c r="AD49" s="217">
        <v>3.5000000000000003E-2</v>
      </c>
      <c r="AE49" s="217">
        <v>3.5000000000000003E-2</v>
      </c>
      <c r="AF49" s="217">
        <v>3.5000000000000003E-2</v>
      </c>
      <c r="AG49" s="225">
        <v>3.5000000000000003E-2</v>
      </c>
      <c r="AH49" s="225">
        <v>0.03</v>
      </c>
      <c r="AI49" s="225">
        <v>2.5000000000000001E-2</v>
      </c>
      <c r="AJ49" s="225">
        <v>2.5000000000000001E-2</v>
      </c>
      <c r="AK49" s="225">
        <v>2.5000000000000001E-2</v>
      </c>
      <c r="AL49" s="225">
        <v>2.5000000000000001E-2</v>
      </c>
      <c r="AM49" s="225">
        <v>2.5000000000000001E-2</v>
      </c>
      <c r="AN49" s="225">
        <v>2.5000000000000001E-2</v>
      </c>
      <c r="AO49" s="225">
        <v>2.75E-2</v>
      </c>
      <c r="AP49" s="225">
        <v>0.03</v>
      </c>
      <c r="AQ49" s="225">
        <v>2.5000000000000001E-2</v>
      </c>
      <c r="AR49" s="585">
        <v>0.02</v>
      </c>
      <c r="AS49" s="585">
        <v>1.7500000000000002E-2</v>
      </c>
      <c r="AT49" s="585">
        <v>5.0000000000000001E-3</v>
      </c>
      <c r="AU49" s="585">
        <v>5.0000000000000001E-3</v>
      </c>
      <c r="AV49" s="585">
        <v>5.0000000000000001E-3</v>
      </c>
      <c r="AW49" s="585">
        <v>5.0000000000000001E-3</v>
      </c>
      <c r="AX49" s="585">
        <v>5.0000000000000001E-3</v>
      </c>
      <c r="AY49" s="585">
        <v>5.0000000000000001E-3</v>
      </c>
      <c r="AZ49" s="585">
        <v>1.4999999999999999E-2</v>
      </c>
      <c r="BA49" s="585">
        <v>0.04</v>
      </c>
      <c r="BB49" s="585">
        <v>7.0000000000000007E-2</v>
      </c>
      <c r="BC49" s="585">
        <v>0.09</v>
      </c>
      <c r="BD49" s="585">
        <v>0.1075</v>
      </c>
      <c r="BE49" s="585">
        <v>0.1125</v>
      </c>
      <c r="BF49" s="585">
        <v>0.1125</v>
      </c>
      <c r="BG49" s="585">
        <v>0.1125</v>
      </c>
      <c r="BH49" s="284">
        <v>9.5000000000000001E-2</v>
      </c>
      <c r="BI49" s="284">
        <v>8.2500000000000004E-2</v>
      </c>
      <c r="BJ49" s="284">
        <v>7.2499999999999995E-2</v>
      </c>
      <c r="BK49" s="284">
        <v>5.7500000000000002E-2</v>
      </c>
      <c r="BL49" s="284">
        <v>5.5E-2</v>
      </c>
      <c r="BM49" s="284">
        <v>0.05</v>
      </c>
      <c r="BN49" s="284">
        <v>0.05</v>
      </c>
      <c r="BO49" s="218">
        <v>0.05</v>
      </c>
      <c r="BP49" s="251">
        <v>4.7500000000000001E-2</v>
      </c>
      <c r="BQ49" s="251">
        <v>4.7500000000000001E-2</v>
      </c>
      <c r="BR49" s="251">
        <v>4.6500000000000007E-2</v>
      </c>
      <c r="BS49" s="251">
        <v>4.5499999999999999E-2</v>
      </c>
      <c r="BT49" s="251">
        <v>4.5499999999999999E-2</v>
      </c>
      <c r="BU49" s="251">
        <v>4.1500000000000002E-2</v>
      </c>
      <c r="BV49" s="251"/>
      <c r="BW49" s="251"/>
      <c r="BX49" s="251"/>
      <c r="BY49" s="251"/>
      <c r="BZ49" s="251"/>
      <c r="CA49" s="251"/>
      <c r="CB49" s="251"/>
      <c r="CC49" s="251"/>
      <c r="CD49" s="251"/>
      <c r="CE49" s="251"/>
      <c r="CF49" s="251"/>
      <c r="CG49" s="251"/>
      <c r="CH49" s="251"/>
      <c r="CI49" s="251"/>
      <c r="CJ49" s="251"/>
      <c r="CK49" s="251"/>
      <c r="CL49" s="251"/>
      <c r="CM49" s="251"/>
      <c r="CN49" s="251"/>
      <c r="CO49" s="251"/>
      <c r="CP49" s="251"/>
      <c r="CQ49" s="251"/>
      <c r="CR49" s="251"/>
      <c r="CS49" s="251"/>
      <c r="CT49" s="251"/>
      <c r="CU49" s="251"/>
      <c r="CV49" s="223"/>
      <c r="CW49" s="223"/>
      <c r="CX49" s="217"/>
      <c r="CY49" s="217">
        <v>5.2499999999999998E-2</v>
      </c>
      <c r="CZ49" s="217">
        <v>0.05</v>
      </c>
      <c r="DA49" s="217">
        <v>4.4999999999999998E-2</v>
      </c>
      <c r="DB49" s="217">
        <v>0.03</v>
      </c>
      <c r="DC49" s="217">
        <v>3.5000000000000003E-2</v>
      </c>
      <c r="DD49" s="217">
        <v>3.5000000000000003E-2</v>
      </c>
      <c r="DE49" s="217">
        <v>2.5000000000000001E-2</v>
      </c>
      <c r="DF49" s="217">
        <v>2.75E-2</v>
      </c>
      <c r="DG49" s="284">
        <v>1.7500000000000002E-2</v>
      </c>
      <c r="DH49" s="284">
        <v>5.0000000000000001E-3</v>
      </c>
      <c r="DI49" s="284">
        <v>0.04</v>
      </c>
      <c r="DJ49" s="284">
        <v>0.1125</v>
      </c>
      <c r="DK49" s="284">
        <v>8.2500000000000004E-2</v>
      </c>
      <c r="DL49" s="218">
        <v>0.05</v>
      </c>
      <c r="DM49" s="223">
        <v>4.7500000000000001E-2</v>
      </c>
      <c r="DN49" s="223">
        <v>4.1500000000000002E-2</v>
      </c>
      <c r="DO49" s="231">
        <v>4.1500000000000002E-2</v>
      </c>
      <c r="DP49" s="231">
        <v>4.1500000000000002E-2</v>
      </c>
      <c r="DQ49" s="231">
        <v>4.1500000000000002E-2</v>
      </c>
      <c r="DR49" s="231">
        <v>4.1500000000000002E-2</v>
      </c>
      <c r="DS49" s="231">
        <v>4.1500000000000002E-2</v>
      </c>
      <c r="DT49" s="231">
        <v>4.1500000000000002E-2</v>
      </c>
      <c r="DU49" s="231">
        <v>4.1500000000000002E-2</v>
      </c>
      <c r="DV49" s="231">
        <v>4.1500000000000002E-2</v>
      </c>
      <c r="DW49" s="231">
        <v>4.1500000000000002E-2</v>
      </c>
      <c r="DX49" s="231">
        <v>4.1500000000000002E-2</v>
      </c>
      <c r="DY49" s="231">
        <v>4.1500000000000002E-2</v>
      </c>
      <c r="DZ49" s="231">
        <v>4.1500000000000002E-2</v>
      </c>
      <c r="EA49" s="231">
        <v>4.1500000000000002E-2</v>
      </c>
      <c r="EB49" s="231">
        <v>4.1500000000000002E-2</v>
      </c>
    </row>
    <row r="50" spans="1:194" x14ac:dyDescent="0.25">
      <c r="A50" s="217" t="s">
        <v>265</v>
      </c>
      <c r="B50" s="217">
        <v>5.4688000000000001E-2</v>
      </c>
      <c r="C50" s="217">
        <v>1.3900000000000001E-2</v>
      </c>
      <c r="D50" s="217">
        <v>5.1999999999999998E-3</v>
      </c>
      <c r="E50" s="217">
        <v>5.0000000000000001E-3</v>
      </c>
      <c r="F50" s="217">
        <v>5.0000000000000001E-3</v>
      </c>
      <c r="G50" s="217">
        <v>5.8999999999999999E-3</v>
      </c>
      <c r="H50" s="217">
        <v>1.77E-2</v>
      </c>
      <c r="I50" s="217">
        <v>2.8999999999999998E-2</v>
      </c>
      <c r="J50" s="217">
        <v>3.4599999999999999E-2</v>
      </c>
      <c r="K50" s="217">
        <v>4.7800000000000002E-2</v>
      </c>
      <c r="L50" s="217">
        <v>5.2499999999999998E-2</v>
      </c>
      <c r="M50" s="217">
        <v>5.2499999999999998E-2</v>
      </c>
      <c r="N50" s="217">
        <v>5.0300000000000004E-2</v>
      </c>
      <c r="O50" s="217">
        <v>0.05</v>
      </c>
      <c r="P50" s="217">
        <v>0.05</v>
      </c>
      <c r="Q50" s="217">
        <v>0.05</v>
      </c>
      <c r="R50" s="217">
        <v>0.05</v>
      </c>
      <c r="S50" s="217">
        <v>0.05</v>
      </c>
      <c r="T50" s="217">
        <v>0.05</v>
      </c>
      <c r="U50" s="217">
        <v>4.6799999999999994E-2</v>
      </c>
      <c r="V50" s="217">
        <v>4.3299999999999998E-2</v>
      </c>
      <c r="W50" s="217">
        <v>0.04</v>
      </c>
      <c r="X50" s="217">
        <v>3.61E-2</v>
      </c>
      <c r="Y50" s="217">
        <v>3.04E-2</v>
      </c>
      <c r="Z50" s="217">
        <v>0.03</v>
      </c>
      <c r="AA50" s="217">
        <v>0.03</v>
      </c>
      <c r="AB50" s="217">
        <v>0.03</v>
      </c>
      <c r="AC50" s="217">
        <v>3.2500000000000001E-2</v>
      </c>
      <c r="AD50" s="217">
        <v>3.5000000000000003E-2</v>
      </c>
      <c r="AE50" s="217">
        <v>3.5000000000000003E-2</v>
      </c>
      <c r="AF50" s="217">
        <v>3.5000000000000003E-2</v>
      </c>
      <c r="AG50" s="225">
        <v>3.5000000000000003E-2</v>
      </c>
      <c r="AH50" s="225">
        <v>3.2500000000000001E-2</v>
      </c>
      <c r="AI50" s="225">
        <v>2.6499999999999999E-2</v>
      </c>
      <c r="AJ50" s="225">
        <v>2.5000000000000001E-2</v>
      </c>
      <c r="AK50" s="225">
        <v>2.5000000000000001E-2</v>
      </c>
      <c r="AL50" s="225">
        <v>2.5000000000000001E-2</v>
      </c>
      <c r="AM50" s="225">
        <v>2.5000000000000001E-2</v>
      </c>
      <c r="AN50" s="225">
        <v>2.5000000000000001E-2</v>
      </c>
      <c r="AO50" s="225">
        <v>2.7000000000000003E-2</v>
      </c>
      <c r="AP50" s="225">
        <v>2.92E-2</v>
      </c>
      <c r="AQ50" s="225">
        <v>2.8799999999999999E-2</v>
      </c>
      <c r="AR50" s="585">
        <v>2.35E-2</v>
      </c>
      <c r="AS50" s="585">
        <v>1.8100000000000002E-2</v>
      </c>
      <c r="AT50" s="585">
        <v>1.6E-2</v>
      </c>
      <c r="AU50" s="585">
        <v>5.0000000000000001E-3</v>
      </c>
      <c r="AV50" s="585">
        <v>5.0000000000000001E-3</v>
      </c>
      <c r="AW50" s="585">
        <v>5.0000000000000001E-3</v>
      </c>
      <c r="AX50" s="585">
        <v>5.0000000000000001E-3</v>
      </c>
      <c r="AY50" s="585">
        <v>5.0000000000000001E-3</v>
      </c>
      <c r="AZ50" s="585">
        <v>9.7000000000000003E-3</v>
      </c>
      <c r="BA50" s="585">
        <v>2.87E-2</v>
      </c>
      <c r="BB50" s="585">
        <v>5.1496666666666663E-2</v>
      </c>
      <c r="BC50" s="585">
        <v>7.890329670329671E-2</v>
      </c>
      <c r="BD50" s="585">
        <v>9.8750000000000004E-2</v>
      </c>
      <c r="BE50" s="585">
        <v>0.11</v>
      </c>
      <c r="BF50" s="585">
        <v>0.1125</v>
      </c>
      <c r="BG50" s="585">
        <v>0.1125</v>
      </c>
      <c r="BH50" s="284">
        <v>0.10379166666666667</v>
      </c>
      <c r="BI50" s="284">
        <v>9.0624999999999997E-2</v>
      </c>
      <c r="BJ50" s="284">
        <v>7.5992063492063486E-2</v>
      </c>
      <c r="BK50" s="284">
        <v>6.2909836065573779E-2</v>
      </c>
      <c r="BL50" s="284">
        <v>5.6844262295081965E-2</v>
      </c>
      <c r="BM50" s="284">
        <v>5.2701612903225808E-2</v>
      </c>
      <c r="BN50" s="284">
        <v>0.05</v>
      </c>
      <c r="BO50" s="218">
        <v>0.05</v>
      </c>
      <c r="BP50" s="223">
        <v>4.8750000000000002E-2</v>
      </c>
      <c r="BQ50" s="223">
        <v>4.7500000000000001E-2</v>
      </c>
      <c r="BR50" s="223">
        <v>4.7E-2</v>
      </c>
      <c r="BS50" s="223">
        <v>4.5999999999999999E-2</v>
      </c>
      <c r="BT50" s="223">
        <v>4.5499999999999999E-2</v>
      </c>
      <c r="BU50" s="223">
        <v>4.3499999999999997E-2</v>
      </c>
      <c r="BV50" s="223"/>
      <c r="BW50" s="223"/>
      <c r="BX50" s="223"/>
      <c r="BY50" s="223"/>
      <c r="BZ50" s="223"/>
      <c r="CA50" s="223"/>
      <c r="CB50" s="223"/>
      <c r="CC50" s="223"/>
      <c r="CD50" s="223"/>
      <c r="CE50" s="223"/>
      <c r="CF50" s="223"/>
      <c r="CG50" s="223"/>
      <c r="CH50" s="223"/>
      <c r="CI50" s="223"/>
      <c r="CJ50" s="223"/>
      <c r="CK50" s="223"/>
      <c r="CL50" s="223"/>
      <c r="CM50" s="223"/>
      <c r="CN50" s="223"/>
      <c r="CO50" s="223"/>
      <c r="CP50" s="223"/>
      <c r="CQ50" s="223"/>
      <c r="CR50" s="223"/>
      <c r="CS50" s="223"/>
      <c r="CT50" s="223"/>
      <c r="CU50" s="223"/>
      <c r="CV50" s="223"/>
      <c r="CW50" s="223"/>
      <c r="CX50" s="217"/>
      <c r="CY50" s="217">
        <v>4.6849999999999996E-2</v>
      </c>
      <c r="CZ50" s="217">
        <v>5.0074999999999995E-2</v>
      </c>
      <c r="DA50" s="217">
        <v>4.9200000000000008E-2</v>
      </c>
      <c r="DB50" s="217">
        <v>3.7450000000000004E-2</v>
      </c>
      <c r="DC50" s="217">
        <v>3.0624999999999999E-2</v>
      </c>
      <c r="DD50" s="217">
        <v>3.5000000000000003E-2</v>
      </c>
      <c r="DE50" s="217">
        <v>2.7249999999999996E-2</v>
      </c>
      <c r="DF50" s="217">
        <v>2.5500000000000002E-2</v>
      </c>
      <c r="DG50" s="284">
        <v>2.4899999999999999E-2</v>
      </c>
      <c r="DH50" s="284">
        <v>7.7500000000000008E-3</v>
      </c>
      <c r="DI50" s="284">
        <v>1.21E-2</v>
      </c>
      <c r="DJ50" s="284">
        <v>8.4787490842490848E-2</v>
      </c>
      <c r="DK50" s="284">
        <v>9.0624999999999997E-2</v>
      </c>
      <c r="DL50" s="218">
        <v>5.2701612903225808E-2</v>
      </c>
      <c r="DM50" s="223">
        <v>4.7500000000000001E-2</v>
      </c>
      <c r="DN50" s="223">
        <v>4.3499999999999997E-2</v>
      </c>
      <c r="DO50" s="254">
        <v>4.1500000000000002E-2</v>
      </c>
      <c r="DP50" s="254">
        <v>4.1500000000000002E-2</v>
      </c>
      <c r="DQ50" s="254">
        <v>4.1500000000000002E-2</v>
      </c>
      <c r="DR50" s="254">
        <v>4.1500000000000002E-2</v>
      </c>
      <c r="DS50" s="254">
        <v>4.1500000000000002E-2</v>
      </c>
      <c r="DT50" s="254">
        <v>4.1500000000000002E-2</v>
      </c>
      <c r="DU50" s="254">
        <v>4.1500000000000002E-2</v>
      </c>
      <c r="DV50" s="254">
        <v>4.1500000000000002E-2</v>
      </c>
      <c r="DW50" s="254">
        <v>4.1500000000000002E-2</v>
      </c>
      <c r="DX50" s="254">
        <v>4.1500000000000002E-2</v>
      </c>
      <c r="DY50" s="254">
        <v>4.1500000000000002E-2</v>
      </c>
      <c r="DZ50" s="254">
        <v>4.1500000000000002E-2</v>
      </c>
      <c r="EA50" s="254">
        <v>4.1500000000000002E-2</v>
      </c>
      <c r="EB50" s="254">
        <v>4.1500000000000002E-2</v>
      </c>
    </row>
    <row r="51" spans="1:194" x14ac:dyDescent="0.25">
      <c r="A51" s="216" t="s">
        <v>266</v>
      </c>
      <c r="B51" s="216"/>
      <c r="C51" s="203">
        <v>5.0664999999999995E-2</v>
      </c>
      <c r="D51" s="203">
        <v>4.9348999999999997E-2</v>
      </c>
      <c r="E51" s="203">
        <v>4.9230999999999997E-2</v>
      </c>
      <c r="F51" s="203">
        <v>4.9075000000000001E-2</v>
      </c>
      <c r="G51" s="203">
        <v>4.9249999999999995E-2</v>
      </c>
      <c r="H51" s="203">
        <v>4.8949999999999994E-2</v>
      </c>
      <c r="I51" s="203">
        <v>4.8750000000000002E-2</v>
      </c>
      <c r="J51" s="203">
        <v>4.8330999999999999E-2</v>
      </c>
      <c r="K51" s="203">
        <v>4.8499999999999995E-2</v>
      </c>
      <c r="L51" s="203">
        <v>4.7842999999999997E-2</v>
      </c>
      <c r="M51" s="203">
        <v>4.8034999999999994E-2</v>
      </c>
      <c r="N51" s="203">
        <v>4.7699999999999992E-2</v>
      </c>
      <c r="O51" s="203">
        <v>4.7699999999999992E-2</v>
      </c>
      <c r="P51" s="203">
        <v>4.8075E-2</v>
      </c>
      <c r="Q51" s="203">
        <v>4.8475000000000004E-2</v>
      </c>
      <c r="R51" s="203">
        <v>4.3512000000000002E-2</v>
      </c>
      <c r="S51" s="203">
        <v>4.3137000000000002E-2</v>
      </c>
      <c r="T51" s="203">
        <v>4.0265000000000002E-2</v>
      </c>
      <c r="U51" s="203">
        <v>3.7949999999999998E-2</v>
      </c>
      <c r="V51" s="203">
        <v>3.8149999999999996E-2</v>
      </c>
      <c r="W51" s="203">
        <v>3.3075E-2</v>
      </c>
      <c r="X51" s="203">
        <v>3.2793000000000003E-2</v>
      </c>
      <c r="Y51" s="203">
        <v>3.3204999999999998E-2</v>
      </c>
      <c r="Z51" s="203">
        <v>3.2989999999999998E-2</v>
      </c>
      <c r="AA51" s="203">
        <v>3.3099999999999997E-2</v>
      </c>
      <c r="AB51" s="203">
        <v>3.3224999999999998E-2</v>
      </c>
      <c r="AC51" s="203">
        <v>3.5549999999999998E-2</v>
      </c>
      <c r="AD51" s="203">
        <v>4.0650000000000006E-2</v>
      </c>
      <c r="AE51" s="203">
        <v>4.1138000000000001E-2</v>
      </c>
      <c r="AF51" s="203">
        <v>5.0724999999999999E-2</v>
      </c>
      <c r="AG51" s="255">
        <v>6.1100000000000002E-2</v>
      </c>
      <c r="AH51" s="255">
        <v>6.8349999999999994E-2</v>
      </c>
      <c r="AI51" s="255">
        <v>7.3650000000000007E-2</v>
      </c>
      <c r="AJ51" s="255">
        <v>7.3724999999999999E-2</v>
      </c>
      <c r="AK51" s="255">
        <v>7.6311000000000004E-2</v>
      </c>
      <c r="AL51" s="255">
        <v>7.8503000000000003E-2</v>
      </c>
      <c r="AM51" s="255">
        <v>8.1004000000000007E-2</v>
      </c>
      <c r="AN51" s="255">
        <v>8.1199999999999994E-2</v>
      </c>
      <c r="AO51" s="255">
        <v>8.5897000000000001E-2</v>
      </c>
      <c r="AP51" s="255">
        <v>8.5150000000000003E-2</v>
      </c>
      <c r="AQ51" s="255">
        <v>8.488699999999999E-2</v>
      </c>
      <c r="AR51" s="586">
        <v>8.0274999999999999E-2</v>
      </c>
      <c r="AS51" s="586" t="e">
        <v>#VALUE!</v>
      </c>
      <c r="AT51" s="586" t="e">
        <v>#VALUE!</v>
      </c>
      <c r="AU51" s="586">
        <v>5.2843000000000001E-2</v>
      </c>
      <c r="AV51" s="585">
        <v>4.7500000000000001E-2</v>
      </c>
      <c r="AW51" s="585">
        <v>4.2500000000000003E-2</v>
      </c>
      <c r="AX51" s="585">
        <v>4.2875000000000003E-2</v>
      </c>
      <c r="AY51" s="585">
        <v>4.53E-2</v>
      </c>
      <c r="AZ51" s="585">
        <v>4.7500000000000001E-2</v>
      </c>
      <c r="BA51" s="585">
        <v>5.7099999999999998E-2</v>
      </c>
      <c r="BB51" s="585">
        <v>6.7199999999999996E-2</v>
      </c>
      <c r="BC51" s="585">
        <v>8.0299999999999996E-2</v>
      </c>
      <c r="BD51" s="585">
        <v>9.5000000000000001E-2</v>
      </c>
      <c r="BE51" s="585">
        <v>0.105</v>
      </c>
      <c r="BF51" s="585">
        <v>0.115</v>
      </c>
      <c r="BG51" s="585">
        <v>0.115</v>
      </c>
      <c r="BH51" s="284">
        <v>0.11502800000000001</v>
      </c>
      <c r="BI51" s="284">
        <v>0.11502499999999999</v>
      </c>
      <c r="BJ51" s="284">
        <v>0.112485</v>
      </c>
      <c r="BK51" s="284">
        <v>0.112445</v>
      </c>
      <c r="BL51" s="284">
        <v>0.1074</v>
      </c>
      <c r="BM51" s="284">
        <v>0.10244999999999999</v>
      </c>
      <c r="BN51" s="284">
        <v>9.2704000000000009E-2</v>
      </c>
      <c r="BO51" s="218">
        <v>9.2704000000000009E-2</v>
      </c>
      <c r="BP51" s="251">
        <v>7.7499999999999999E-2</v>
      </c>
      <c r="BQ51" s="251">
        <v>7.4999999999999997E-2</v>
      </c>
      <c r="BR51" s="251">
        <v>7.2999999999999995E-2</v>
      </c>
      <c r="BS51" s="251">
        <v>7.0999999999999994E-2</v>
      </c>
      <c r="BT51" s="251">
        <v>7.0499999999999993E-2</v>
      </c>
      <c r="BU51" s="251">
        <v>6.8000000000000005E-2</v>
      </c>
      <c r="BV51" s="251"/>
      <c r="BW51" s="251"/>
      <c r="BX51" s="251"/>
      <c r="BY51" s="251"/>
      <c r="BZ51" s="251"/>
      <c r="CA51" s="251"/>
      <c r="CB51" s="251"/>
      <c r="CC51" s="251"/>
      <c r="CD51" s="251"/>
      <c r="CE51" s="251"/>
      <c r="CF51" s="251"/>
      <c r="CG51" s="251"/>
      <c r="CH51" s="251"/>
      <c r="CI51" s="251"/>
      <c r="CJ51" s="251"/>
      <c r="CK51" s="251"/>
      <c r="CL51" s="251"/>
      <c r="CM51" s="251"/>
      <c r="CN51" s="251"/>
      <c r="CO51" s="251"/>
      <c r="CP51" s="251"/>
      <c r="CQ51" s="251"/>
      <c r="CR51" s="251"/>
      <c r="CS51" s="251"/>
      <c r="CT51" s="251"/>
      <c r="CU51" s="251"/>
      <c r="CV51" s="211"/>
      <c r="CW51" s="211"/>
      <c r="CX51" s="207"/>
      <c r="CY51" s="217">
        <v>4.8034999999999994E-2</v>
      </c>
      <c r="CZ51" s="217">
        <v>4.8475000000000004E-2</v>
      </c>
      <c r="DA51" s="217">
        <v>3.7949999999999998E-2</v>
      </c>
      <c r="DB51" s="217">
        <v>3.3204999999999998E-2</v>
      </c>
      <c r="DC51" s="217">
        <v>3.5549999999999998E-2</v>
      </c>
      <c r="DD51" s="217">
        <v>6.1100000000000002E-2</v>
      </c>
      <c r="DE51" s="217">
        <v>7.6311000000000004E-2</v>
      </c>
      <c r="DF51" s="217">
        <v>8.5897000000000001E-2</v>
      </c>
      <c r="DG51" s="284" t="e">
        <v>#VALUE!</v>
      </c>
      <c r="DH51" s="284">
        <v>4.2500000000000003E-2</v>
      </c>
      <c r="DI51" s="284">
        <v>5.7099999999999998E-2</v>
      </c>
      <c r="DJ51" s="284">
        <v>0.105</v>
      </c>
      <c r="DK51" s="284">
        <v>0.11502499999999999</v>
      </c>
      <c r="DL51" s="218">
        <v>0.10244999999999999</v>
      </c>
      <c r="DM51" s="223">
        <v>7.4999999999999997E-2</v>
      </c>
      <c r="DN51" s="223">
        <v>6.8000000000000005E-2</v>
      </c>
      <c r="DO51" s="224">
        <v>6.8000000000000005E-2</v>
      </c>
      <c r="DP51" s="224">
        <v>6.8000000000000005E-2</v>
      </c>
      <c r="DQ51" s="224">
        <v>6.8000000000000005E-2</v>
      </c>
      <c r="DR51" s="224">
        <v>6.8000000000000005E-2</v>
      </c>
      <c r="DS51" s="224">
        <v>6.8000000000000005E-2</v>
      </c>
      <c r="DT51" s="224">
        <v>6.8000000000000005E-2</v>
      </c>
      <c r="DU51" s="224">
        <v>6.8000000000000005E-2</v>
      </c>
      <c r="DV51" s="224">
        <v>6.8000000000000005E-2</v>
      </c>
      <c r="DW51" s="224">
        <v>6.8000000000000005E-2</v>
      </c>
      <c r="DX51" s="224">
        <v>6.8000000000000005E-2</v>
      </c>
      <c r="DY51" s="224">
        <v>6.8000000000000005E-2</v>
      </c>
      <c r="DZ51" s="224">
        <v>6.8000000000000005E-2</v>
      </c>
      <c r="EA51" s="224">
        <v>6.8000000000000005E-2</v>
      </c>
      <c r="EB51" s="224">
        <v>6.8000000000000005E-2</v>
      </c>
    </row>
    <row r="52" spans="1:194" x14ac:dyDescent="0.25">
      <c r="A52" s="256" t="s">
        <v>267</v>
      </c>
      <c r="B52" s="287">
        <v>0.12539999999999998</v>
      </c>
      <c r="C52" s="287">
        <v>0.1026</v>
      </c>
      <c r="D52" s="287">
        <v>8.7799999999999989E-2</v>
      </c>
      <c r="E52" s="287">
        <v>8.6500000000000007E-2</v>
      </c>
      <c r="F52" s="287">
        <v>8.6500000000000007E-2</v>
      </c>
      <c r="G52" s="287">
        <v>9.3599999999999989E-2</v>
      </c>
      <c r="H52" s="287">
        <v>0.10539999999999999</v>
      </c>
      <c r="I52" s="287">
        <v>0.1066</v>
      </c>
      <c r="J52" s="287">
        <v>0.11220000000000001</v>
      </c>
      <c r="K52" s="287">
        <v>0.1192</v>
      </c>
      <c r="L52" s="287">
        <v>0.122</v>
      </c>
      <c r="M52" s="287">
        <v>0.11320000000000001</v>
      </c>
      <c r="N52" s="287">
        <v>0.10300000000000001</v>
      </c>
      <c r="O52" s="287">
        <v>8.8699999999999987E-2</v>
      </c>
      <c r="P52" s="287">
        <v>7.7899999999999997E-2</v>
      </c>
      <c r="Q52" s="287">
        <v>7.1800000000000003E-2</v>
      </c>
      <c r="R52" s="287">
        <v>7.1300000000000002E-2</v>
      </c>
      <c r="S52" s="287">
        <v>7.5199999999999989E-2</v>
      </c>
      <c r="T52" s="287">
        <v>8.5099999999999995E-2</v>
      </c>
      <c r="U52" s="287">
        <v>9.5199999999999993E-2</v>
      </c>
      <c r="V52" s="287">
        <v>0.10400000000000001</v>
      </c>
      <c r="W52" s="287">
        <v>0.10890000000000001</v>
      </c>
      <c r="X52" s="287">
        <v>0.109</v>
      </c>
      <c r="Y52" s="287">
        <v>0.11220000000000001</v>
      </c>
      <c r="Z52" s="287">
        <v>0.12189999999999999</v>
      </c>
      <c r="AA52" s="287">
        <v>0.13140000000000002</v>
      </c>
      <c r="AB52" s="287">
        <v>0.1399</v>
      </c>
      <c r="AC52" s="287">
        <v>0.14150000000000001</v>
      </c>
      <c r="AD52" s="287">
        <v>0.14150000000000001</v>
      </c>
      <c r="AE52" s="287">
        <v>0.14150000000000001</v>
      </c>
      <c r="AF52" s="287">
        <v>0.14150000000000001</v>
      </c>
      <c r="AG52" s="587">
        <v>0.1386</v>
      </c>
      <c r="AH52" s="587">
        <v>0.127</v>
      </c>
      <c r="AI52" s="587">
        <v>0.1094</v>
      </c>
      <c r="AJ52" s="587">
        <v>9.1799999999999993E-2</v>
      </c>
      <c r="AK52" s="587">
        <v>7.4800000000000005E-2</v>
      </c>
      <c r="AL52" s="587">
        <v>6.7400000000000002E-2</v>
      </c>
      <c r="AM52" s="587">
        <v>6.4000000000000001E-2</v>
      </c>
      <c r="AN52" s="587">
        <v>6.4000000000000001E-2</v>
      </c>
      <c r="AO52" s="587">
        <v>6.4000000000000001E-2</v>
      </c>
      <c r="AP52" s="587">
        <v>6.4000000000000001E-2</v>
      </c>
      <c r="AQ52" s="587">
        <v>6.4000000000000001E-2</v>
      </c>
      <c r="AR52" s="587">
        <v>6.0100000000000001E-2</v>
      </c>
      <c r="AS52" s="587">
        <v>4.9699999999999994E-2</v>
      </c>
      <c r="AT52" s="587">
        <v>4.1799999999999997E-2</v>
      </c>
      <c r="AU52" s="587">
        <v>3.0699999999999998E-2</v>
      </c>
      <c r="AV52" s="587">
        <v>0.02</v>
      </c>
      <c r="AW52" s="587">
        <v>1.9E-2</v>
      </c>
      <c r="AX52" s="587">
        <v>2.0199999999999999E-2</v>
      </c>
      <c r="AY52" s="587">
        <v>3.2400000000000005E-2</v>
      </c>
      <c r="AZ52" s="587">
        <v>4.8600000000000004E-2</v>
      </c>
      <c r="BA52" s="587">
        <v>7.6299999999999993E-2</v>
      </c>
      <c r="BB52" s="587">
        <v>0.10254666666666667</v>
      </c>
      <c r="BC52" s="587">
        <v>0.13</v>
      </c>
      <c r="BD52" s="587">
        <v>0.13750000000000001</v>
      </c>
      <c r="BE52" s="587">
        <v>0.13650000000000001</v>
      </c>
      <c r="BF52" s="587">
        <v>0.13649999999999987</v>
      </c>
      <c r="BG52" s="587">
        <v>0.13649999999999987</v>
      </c>
      <c r="BH52" s="287">
        <v>0.13274999999999987</v>
      </c>
      <c r="BI52" s="287">
        <v>0.12240163934426215</v>
      </c>
      <c r="BJ52" s="287">
        <v>0.11281147540983592</v>
      </c>
      <c r="BK52" s="287">
        <v>0.10507142857142845</v>
      </c>
      <c r="BL52" s="287">
        <v>0.10430303030303018</v>
      </c>
      <c r="BM52" s="287">
        <v>0.1114206349206348</v>
      </c>
      <c r="BN52" s="287">
        <v>0.12953278688524578</v>
      </c>
      <c r="BO52" s="257">
        <v>0.14150000000000004</v>
      </c>
      <c r="BP52" s="251">
        <v>0.15</v>
      </c>
      <c r="BQ52" s="251">
        <v>0.14800000000000002</v>
      </c>
      <c r="BR52" s="251">
        <v>0.14199999999999999</v>
      </c>
      <c r="BS52" s="251">
        <v>0.13449999999999998</v>
      </c>
      <c r="BT52" s="251">
        <v>0.129</v>
      </c>
      <c r="BU52" s="251">
        <v>0.1235</v>
      </c>
      <c r="BV52" s="251"/>
      <c r="BW52" s="251"/>
      <c r="BX52" s="251"/>
      <c r="BY52" s="251"/>
      <c r="BZ52" s="251"/>
      <c r="CA52" s="251"/>
      <c r="CB52" s="251"/>
      <c r="CC52" s="251"/>
      <c r="CD52" s="251"/>
      <c r="CE52" s="251"/>
      <c r="CF52" s="251"/>
      <c r="CG52" s="251"/>
      <c r="CH52" s="251"/>
      <c r="CI52" s="251"/>
      <c r="CJ52" s="251"/>
      <c r="CK52" s="251"/>
      <c r="CL52" s="251"/>
      <c r="CM52" s="251"/>
      <c r="CN52" s="251"/>
      <c r="CO52" s="251"/>
      <c r="CP52" s="251"/>
      <c r="CQ52" s="251"/>
      <c r="CR52" s="251"/>
      <c r="CS52" s="251"/>
      <c r="CT52" s="251"/>
      <c r="CU52" s="251"/>
      <c r="CV52" s="588"/>
      <c r="CW52" s="589"/>
      <c r="CX52" s="590"/>
      <c r="CY52" s="217">
        <v>0.11665</v>
      </c>
      <c r="CZ52" s="217">
        <v>8.5349999999999981E-2</v>
      </c>
      <c r="DA52" s="217">
        <v>8.1699999999999995E-2</v>
      </c>
      <c r="DB52" s="217">
        <v>0.10852500000000001</v>
      </c>
      <c r="DC52" s="217">
        <v>0.13367499999999999</v>
      </c>
      <c r="DD52" s="217">
        <v>0.14077500000000001</v>
      </c>
      <c r="DE52" s="217">
        <v>0.10075000000000001</v>
      </c>
      <c r="DF52" s="217">
        <v>6.4850000000000005E-2</v>
      </c>
      <c r="DG52" s="284">
        <v>4.9699999999999994E-2</v>
      </c>
      <c r="DH52" s="284">
        <v>1.9E-2</v>
      </c>
      <c r="DI52" s="284">
        <v>7.6299999999999993E-2</v>
      </c>
      <c r="DJ52" s="284">
        <v>0.13650000000000001</v>
      </c>
      <c r="DK52" s="284">
        <v>0.12240163934426215</v>
      </c>
      <c r="DL52" s="218">
        <v>0.1114206349206348</v>
      </c>
      <c r="DM52" s="223">
        <v>0.14800000000000002</v>
      </c>
      <c r="DN52" s="223">
        <v>0.1235</v>
      </c>
      <c r="DO52" s="591">
        <v>0.1235</v>
      </c>
      <c r="DP52" s="591">
        <v>0.1235</v>
      </c>
      <c r="DQ52" s="591">
        <v>0.1235</v>
      </c>
      <c r="DR52" s="591">
        <v>0.1235</v>
      </c>
      <c r="DS52" s="591">
        <v>0.1235</v>
      </c>
      <c r="DT52" s="591">
        <v>0.1235</v>
      </c>
      <c r="DU52" s="591">
        <v>0.1235</v>
      </c>
      <c r="DV52" s="591">
        <v>0.1235</v>
      </c>
      <c r="DW52" s="258">
        <v>0.1235</v>
      </c>
      <c r="DX52" s="258">
        <v>0.1235</v>
      </c>
      <c r="DY52" s="258">
        <v>0.1235</v>
      </c>
      <c r="DZ52" s="258">
        <v>0.1235</v>
      </c>
      <c r="EA52" s="258">
        <v>0.1235</v>
      </c>
      <c r="EB52" s="258">
        <v>0.1235</v>
      </c>
    </row>
    <row r="53" spans="1:194" x14ac:dyDescent="0.25">
      <c r="A53" s="213" t="s">
        <v>268</v>
      </c>
      <c r="B53" s="213"/>
      <c r="C53" s="213"/>
      <c r="D53" s="213"/>
      <c r="E53" s="213"/>
      <c r="F53" s="213"/>
      <c r="G53" s="213"/>
      <c r="H53" s="213"/>
      <c r="I53" s="213"/>
      <c r="J53" s="213"/>
      <c r="K53" s="213"/>
      <c r="L53" s="213"/>
      <c r="M53" s="213"/>
      <c r="N53" s="213"/>
      <c r="O53" s="213"/>
      <c r="P53" s="213"/>
      <c r="Q53" s="213"/>
      <c r="R53" s="213"/>
      <c r="S53" s="213"/>
      <c r="T53" s="213"/>
      <c r="U53" s="213"/>
      <c r="V53" s="213"/>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213"/>
      <c r="AZ53" s="213"/>
      <c r="BA53" s="213"/>
      <c r="BB53" s="213"/>
      <c r="BC53" s="259"/>
      <c r="BD53" s="259"/>
      <c r="BE53" s="213"/>
      <c r="BF53" s="213"/>
      <c r="BG53" s="260"/>
      <c r="BH53" s="260"/>
      <c r="BI53" s="260"/>
      <c r="BJ53" s="260"/>
      <c r="BK53" s="260"/>
      <c r="BL53" s="260"/>
      <c r="BM53" s="260"/>
      <c r="BN53" s="260"/>
      <c r="BO53" s="261"/>
      <c r="BP53" s="260"/>
      <c r="BQ53" s="260"/>
      <c r="BR53" s="260"/>
      <c r="BS53" s="260"/>
      <c r="BT53" s="260"/>
      <c r="BU53" s="260"/>
      <c r="BV53" s="260"/>
      <c r="BW53" s="260"/>
      <c r="BX53" s="260"/>
      <c r="BY53" s="260"/>
      <c r="BZ53" s="260"/>
      <c r="CA53" s="260"/>
      <c r="CB53" s="260"/>
      <c r="CC53" s="260"/>
      <c r="CD53" s="260"/>
      <c r="CE53" s="260"/>
      <c r="CF53" s="260"/>
      <c r="CG53" s="260"/>
      <c r="CH53" s="260"/>
      <c r="CI53" s="260"/>
      <c r="CJ53" s="260"/>
      <c r="CK53" s="260"/>
      <c r="CL53" s="260"/>
      <c r="CM53" s="260"/>
      <c r="CN53" s="260"/>
      <c r="CO53" s="260"/>
      <c r="CP53" s="260"/>
      <c r="CQ53" s="260"/>
      <c r="CR53" s="260"/>
      <c r="CS53" s="260"/>
      <c r="CT53" s="260"/>
      <c r="CU53" s="260"/>
      <c r="CV53" s="213"/>
      <c r="CW53" s="213"/>
      <c r="CX53" s="213"/>
      <c r="CY53" s="213"/>
      <c r="CZ53" s="213"/>
      <c r="DA53" s="213"/>
      <c r="DB53" s="213"/>
      <c r="DC53" s="213"/>
      <c r="DD53" s="213"/>
      <c r="DE53" s="213"/>
      <c r="DF53" s="213"/>
      <c r="DG53" s="213"/>
      <c r="DH53" s="213"/>
      <c r="DI53" s="213"/>
      <c r="DJ53" s="213"/>
      <c r="DK53" s="213"/>
      <c r="DL53" s="215"/>
      <c r="DM53" s="262"/>
      <c r="DN53" s="262"/>
      <c r="DO53" s="213"/>
      <c r="DP53" s="213"/>
      <c r="DQ53" s="213"/>
      <c r="DR53" s="213"/>
      <c r="DS53" s="213"/>
      <c r="DT53" s="213"/>
      <c r="DU53" s="213"/>
      <c r="DV53" s="213"/>
      <c r="DW53" s="213"/>
      <c r="DX53" s="213"/>
      <c r="DY53" s="213"/>
      <c r="DZ53" s="213"/>
      <c r="EA53" s="213"/>
      <c r="EB53" s="213"/>
    </row>
    <row r="54" spans="1:194" s="577" customFormat="1" ht="11.25" x14ac:dyDescent="0.25">
      <c r="A54" s="216" t="s">
        <v>234</v>
      </c>
      <c r="B54" s="263"/>
      <c r="C54" s="263">
        <v>214.79</v>
      </c>
      <c r="D54" s="263">
        <v>215.86099999999999</v>
      </c>
      <c r="E54" s="263">
        <v>217.34700000000001</v>
      </c>
      <c r="F54" s="263">
        <v>217.35300000000001</v>
      </c>
      <c r="G54" s="263">
        <v>217.19900000000001</v>
      </c>
      <c r="H54" s="263">
        <v>218.27500000000001</v>
      </c>
      <c r="I54" s="263">
        <v>220.47200000000001</v>
      </c>
      <c r="J54" s="263">
        <v>223.04599999999999</v>
      </c>
      <c r="K54" s="263">
        <v>224.80600000000001</v>
      </c>
      <c r="L54" s="263">
        <v>226.59700000000001</v>
      </c>
      <c r="M54" s="263">
        <v>227.22300000000001</v>
      </c>
      <c r="N54" s="263">
        <v>228.80699999999999</v>
      </c>
      <c r="O54" s="263">
        <v>228.524</v>
      </c>
      <c r="P54" s="263">
        <v>231.01499999999999</v>
      </c>
      <c r="Q54" s="263">
        <v>231.221</v>
      </c>
      <c r="R54" s="263">
        <v>232.28200000000001</v>
      </c>
      <c r="S54" s="263">
        <v>232.44499999999999</v>
      </c>
      <c r="T54" s="263">
        <v>233.54400000000001</v>
      </c>
      <c r="U54" s="263">
        <v>234.71899999999999</v>
      </c>
      <c r="V54" s="263">
        <v>236.02799999999999</v>
      </c>
      <c r="W54" s="263">
        <v>237.23099999999999</v>
      </c>
      <c r="X54" s="263">
        <v>237.477</v>
      </c>
      <c r="Y54" s="263">
        <v>236.25200000000001</v>
      </c>
      <c r="Z54" s="263">
        <v>235.976</v>
      </c>
      <c r="AA54" s="263">
        <v>237.65700000000001</v>
      </c>
      <c r="AB54" s="263">
        <v>237.49799999999999</v>
      </c>
      <c r="AC54" s="263">
        <v>237.761</v>
      </c>
      <c r="AD54" s="263">
        <v>238.08</v>
      </c>
      <c r="AE54" s="263">
        <v>240.22200000000001</v>
      </c>
      <c r="AF54" s="263">
        <v>241.17599999999999</v>
      </c>
      <c r="AG54" s="263">
        <v>242.637</v>
      </c>
      <c r="AH54" s="263">
        <v>243.892</v>
      </c>
      <c r="AI54" s="263">
        <v>244.16300000000001</v>
      </c>
      <c r="AJ54" s="263">
        <v>246.435</v>
      </c>
      <c r="AK54" s="263">
        <v>247.80500000000001</v>
      </c>
      <c r="AL54" s="263">
        <v>249.577</v>
      </c>
      <c r="AM54" s="263">
        <v>251.018</v>
      </c>
      <c r="AN54" s="263">
        <v>252.18199999999999</v>
      </c>
      <c r="AO54" s="263">
        <v>252.767</v>
      </c>
      <c r="AP54" s="263">
        <v>254.27699999999999</v>
      </c>
      <c r="AQ54" s="263">
        <v>255.21299999999999</v>
      </c>
      <c r="AR54" s="288">
        <v>256.43</v>
      </c>
      <c r="AS54" s="288">
        <v>258.63</v>
      </c>
      <c r="AT54" s="288">
        <v>258.07600000000002</v>
      </c>
      <c r="AU54" s="288">
        <v>257.04199999999997</v>
      </c>
      <c r="AV54" s="288">
        <v>259.99700000000001</v>
      </c>
      <c r="AW54" s="288">
        <v>262.04500000000002</v>
      </c>
      <c r="AX54" s="288">
        <v>264.84699999999998</v>
      </c>
      <c r="AY54" s="288">
        <v>270.70999999999998</v>
      </c>
      <c r="AZ54" s="288">
        <v>273.94200000000001</v>
      </c>
      <c r="BA54" s="288">
        <v>280.80599999999998</v>
      </c>
      <c r="BB54" s="288">
        <v>287.46699999999998</v>
      </c>
      <c r="BC54" s="288">
        <v>295.072</v>
      </c>
      <c r="BD54" s="288">
        <v>296.42099999999999</v>
      </c>
      <c r="BE54" s="288">
        <v>298.80799999999999</v>
      </c>
      <c r="BF54" s="288">
        <v>301.64299999999997</v>
      </c>
      <c r="BG54" s="288">
        <v>304.09899999999999</v>
      </c>
      <c r="BH54" s="288">
        <v>307.37400000000002</v>
      </c>
      <c r="BI54" s="288">
        <v>308.73500000000001</v>
      </c>
      <c r="BJ54" s="288">
        <v>312.10700000000003</v>
      </c>
      <c r="BK54" s="288">
        <v>313.13099999999997</v>
      </c>
      <c r="BL54" s="288">
        <v>314.851</v>
      </c>
      <c r="BM54" s="288">
        <v>317.60300000000001</v>
      </c>
      <c r="BN54" s="288">
        <v>319.61500000000001</v>
      </c>
      <c r="BO54" s="264">
        <v>321.5</v>
      </c>
      <c r="BP54" s="220">
        <v>325.55593400000009</v>
      </c>
      <c r="BQ54" s="220">
        <v>328.62382409999998</v>
      </c>
      <c r="BR54" s="220">
        <v>330.034449</v>
      </c>
      <c r="BS54" s="220">
        <v>331.17715000000004</v>
      </c>
      <c r="BT54" s="220">
        <v>334.02038828400015</v>
      </c>
      <c r="BU54" s="220">
        <v>337.1680435266</v>
      </c>
      <c r="BV54" s="220"/>
      <c r="BW54" s="220"/>
      <c r="BX54" s="220"/>
      <c r="BY54" s="220"/>
      <c r="BZ54" s="220"/>
      <c r="CA54" s="220"/>
      <c r="CB54" s="220"/>
      <c r="CC54" s="220"/>
      <c r="CD54" s="220"/>
      <c r="CE54" s="220"/>
      <c r="CF54" s="220"/>
      <c r="CG54" s="220"/>
      <c r="CH54" s="220"/>
      <c r="CI54" s="220"/>
      <c r="CJ54" s="220"/>
      <c r="CK54" s="220"/>
      <c r="CL54" s="220"/>
      <c r="CM54" s="220"/>
      <c r="CN54" s="220"/>
      <c r="CO54" s="220"/>
      <c r="CP54" s="220"/>
      <c r="CQ54" s="220"/>
      <c r="CR54" s="220"/>
      <c r="CS54" s="220"/>
      <c r="CT54" s="220"/>
      <c r="CU54" s="220"/>
      <c r="CV54" s="220"/>
      <c r="CW54" s="220"/>
      <c r="CX54" s="263"/>
      <c r="CY54" s="191">
        <v>227.22300000000001</v>
      </c>
      <c r="CZ54" s="191">
        <v>231.221</v>
      </c>
      <c r="DA54" s="191">
        <v>234.71899999999999</v>
      </c>
      <c r="DB54" s="191">
        <v>236.25200000000001</v>
      </c>
      <c r="DC54" s="191">
        <v>237.761</v>
      </c>
      <c r="DD54" s="191">
        <v>242.637</v>
      </c>
      <c r="DE54" s="191">
        <v>247.80500000000001</v>
      </c>
      <c r="DF54" s="280">
        <v>252.767</v>
      </c>
      <c r="DG54" s="280">
        <v>258.63</v>
      </c>
      <c r="DH54" s="280">
        <v>262.04500000000002</v>
      </c>
      <c r="DI54" s="280">
        <v>280.80599999999998</v>
      </c>
      <c r="DJ54" s="280">
        <v>298.80799999999999</v>
      </c>
      <c r="DK54" s="280">
        <v>308.73500000000001</v>
      </c>
      <c r="DL54" s="192">
        <v>317.60300000000001</v>
      </c>
      <c r="DM54" s="220">
        <v>328.62382409999998</v>
      </c>
      <c r="DN54" s="220">
        <v>337.1680435266</v>
      </c>
      <c r="DO54" s="220">
        <v>343.911404397132</v>
      </c>
      <c r="DP54" s="220">
        <v>350.78963248507466</v>
      </c>
      <c r="DQ54" s="220">
        <v>357.80542513477616</v>
      </c>
      <c r="DR54" s="220">
        <v>364.96153363747169</v>
      </c>
      <c r="DS54" s="220">
        <v>372.26076431022113</v>
      </c>
      <c r="DT54" s="220">
        <v>379.70597959642555</v>
      </c>
      <c r="DU54" s="220">
        <v>387.30009918835407</v>
      </c>
      <c r="DV54" s="220">
        <v>395.04610117212115</v>
      </c>
      <c r="DW54" s="220">
        <v>402.94702319556359</v>
      </c>
      <c r="DX54" s="220">
        <v>411.00596365947484</v>
      </c>
      <c r="DY54" s="220">
        <v>419.22608293266433</v>
      </c>
      <c r="DZ54" s="220">
        <v>427.61060459131761</v>
      </c>
      <c r="EA54" s="220">
        <v>436.16281668314394</v>
      </c>
      <c r="EB54" s="220">
        <v>444.88607301680685</v>
      </c>
    </row>
    <row r="55" spans="1:194" s="577" customFormat="1" ht="11.25" x14ac:dyDescent="0.25">
      <c r="A55" s="216" t="s">
        <v>235</v>
      </c>
      <c r="B55" s="263"/>
      <c r="C55" s="263">
        <v>0</v>
      </c>
      <c r="D55" s="263">
        <v>0</v>
      </c>
      <c r="E55" s="263">
        <v>57.31</v>
      </c>
      <c r="F55" s="263">
        <v>57.82</v>
      </c>
      <c r="G55" s="263">
        <v>58.3</v>
      </c>
      <c r="H55" s="263">
        <v>58.85</v>
      </c>
      <c r="I55" s="263">
        <v>59.02</v>
      </c>
      <c r="J55" s="263">
        <v>59.77</v>
      </c>
      <c r="K55" s="263">
        <v>60.3</v>
      </c>
      <c r="L55" s="263">
        <v>60.78</v>
      </c>
      <c r="M55" s="263">
        <v>61.64</v>
      </c>
      <c r="N55" s="263">
        <v>62.03</v>
      </c>
      <c r="O55" s="263">
        <v>61.9</v>
      </c>
      <c r="P55" s="263">
        <v>62.5</v>
      </c>
      <c r="Q55" s="263">
        <v>62.55</v>
      </c>
      <c r="R55" s="263">
        <v>62.98</v>
      </c>
      <c r="S55" s="263">
        <v>63.07</v>
      </c>
      <c r="T55" s="263">
        <v>63.73</v>
      </c>
      <c r="U55" s="263">
        <v>64.44</v>
      </c>
      <c r="V55" s="263">
        <v>65.41</v>
      </c>
      <c r="W55" s="263">
        <v>66.08</v>
      </c>
      <c r="X55" s="263">
        <v>67</v>
      </c>
      <c r="Y55" s="263">
        <v>67.430000000000007</v>
      </c>
      <c r="Z55" s="263">
        <v>68.150000000000006</v>
      </c>
      <c r="AA55" s="263">
        <v>69</v>
      </c>
      <c r="AB55" s="263">
        <v>70.11</v>
      </c>
      <c r="AC55" s="263">
        <v>70.39</v>
      </c>
      <c r="AD55" s="263">
        <v>71.180000000000007</v>
      </c>
      <c r="AE55" s="263">
        <v>71.900000000000006</v>
      </c>
      <c r="AF55" s="263">
        <v>72.28</v>
      </c>
      <c r="AG55" s="263">
        <v>72.290000000000006</v>
      </c>
      <c r="AH55" s="263">
        <v>73.14</v>
      </c>
      <c r="AI55" s="263">
        <v>73.12</v>
      </c>
      <c r="AJ55" s="263">
        <v>73.33</v>
      </c>
      <c r="AK55" s="263">
        <v>73.930000000000007</v>
      </c>
      <c r="AL55" s="263">
        <v>74.459999999999994</v>
      </c>
      <c r="AM55" s="263">
        <v>74.98</v>
      </c>
      <c r="AN55" s="263">
        <v>75.63</v>
      </c>
      <c r="AO55" s="263">
        <v>75.83</v>
      </c>
      <c r="AP55" s="263">
        <v>76.31</v>
      </c>
      <c r="AQ55" s="263">
        <v>77.010000000000005</v>
      </c>
      <c r="AR55" s="288">
        <v>77.33</v>
      </c>
      <c r="AS55" s="288">
        <v>78.099999999999994</v>
      </c>
      <c r="AT55" s="288">
        <v>79.16</v>
      </c>
      <c r="AU55" s="288">
        <v>79.03</v>
      </c>
      <c r="AV55" s="288">
        <v>79.72</v>
      </c>
      <c r="AW55" s="288">
        <v>80.430000000000007</v>
      </c>
      <c r="AX55" s="288">
        <v>81.45</v>
      </c>
      <c r="AY55" s="288">
        <v>82.04</v>
      </c>
      <c r="AZ55" s="288">
        <v>83.98</v>
      </c>
      <c r="BA55" s="288">
        <v>86.2</v>
      </c>
      <c r="BB55" s="288">
        <v>89.11</v>
      </c>
      <c r="BC55" s="288">
        <v>92.29</v>
      </c>
      <c r="BD55" s="288">
        <v>95.51</v>
      </c>
      <c r="BE55" s="288">
        <v>97.21</v>
      </c>
      <c r="BF55" s="288">
        <v>99</v>
      </c>
      <c r="BG55" s="288">
        <v>99.26</v>
      </c>
      <c r="BH55" s="288">
        <v>100.39</v>
      </c>
      <c r="BI55" s="288">
        <v>101.04</v>
      </c>
      <c r="BJ55" s="288">
        <v>102.7</v>
      </c>
      <c r="BK55" s="288">
        <v>103.42</v>
      </c>
      <c r="BL55" s="288">
        <v>104.54</v>
      </c>
      <c r="BM55" s="288">
        <v>105.62</v>
      </c>
      <c r="BN55" s="288">
        <v>107.7</v>
      </c>
      <c r="BO55" s="264">
        <v>107.68</v>
      </c>
      <c r="BP55" s="220">
        <v>109.10839800000001</v>
      </c>
      <c r="BQ55" s="220">
        <v>110.26728</v>
      </c>
      <c r="BR55" s="220">
        <v>111.1464</v>
      </c>
      <c r="BS55" s="220">
        <v>110.80271999999999</v>
      </c>
      <c r="BT55" s="220">
        <v>112.272541542</v>
      </c>
      <c r="BU55" s="220">
        <v>113.68556567999998</v>
      </c>
      <c r="BV55" s="220"/>
      <c r="BW55" s="220"/>
      <c r="BX55" s="220"/>
      <c r="BY55" s="220"/>
      <c r="BZ55" s="220"/>
      <c r="CA55" s="220"/>
      <c r="CB55" s="220"/>
      <c r="CC55" s="220"/>
      <c r="CD55" s="220"/>
      <c r="CE55" s="220"/>
      <c r="CF55" s="220"/>
      <c r="CG55" s="220"/>
      <c r="CH55" s="220"/>
      <c r="CI55" s="220"/>
      <c r="CJ55" s="220"/>
      <c r="CK55" s="220"/>
      <c r="CL55" s="220"/>
      <c r="CM55" s="220"/>
      <c r="CN55" s="220"/>
      <c r="CO55" s="220"/>
      <c r="CP55" s="220"/>
      <c r="CQ55" s="220"/>
      <c r="CR55" s="220"/>
      <c r="CS55" s="220"/>
      <c r="CT55" s="220"/>
      <c r="CU55" s="220"/>
      <c r="CV55" s="220"/>
      <c r="CW55" s="220"/>
      <c r="CX55" s="263"/>
      <c r="CY55" s="191">
        <v>61.64</v>
      </c>
      <c r="CZ55" s="191">
        <v>62.55</v>
      </c>
      <c r="DA55" s="191">
        <v>64.44</v>
      </c>
      <c r="DB55" s="191">
        <v>67.430000000000007</v>
      </c>
      <c r="DC55" s="191">
        <v>70.39</v>
      </c>
      <c r="DD55" s="191">
        <v>72.290000000000006</v>
      </c>
      <c r="DE55" s="191">
        <v>73.930000000000007</v>
      </c>
      <c r="DF55" s="280">
        <v>75.83</v>
      </c>
      <c r="DG55" s="280">
        <v>78.099999999999994</v>
      </c>
      <c r="DH55" s="280">
        <v>80.430000000000007</v>
      </c>
      <c r="DI55" s="280">
        <v>86.2</v>
      </c>
      <c r="DJ55" s="280">
        <v>97.21</v>
      </c>
      <c r="DK55" s="280">
        <v>101.04</v>
      </c>
      <c r="DL55" s="192">
        <v>105.62</v>
      </c>
      <c r="DM55" s="220">
        <v>110.26728</v>
      </c>
      <c r="DN55" s="220">
        <v>113.68556567999998</v>
      </c>
      <c r="DO55" s="220">
        <v>117.09613265039998</v>
      </c>
      <c r="DP55" s="220">
        <v>120.60901662991198</v>
      </c>
      <c r="DQ55" s="220">
        <v>124.22728712880934</v>
      </c>
      <c r="DR55" s="220">
        <v>127.95410574267362</v>
      </c>
      <c r="DS55" s="220">
        <v>131.79272891495384</v>
      </c>
      <c r="DT55" s="220">
        <v>135.74651078240245</v>
      </c>
      <c r="DU55" s="220">
        <v>139.81890610587453</v>
      </c>
      <c r="DV55" s="220">
        <v>144.01347328905078</v>
      </c>
      <c r="DW55" s="220">
        <v>148.3338774877223</v>
      </c>
      <c r="DX55" s="220">
        <v>152.78389381235397</v>
      </c>
      <c r="DY55" s="220">
        <v>157.36741062672459</v>
      </c>
      <c r="DZ55" s="220">
        <v>162.08843294552634</v>
      </c>
      <c r="EA55" s="220">
        <v>166.95108593389213</v>
      </c>
      <c r="EB55" s="220">
        <v>171.9596185119089</v>
      </c>
    </row>
    <row r="56" spans="1:194" s="577" customFormat="1" ht="11.25" x14ac:dyDescent="0.25">
      <c r="A56" s="216" t="s">
        <v>236</v>
      </c>
      <c r="B56" s="263"/>
      <c r="C56" s="263">
        <v>69.36</v>
      </c>
      <c r="D56" s="263">
        <v>69.28</v>
      </c>
      <c r="E56" s="263">
        <v>69.510000000000005</v>
      </c>
      <c r="F56" s="263">
        <v>70.13</v>
      </c>
      <c r="G56" s="263">
        <v>70.5</v>
      </c>
      <c r="H56" s="263">
        <v>70.92</v>
      </c>
      <c r="I56" s="263">
        <v>70.95</v>
      </c>
      <c r="J56" s="263">
        <v>72</v>
      </c>
      <c r="K56" s="263">
        <v>72.55</v>
      </c>
      <c r="L56" s="263">
        <v>73.56</v>
      </c>
      <c r="M56" s="263">
        <v>74.31</v>
      </c>
      <c r="N56" s="263">
        <v>75.05</v>
      </c>
      <c r="O56" s="263">
        <v>75.45</v>
      </c>
      <c r="P56" s="263">
        <v>76.31</v>
      </c>
      <c r="Q56" s="263">
        <v>76.28</v>
      </c>
      <c r="R56" s="263">
        <v>76.989999999999995</v>
      </c>
      <c r="S56" s="263">
        <v>77.540000000000006</v>
      </c>
      <c r="T56" s="263">
        <v>78.47</v>
      </c>
      <c r="U56" s="263">
        <v>78.459999999999994</v>
      </c>
      <c r="V56" s="263">
        <v>79.599999999999994</v>
      </c>
      <c r="W56" s="263">
        <v>80.22</v>
      </c>
      <c r="X56" s="263">
        <v>80.62</v>
      </c>
      <c r="Y56" s="263">
        <v>80.989999999999995</v>
      </c>
      <c r="Z56" s="263">
        <v>82</v>
      </c>
      <c r="AA56" s="263">
        <v>83.06</v>
      </c>
      <c r="AB56" s="263">
        <v>83.77</v>
      </c>
      <c r="AC56" s="263">
        <v>84.56</v>
      </c>
      <c r="AD56" s="263">
        <v>85.53</v>
      </c>
      <c r="AE56" s="263">
        <v>85.84</v>
      </c>
      <c r="AF56" s="263">
        <v>86.39</v>
      </c>
      <c r="AG56" s="263">
        <v>87.29</v>
      </c>
      <c r="AH56" s="263">
        <v>88.93</v>
      </c>
      <c r="AI56" s="263">
        <v>88.18</v>
      </c>
      <c r="AJ56" s="263">
        <v>88.94</v>
      </c>
      <c r="AK56" s="263">
        <v>88.48</v>
      </c>
      <c r="AL56" s="263">
        <v>89.25</v>
      </c>
      <c r="AM56" s="263">
        <v>89.44</v>
      </c>
      <c r="AN56" s="263">
        <v>90.07</v>
      </c>
      <c r="AO56" s="263">
        <v>90.42</v>
      </c>
      <c r="AP56" s="263">
        <v>91.25</v>
      </c>
      <c r="AQ56" s="263">
        <v>91.49</v>
      </c>
      <c r="AR56" s="288">
        <v>91.74</v>
      </c>
      <c r="AS56" s="288">
        <v>92.14</v>
      </c>
      <c r="AT56" s="288">
        <v>92.92</v>
      </c>
      <c r="AU56" s="288">
        <v>92.96</v>
      </c>
      <c r="AV56" s="288">
        <v>93.41</v>
      </c>
      <c r="AW56" s="288">
        <v>93.96</v>
      </c>
      <c r="AX56" s="288">
        <v>95.33</v>
      </c>
      <c r="AY56" s="288">
        <v>95.98</v>
      </c>
      <c r="AZ56" s="288">
        <v>98.3</v>
      </c>
      <c r="BA56" s="288">
        <v>100</v>
      </c>
      <c r="BB56" s="288">
        <v>101.84</v>
      </c>
      <c r="BC56" s="288">
        <v>104.44</v>
      </c>
      <c r="BD56" s="288">
        <v>106.68</v>
      </c>
      <c r="BE56" s="288">
        <v>108.46</v>
      </c>
      <c r="BF56" s="288">
        <v>110.39</v>
      </c>
      <c r="BG56" s="288">
        <v>111.19</v>
      </c>
      <c r="BH56" s="288">
        <v>112.06</v>
      </c>
      <c r="BI56" s="288">
        <v>111.97</v>
      </c>
      <c r="BJ56" s="288">
        <v>113.75</v>
      </c>
      <c r="BK56" s="288">
        <v>113.73</v>
      </c>
      <c r="BL56" s="288">
        <v>114.05</v>
      </c>
      <c r="BM56" s="288">
        <v>114.17</v>
      </c>
      <c r="BN56" s="288">
        <v>115.21</v>
      </c>
      <c r="BO56" s="264">
        <v>115.66</v>
      </c>
      <c r="BP56" s="220">
        <v>116.10289999999999</v>
      </c>
      <c r="BQ56" s="220">
        <v>116.73882499999999</v>
      </c>
      <c r="BR56" s="220">
        <v>117.80222500000001</v>
      </c>
      <c r="BS56" s="220">
        <v>118.43584</v>
      </c>
      <c r="BT56" s="220">
        <v>118.71521525</v>
      </c>
      <c r="BU56" s="220">
        <v>119.36544856249998</v>
      </c>
      <c r="BV56" s="220"/>
      <c r="BW56" s="220"/>
      <c r="BX56" s="220"/>
      <c r="BY56" s="220"/>
      <c r="BZ56" s="220"/>
      <c r="CA56" s="220"/>
      <c r="CB56" s="220"/>
      <c r="CC56" s="220"/>
      <c r="CD56" s="220"/>
      <c r="CE56" s="220"/>
      <c r="CF56" s="220"/>
      <c r="CG56" s="220"/>
      <c r="CH56" s="220"/>
      <c r="CI56" s="220"/>
      <c r="CJ56" s="220"/>
      <c r="CK56" s="220"/>
      <c r="CL56" s="220"/>
      <c r="CM56" s="220"/>
      <c r="CN56" s="220"/>
      <c r="CO56" s="220"/>
      <c r="CP56" s="220"/>
      <c r="CQ56" s="220"/>
      <c r="CR56" s="220"/>
      <c r="CS56" s="220"/>
      <c r="CT56" s="220"/>
      <c r="CU56" s="220"/>
      <c r="CV56" s="220"/>
      <c r="CW56" s="220"/>
      <c r="CX56" s="263"/>
      <c r="CY56" s="191">
        <v>74.31</v>
      </c>
      <c r="CZ56" s="191">
        <v>76.28</v>
      </c>
      <c r="DA56" s="191">
        <v>78.459999999999994</v>
      </c>
      <c r="DB56" s="191">
        <v>80.989999999999995</v>
      </c>
      <c r="DC56" s="191">
        <v>84.56</v>
      </c>
      <c r="DD56" s="191">
        <v>87.29</v>
      </c>
      <c r="DE56" s="191">
        <v>88.48</v>
      </c>
      <c r="DF56" s="280">
        <v>90.42</v>
      </c>
      <c r="DG56" s="280">
        <v>92.14</v>
      </c>
      <c r="DH56" s="280">
        <v>93.96</v>
      </c>
      <c r="DI56" s="280">
        <v>100</v>
      </c>
      <c r="DJ56" s="280">
        <v>108.46</v>
      </c>
      <c r="DK56" s="280">
        <v>111.97</v>
      </c>
      <c r="DL56" s="192">
        <v>114.17</v>
      </c>
      <c r="DM56" s="220">
        <v>116.73882499999999</v>
      </c>
      <c r="DN56" s="220">
        <v>119.36544856249998</v>
      </c>
      <c r="DO56" s="220">
        <v>122.05117115515623</v>
      </c>
      <c r="DP56" s="220">
        <v>124.79732250614724</v>
      </c>
      <c r="DQ56" s="220">
        <v>127.60526226253555</v>
      </c>
      <c r="DR56" s="220">
        <v>130.4763806634426</v>
      </c>
      <c r="DS56" s="220">
        <v>133.41209922837004</v>
      </c>
      <c r="DT56" s="220">
        <v>136.41387146100837</v>
      </c>
      <c r="DU56" s="220">
        <v>139.48318356888106</v>
      </c>
      <c r="DV56" s="220">
        <v>142.62155519918088</v>
      </c>
      <c r="DW56" s="220">
        <v>145.83054019116244</v>
      </c>
      <c r="DX56" s="220">
        <v>149.11172734546358</v>
      </c>
      <c r="DY56" s="220">
        <v>152.4667412107365</v>
      </c>
      <c r="DZ56" s="220">
        <v>155.89724288797808</v>
      </c>
      <c r="EA56" s="220">
        <v>159.40493085295759</v>
      </c>
      <c r="EB56" s="220">
        <v>162.99154179714913</v>
      </c>
    </row>
    <row r="57" spans="1:194" s="577" customFormat="1" ht="11.25" x14ac:dyDescent="0.25">
      <c r="A57" s="216" t="s">
        <v>237</v>
      </c>
      <c r="B57" s="263"/>
      <c r="C57" s="263">
        <v>71.349999999999994</v>
      </c>
      <c r="D57" s="263">
        <v>71.28</v>
      </c>
      <c r="E57" s="263">
        <v>71.2</v>
      </c>
      <c r="F57" s="263">
        <v>72.459999999999994</v>
      </c>
      <c r="G57" s="263">
        <v>72.95</v>
      </c>
      <c r="H57" s="263">
        <v>72.900000000000006</v>
      </c>
      <c r="I57" s="263">
        <v>73.45</v>
      </c>
      <c r="J57" s="263">
        <v>74.77</v>
      </c>
      <c r="K57" s="263">
        <v>75.31</v>
      </c>
      <c r="L57" s="263">
        <v>75.62</v>
      </c>
      <c r="M57" s="263">
        <v>76.19</v>
      </c>
      <c r="N57" s="263">
        <v>77.31</v>
      </c>
      <c r="O57" s="263">
        <v>77.72</v>
      </c>
      <c r="P57" s="263">
        <v>77.959999999999994</v>
      </c>
      <c r="Q57" s="263">
        <v>78.05</v>
      </c>
      <c r="R57" s="263">
        <v>78.790000000000006</v>
      </c>
      <c r="S57" s="263">
        <v>79.39</v>
      </c>
      <c r="T57" s="263">
        <v>79.73</v>
      </c>
      <c r="U57" s="263">
        <v>79.56</v>
      </c>
      <c r="V57" s="263">
        <v>80.77</v>
      </c>
      <c r="W57" s="263">
        <v>81.61</v>
      </c>
      <c r="X57" s="263">
        <v>82.01</v>
      </c>
      <c r="Y57" s="263">
        <v>82.47</v>
      </c>
      <c r="Z57" s="263">
        <v>84.45</v>
      </c>
      <c r="AA57" s="263">
        <v>85.21</v>
      </c>
      <c r="AB57" s="263">
        <v>86.39</v>
      </c>
      <c r="AC57" s="263">
        <v>88.05</v>
      </c>
      <c r="AD57" s="263">
        <v>91.18</v>
      </c>
      <c r="AE57" s="263">
        <v>92.54</v>
      </c>
      <c r="AF57" s="263">
        <v>92.68</v>
      </c>
      <c r="AG57" s="263">
        <v>93.11</v>
      </c>
      <c r="AH57" s="263">
        <v>95.46</v>
      </c>
      <c r="AI57" s="263">
        <v>96.23</v>
      </c>
      <c r="AJ57" s="263">
        <v>96.36</v>
      </c>
      <c r="AK57" s="263">
        <v>96.92</v>
      </c>
      <c r="AL57" s="263">
        <v>98.45</v>
      </c>
      <c r="AM57" s="263">
        <v>99.31</v>
      </c>
      <c r="AN57" s="263">
        <v>99.47</v>
      </c>
      <c r="AO57" s="263">
        <v>100</v>
      </c>
      <c r="AP57" s="263">
        <v>101.62</v>
      </c>
      <c r="AQ57" s="263">
        <v>102.71</v>
      </c>
      <c r="AR57" s="288">
        <v>103.26</v>
      </c>
      <c r="AS57" s="288">
        <v>103.8</v>
      </c>
      <c r="AT57" s="288">
        <v>105.53</v>
      </c>
      <c r="AU57" s="288">
        <v>104.97</v>
      </c>
      <c r="AV57" s="288">
        <v>105.29</v>
      </c>
      <c r="AW57" s="288">
        <v>105.48</v>
      </c>
      <c r="AX57" s="288">
        <v>107.12</v>
      </c>
      <c r="AY57" s="288">
        <v>108.78</v>
      </c>
      <c r="AZ57" s="288">
        <v>110.04</v>
      </c>
      <c r="BA57" s="288">
        <v>111.41</v>
      </c>
      <c r="BB57" s="288">
        <v>116.26</v>
      </c>
      <c r="BC57" s="288">
        <v>119.31</v>
      </c>
      <c r="BD57" s="288">
        <v>122.63</v>
      </c>
      <c r="BE57" s="288">
        <v>126.03</v>
      </c>
      <c r="BF57" s="288">
        <v>131.77000000000001</v>
      </c>
      <c r="BG57" s="288">
        <v>133.78</v>
      </c>
      <c r="BH57" s="288">
        <v>136.11000000000001</v>
      </c>
      <c r="BI57" s="288">
        <v>137.72</v>
      </c>
      <c r="BJ57" s="288">
        <v>141.47999999999999</v>
      </c>
      <c r="BK57" s="288">
        <v>143.38</v>
      </c>
      <c r="BL57" s="288">
        <v>144.02000000000001</v>
      </c>
      <c r="BM57" s="288">
        <v>144.88</v>
      </c>
      <c r="BN57" s="288">
        <v>148.68</v>
      </c>
      <c r="BO57" s="264">
        <v>150.30000000000001</v>
      </c>
      <c r="BP57" s="220">
        <v>150.31367400000002</v>
      </c>
      <c r="BQ57" s="220">
        <v>151.31267199999999</v>
      </c>
      <c r="BR57" s="220">
        <v>154.46365200000002</v>
      </c>
      <c r="BS57" s="220">
        <v>155.93625000000003</v>
      </c>
      <c r="BT57" s="220">
        <v>155.57465259000003</v>
      </c>
      <c r="BU57" s="220">
        <v>156.60861552</v>
      </c>
      <c r="BV57" s="220"/>
      <c r="BW57" s="220"/>
      <c r="BX57" s="220"/>
      <c r="BY57" s="220"/>
      <c r="BZ57" s="220"/>
      <c r="CA57" s="220"/>
      <c r="CB57" s="220"/>
      <c r="CC57" s="220"/>
      <c r="CD57" s="220"/>
      <c r="CE57" s="220"/>
      <c r="CF57" s="220"/>
      <c r="CG57" s="220"/>
      <c r="CH57" s="220"/>
      <c r="CI57" s="220"/>
      <c r="CJ57" s="220"/>
      <c r="CK57" s="220"/>
      <c r="CL57" s="220"/>
      <c r="CM57" s="220"/>
      <c r="CN57" s="220"/>
      <c r="CO57" s="220"/>
      <c r="CP57" s="220"/>
      <c r="CQ57" s="220"/>
      <c r="CR57" s="220"/>
      <c r="CS57" s="220"/>
      <c r="CT57" s="220"/>
      <c r="CU57" s="220"/>
      <c r="CV57" s="220"/>
      <c r="CW57" s="220"/>
      <c r="CX57" s="263"/>
      <c r="CY57" s="191">
        <v>76.19</v>
      </c>
      <c r="CZ57" s="191">
        <v>78.05</v>
      </c>
      <c r="DA57" s="191">
        <v>79.56</v>
      </c>
      <c r="DB57" s="191">
        <v>82.47</v>
      </c>
      <c r="DC57" s="191">
        <v>88.05</v>
      </c>
      <c r="DD57" s="191">
        <v>93.11</v>
      </c>
      <c r="DE57" s="191">
        <v>96.92</v>
      </c>
      <c r="DF57" s="280">
        <v>100</v>
      </c>
      <c r="DG57" s="280">
        <v>103.8</v>
      </c>
      <c r="DH57" s="280">
        <v>105.48</v>
      </c>
      <c r="DI57" s="280">
        <v>111.41</v>
      </c>
      <c r="DJ57" s="280">
        <v>126.03</v>
      </c>
      <c r="DK57" s="280">
        <v>137.72</v>
      </c>
      <c r="DL57" s="192">
        <v>144.88</v>
      </c>
      <c r="DM57" s="220">
        <v>151.31267199999999</v>
      </c>
      <c r="DN57" s="220">
        <v>156.60861552</v>
      </c>
      <c r="DO57" s="220">
        <v>162.08991706320003</v>
      </c>
      <c r="DP57" s="220">
        <v>167.76306416041206</v>
      </c>
      <c r="DQ57" s="220">
        <v>173.63477140602652</v>
      </c>
      <c r="DR57" s="220">
        <v>179.71198840523746</v>
      </c>
      <c r="DS57" s="220">
        <v>186.00190799942081</v>
      </c>
      <c r="DT57" s="220">
        <v>192.51197477940056</v>
      </c>
      <c r="DU57" s="220">
        <v>199.24989389667959</v>
      </c>
      <c r="DV57" s="220">
        <v>206.2236401830634</v>
      </c>
      <c r="DW57" s="220">
        <v>213.44146758947065</v>
      </c>
      <c r="DX57" s="220">
        <v>220.91191895510215</v>
      </c>
      <c r="DY57" s="220">
        <v>228.64383611853077</v>
      </c>
      <c r="DZ57" s="220">
        <v>236.64637038267938</v>
      </c>
      <c r="EA57" s="220">
        <v>244.92899334607318</v>
      </c>
      <c r="EB57" s="220">
        <v>253.50150811318579</v>
      </c>
    </row>
    <row r="58" spans="1:194" s="578" customFormat="1" ht="11.25" x14ac:dyDescent="0.25">
      <c r="A58" s="209" t="s">
        <v>238</v>
      </c>
      <c r="B58" s="265"/>
      <c r="C58" s="263">
        <v>116.14386541</v>
      </c>
      <c r="D58" s="263">
        <v>120.45877168</v>
      </c>
      <c r="E58" s="263">
        <v>126.51374260999999</v>
      </c>
      <c r="F58" s="263">
        <v>136.34471313</v>
      </c>
      <c r="G58" s="263">
        <v>141.40450390999999</v>
      </c>
      <c r="H58" s="263">
        <v>148.14874062999999</v>
      </c>
      <c r="I58" s="263">
        <v>155.51400520999999</v>
      </c>
      <c r="J58" s="263">
        <v>164.29701284000001</v>
      </c>
      <c r="K58" s="263">
        <v>171.87993943000001</v>
      </c>
      <c r="L58" s="263">
        <v>180.64941253999999</v>
      </c>
      <c r="M58" s="263">
        <v>188.54298377999999</v>
      </c>
      <c r="N58" s="263">
        <v>200.26562874000001</v>
      </c>
      <c r="O58" s="263">
        <v>209.92195371</v>
      </c>
      <c r="P58" s="263">
        <v>221.84255389</v>
      </c>
      <c r="Q58" s="263">
        <v>233.59944202</v>
      </c>
      <c r="R58" s="263">
        <v>245.90503382</v>
      </c>
      <c r="S58" s="263">
        <v>258.3520869161249</v>
      </c>
      <c r="T58" s="263">
        <v>275.96656914487227</v>
      </c>
      <c r="U58" s="263">
        <v>295.27585020427756</v>
      </c>
      <c r="V58" s="263">
        <v>334.77037576365274</v>
      </c>
      <c r="W58" s="263">
        <v>362.09662657257428</v>
      </c>
      <c r="X58" s="263">
        <v>387.08062731215972</v>
      </c>
      <c r="Y58" s="266">
        <v>407.5895974314688</v>
      </c>
      <c r="Z58" s="263">
        <v>428.61272000502248</v>
      </c>
      <c r="AA58" s="263">
        <v>454.52981223564421</v>
      </c>
      <c r="AB58" s="263">
        <v>480.12317884692698</v>
      </c>
      <c r="AC58" s="263">
        <v>517.33258238743781</v>
      </c>
      <c r="AD58" s="263">
        <v>578.70715127744097</v>
      </c>
      <c r="AE58" s="263">
        <v>662.3964024276089</v>
      </c>
      <c r="AF58" s="263">
        <v>684.44257094762168</v>
      </c>
      <c r="AG58" s="263">
        <v>720.62809692956375</v>
      </c>
      <c r="AH58" s="263">
        <v>765.47427077788257</v>
      </c>
      <c r="AI58" s="263">
        <v>806.7138419359793</v>
      </c>
      <c r="AJ58" s="263">
        <v>847.72033434005243</v>
      </c>
      <c r="AK58" s="263">
        <v>899.52919491061505</v>
      </c>
      <c r="AL58" s="263">
        <v>959.26507211637067</v>
      </c>
      <c r="AM58" s="263">
        <v>1043.0702857321785</v>
      </c>
      <c r="AN58" s="263">
        <v>1189.9737857599582</v>
      </c>
      <c r="AO58" s="263">
        <v>1328.0213689940729</v>
      </c>
      <c r="AP58" s="263">
        <v>1485.1300074377766</v>
      </c>
      <c r="AQ58" s="263">
        <v>1625.9759621426963</v>
      </c>
      <c r="AR58" s="288">
        <v>1830.1821531501205</v>
      </c>
      <c r="AS58" s="288">
        <v>2044.6447892825279</v>
      </c>
      <c r="AT58" s="288">
        <v>2204.1392018249944</v>
      </c>
      <c r="AU58" s="288">
        <v>2322.5877886159169</v>
      </c>
      <c r="AV58" s="288">
        <v>2500.40494235503</v>
      </c>
      <c r="AW58" s="288">
        <v>2783.6139263630462</v>
      </c>
      <c r="AX58" s="288">
        <v>3144.225671410441</v>
      </c>
      <c r="AY58" s="288">
        <v>3488.5345049994016</v>
      </c>
      <c r="AZ58" s="288">
        <v>3812.428630877137</v>
      </c>
      <c r="BA58" s="288">
        <v>4201.6786761413377</v>
      </c>
      <c r="BB58" s="288">
        <v>4876.8789029154141</v>
      </c>
      <c r="BC58" s="288">
        <v>5720.6627760539168</v>
      </c>
      <c r="BD58" s="288">
        <v>6977.8625145388123</v>
      </c>
      <c r="BE58" s="288">
        <v>8184.5665095683817</v>
      </c>
      <c r="BF58" s="288">
        <v>9963.2430043940694</v>
      </c>
      <c r="BG58" s="288">
        <v>12332.575424094344</v>
      </c>
      <c r="BH58" s="288">
        <v>16626.949857864391</v>
      </c>
      <c r="BI58" s="288">
        <v>25487.293688417769</v>
      </c>
      <c r="BJ58" s="288">
        <v>38644.320329584865</v>
      </c>
      <c r="BK58" s="288">
        <v>45819.188380375817</v>
      </c>
      <c r="BL58" s="288">
        <v>51377.543409609047</v>
      </c>
      <c r="BM58" s="288">
        <v>55502.107871816464</v>
      </c>
      <c r="BN58" s="288">
        <v>60258.157674320923</v>
      </c>
      <c r="BO58" s="264">
        <v>63881.227267240582</v>
      </c>
      <c r="BP58" s="232">
        <v>67724.807396964999</v>
      </c>
      <c r="BQ58" s="232">
        <v>71097.659926887005</v>
      </c>
      <c r="BR58" s="232">
        <v>73906.599357247876</v>
      </c>
      <c r="BS58" s="232">
        <v>76221.435346376165</v>
      </c>
      <c r="BT58" s="232">
        <v>78531.021058806698</v>
      </c>
      <c r="BU58" s="232">
        <v>80510.676271525212</v>
      </c>
      <c r="BV58" s="232"/>
      <c r="BW58" s="232"/>
      <c r="BX58" s="232"/>
      <c r="BY58" s="232"/>
      <c r="BZ58" s="232"/>
      <c r="CA58" s="232"/>
      <c r="CB58" s="232"/>
      <c r="CC58" s="232"/>
      <c r="CD58" s="232"/>
      <c r="CE58" s="232"/>
      <c r="CF58" s="232"/>
      <c r="CG58" s="232"/>
      <c r="CH58" s="232"/>
      <c r="CI58" s="232"/>
      <c r="CJ58" s="232"/>
      <c r="CK58" s="232"/>
      <c r="CL58" s="232"/>
      <c r="CM58" s="232"/>
      <c r="CN58" s="232"/>
      <c r="CO58" s="232"/>
      <c r="CP58" s="232"/>
      <c r="CQ58" s="232"/>
      <c r="CR58" s="232"/>
      <c r="CS58" s="232"/>
      <c r="CT58" s="232"/>
      <c r="CU58" s="232"/>
      <c r="CV58" s="232"/>
      <c r="CW58" s="232"/>
      <c r="CX58" s="267"/>
      <c r="CY58" s="243">
        <v>188.54298377999999</v>
      </c>
      <c r="CZ58" s="243">
        <v>233.59944202</v>
      </c>
      <c r="DA58" s="243">
        <v>295.27585020427756</v>
      </c>
      <c r="DB58" s="243">
        <v>407.5895974314688</v>
      </c>
      <c r="DC58" s="243">
        <v>517.33258238743781</v>
      </c>
      <c r="DD58" s="243">
        <v>720.62809692956375</v>
      </c>
      <c r="DE58" s="243">
        <v>899.52919491061505</v>
      </c>
      <c r="DF58" s="286">
        <v>1328.0213689940729</v>
      </c>
      <c r="DG58" s="286">
        <v>2044.6447892825279</v>
      </c>
      <c r="DH58" s="286">
        <v>2783.6139263630462</v>
      </c>
      <c r="DI58" s="286">
        <v>4201.6786761413377</v>
      </c>
      <c r="DJ58" s="286">
        <v>8184.5665095683817</v>
      </c>
      <c r="DK58" s="286">
        <v>25487.293688417769</v>
      </c>
      <c r="DL58" s="244">
        <v>55502.107871816464</v>
      </c>
      <c r="DM58" s="232">
        <v>71097.659926887005</v>
      </c>
      <c r="DN58" s="220">
        <v>80510.676271525212</v>
      </c>
      <c r="DO58" s="232">
        <v>86951.530373247238</v>
      </c>
      <c r="DP58" s="232">
        <v>93907.652803107019</v>
      </c>
      <c r="DQ58" s="232">
        <v>101420.26502735559</v>
      </c>
      <c r="DR58" s="232">
        <v>109533.88622954405</v>
      </c>
      <c r="DS58" s="232">
        <v>118296.59712790757</v>
      </c>
      <c r="DT58" s="232">
        <v>127760.32489814018</v>
      </c>
      <c r="DU58" s="232">
        <v>137981.1508899914</v>
      </c>
      <c r="DV58" s="232">
        <v>149019.64296119072</v>
      </c>
      <c r="DW58" s="232">
        <v>160941.21439808598</v>
      </c>
      <c r="DX58" s="232">
        <v>173816.51154993288</v>
      </c>
      <c r="DY58" s="232">
        <v>187721.83247392753</v>
      </c>
      <c r="DZ58" s="232">
        <v>202739.57907184176</v>
      </c>
      <c r="EA58" s="232">
        <v>218958.74539758911</v>
      </c>
      <c r="EB58" s="232">
        <v>236475.44502939624</v>
      </c>
      <c r="GL58" s="592"/>
    </row>
    <row r="59" spans="1:194" s="577" customFormat="1" ht="11.25" x14ac:dyDescent="0.25">
      <c r="A59" s="216" t="s">
        <v>240</v>
      </c>
      <c r="B59" s="263"/>
      <c r="C59" s="263">
        <v>2967.1</v>
      </c>
      <c r="D59" s="263">
        <v>2985.83</v>
      </c>
      <c r="E59" s="263">
        <v>3017.59</v>
      </c>
      <c r="F59" s="263">
        <v>3079.86</v>
      </c>
      <c r="G59" s="263">
        <v>3110.74</v>
      </c>
      <c r="H59" s="263">
        <v>3126.29</v>
      </c>
      <c r="I59" s="263">
        <v>3195.89</v>
      </c>
      <c r="J59" s="263">
        <v>3273.86</v>
      </c>
      <c r="K59" s="263">
        <v>3319.55</v>
      </c>
      <c r="L59" s="263">
        <v>3354.85</v>
      </c>
      <c r="M59" s="263">
        <v>3403.73</v>
      </c>
      <c r="N59" s="263">
        <v>3445.41</v>
      </c>
      <c r="O59" s="263">
        <v>3482.72</v>
      </c>
      <c r="P59" s="263">
        <v>3532.06</v>
      </c>
      <c r="Q59" s="263">
        <v>3602.46</v>
      </c>
      <c r="R59" s="263">
        <v>3672.42</v>
      </c>
      <c r="S59" s="263">
        <v>3715.92</v>
      </c>
      <c r="T59" s="263">
        <v>3738.99</v>
      </c>
      <c r="U59" s="263">
        <v>3815.39</v>
      </c>
      <c r="V59" s="263">
        <v>3898.38</v>
      </c>
      <c r="W59" s="263">
        <v>3958.32</v>
      </c>
      <c r="X59" s="263">
        <v>3991.24</v>
      </c>
      <c r="Y59" s="263">
        <v>4059.86</v>
      </c>
      <c r="Z59" s="263">
        <v>4215.26</v>
      </c>
      <c r="AA59" s="263">
        <v>4310.3900000000003</v>
      </c>
      <c r="AB59" s="263">
        <v>4370.12</v>
      </c>
      <c r="AC59" s="263">
        <v>4493.17</v>
      </c>
      <c r="AD59" s="263">
        <v>4610.92</v>
      </c>
      <c r="AE59" s="263">
        <v>4691.59</v>
      </c>
      <c r="AF59" s="263">
        <v>4740.53</v>
      </c>
      <c r="AG59" s="263">
        <v>4775.7</v>
      </c>
      <c r="AH59" s="263">
        <v>4821.6899999999996</v>
      </c>
      <c r="AI59" s="263">
        <v>4832.2700000000004</v>
      </c>
      <c r="AJ59" s="263">
        <v>4860.83</v>
      </c>
      <c r="AK59" s="263">
        <v>4916.46</v>
      </c>
      <c r="AL59" s="263">
        <v>4950.95</v>
      </c>
      <c r="AM59" s="263">
        <v>5044.46</v>
      </c>
      <c r="AN59" s="263">
        <v>5080.83</v>
      </c>
      <c r="AO59" s="263">
        <v>5100.6099999999997</v>
      </c>
      <c r="AP59" s="263">
        <v>5177.47</v>
      </c>
      <c r="AQ59" s="263">
        <v>5214.2700000000004</v>
      </c>
      <c r="AR59" s="288">
        <v>5227.84</v>
      </c>
      <c r="AS59" s="288">
        <v>5320.25</v>
      </c>
      <c r="AT59" s="288">
        <v>5348.49</v>
      </c>
      <c r="AU59" s="288">
        <v>5325.46</v>
      </c>
      <c r="AV59" s="288">
        <v>5391.75</v>
      </c>
      <c r="AW59" s="288">
        <v>5560.59</v>
      </c>
      <c r="AX59" s="288">
        <v>5674.72</v>
      </c>
      <c r="AY59" s="288">
        <v>5769.98</v>
      </c>
      <c r="AZ59" s="288">
        <v>5944.21</v>
      </c>
      <c r="BA59" s="288">
        <v>6120.04</v>
      </c>
      <c r="BB59" s="288">
        <v>6315.93</v>
      </c>
      <c r="BC59" s="288">
        <v>6455.85</v>
      </c>
      <c r="BD59" s="288">
        <v>6370.34</v>
      </c>
      <c r="BE59" s="288">
        <v>6474.09</v>
      </c>
      <c r="BF59" s="288">
        <v>6609.67</v>
      </c>
      <c r="BG59" s="288">
        <v>6659.95</v>
      </c>
      <c r="BH59" s="288">
        <v>6700.66</v>
      </c>
      <c r="BI59" s="288">
        <v>6773.27</v>
      </c>
      <c r="BJ59" s="288">
        <v>6869.14</v>
      </c>
      <c r="BK59" s="288">
        <v>6941.51</v>
      </c>
      <c r="BL59" s="288">
        <v>6997.15</v>
      </c>
      <c r="BM59" s="288">
        <v>7100.5</v>
      </c>
      <c r="BN59" s="288">
        <v>7245.38</v>
      </c>
      <c r="BO59" s="264">
        <v>7312.97</v>
      </c>
      <c r="BP59" s="220">
        <v>7375.695815</v>
      </c>
      <c r="BQ59" s="220">
        <v>7488.8973499999993</v>
      </c>
      <c r="BR59" s="220">
        <v>7610.5471520000001</v>
      </c>
      <c r="BS59" s="220">
        <v>7655.216996000001</v>
      </c>
      <c r="BT59" s="220">
        <v>7705.3894179305007</v>
      </c>
      <c r="BU59" s="220">
        <v>7823.6510615449997</v>
      </c>
      <c r="BV59" s="220"/>
      <c r="BW59" s="220"/>
      <c r="BX59" s="220"/>
      <c r="BY59" s="220"/>
      <c r="BZ59" s="220"/>
      <c r="CA59" s="220"/>
      <c r="CB59" s="220"/>
      <c r="CC59" s="220"/>
      <c r="CD59" s="220"/>
      <c r="CE59" s="220"/>
      <c r="CF59" s="220"/>
      <c r="CG59" s="220"/>
      <c r="CH59" s="220"/>
      <c r="CI59" s="220"/>
      <c r="CJ59" s="220"/>
      <c r="CK59" s="220"/>
      <c r="CL59" s="220"/>
      <c r="CM59" s="220"/>
      <c r="CN59" s="220"/>
      <c r="CO59" s="220"/>
      <c r="CP59" s="220"/>
      <c r="CQ59" s="220"/>
      <c r="CR59" s="220"/>
      <c r="CS59" s="220"/>
      <c r="CT59" s="220"/>
      <c r="CU59" s="220"/>
      <c r="CV59" s="220"/>
      <c r="CW59" s="220"/>
      <c r="CX59" s="263"/>
      <c r="CY59" s="191">
        <v>3403.73</v>
      </c>
      <c r="CZ59" s="191">
        <v>3602.46</v>
      </c>
      <c r="DA59" s="191">
        <v>3815.39</v>
      </c>
      <c r="DB59" s="191">
        <v>4059.86</v>
      </c>
      <c r="DC59" s="191">
        <v>4493.17</v>
      </c>
      <c r="DD59" s="191">
        <v>4775.7</v>
      </c>
      <c r="DE59" s="191">
        <v>4916.46</v>
      </c>
      <c r="DF59" s="280">
        <v>5100.6099999999997</v>
      </c>
      <c r="DG59" s="280">
        <v>5320.25</v>
      </c>
      <c r="DH59" s="280">
        <v>5560.59</v>
      </c>
      <c r="DI59" s="280">
        <v>6120.04</v>
      </c>
      <c r="DJ59" s="280">
        <v>6474.09</v>
      </c>
      <c r="DK59" s="280">
        <v>6773.27</v>
      </c>
      <c r="DL59" s="192">
        <v>7100.5</v>
      </c>
      <c r="DM59" s="220">
        <v>7488.8973499999993</v>
      </c>
      <c r="DN59" s="220">
        <v>7823.6510615449997</v>
      </c>
      <c r="DO59" s="220">
        <v>8173.3682639960607</v>
      </c>
      <c r="DP59" s="220">
        <v>8538.7178253966849</v>
      </c>
      <c r="DQ59" s="220">
        <v>8920.3985121919159</v>
      </c>
      <c r="DR59" s="220">
        <v>9319.1403256868944</v>
      </c>
      <c r="DS59" s="220">
        <v>9735.7058982450981</v>
      </c>
      <c r="DT59" s="220">
        <v>10170.891951896654</v>
      </c>
      <c r="DU59" s="220">
        <v>10625.530822146435</v>
      </c>
      <c r="DV59" s="220">
        <v>11100.49204989638</v>
      </c>
      <c r="DW59" s="220">
        <v>11596.684044526748</v>
      </c>
      <c r="DX59" s="220">
        <v>12115.055821317093</v>
      </c>
      <c r="DY59" s="220">
        <v>12656.598816529968</v>
      </c>
      <c r="DZ59" s="220">
        <v>13222.348783628857</v>
      </c>
      <c r="EA59" s="220">
        <v>13813.387774257066</v>
      </c>
      <c r="EB59" s="220">
        <v>14430.846207766355</v>
      </c>
    </row>
    <row r="60" spans="1:194" s="577" customFormat="1" ht="11.25" x14ac:dyDescent="0.25">
      <c r="A60" s="216" t="s">
        <v>241</v>
      </c>
      <c r="B60" s="263"/>
      <c r="C60" s="263">
        <v>69.2</v>
      </c>
      <c r="D60" s="263">
        <v>70</v>
      </c>
      <c r="E60" s="263">
        <v>70.599999999999994</v>
      </c>
      <c r="F60" s="263">
        <v>71.900000000000006</v>
      </c>
      <c r="G60" s="263">
        <v>72.2</v>
      </c>
      <c r="H60" s="263">
        <v>72.7</v>
      </c>
      <c r="I60" s="263">
        <v>75.7</v>
      </c>
      <c r="J60" s="263">
        <v>79.3</v>
      </c>
      <c r="K60" s="263">
        <v>78.599999999999994</v>
      </c>
      <c r="L60" s="263">
        <v>79.5</v>
      </c>
      <c r="M60" s="263">
        <v>79.400000000000006</v>
      </c>
      <c r="N60" s="263">
        <v>81.900000000000006</v>
      </c>
      <c r="O60" s="263">
        <v>81.7</v>
      </c>
      <c r="P60" s="263">
        <v>81.7</v>
      </c>
      <c r="Q60" s="263">
        <v>82.6</v>
      </c>
      <c r="R60" s="263">
        <v>82.8</v>
      </c>
      <c r="S60" s="263">
        <v>83.1</v>
      </c>
      <c r="T60" s="263">
        <v>84.3</v>
      </c>
      <c r="U60" s="263">
        <v>85.7</v>
      </c>
      <c r="V60" s="263">
        <v>87.9</v>
      </c>
      <c r="W60" s="263">
        <v>88.4</v>
      </c>
      <c r="X60" s="263">
        <v>87.8</v>
      </c>
      <c r="Y60" s="263">
        <v>89.3</v>
      </c>
      <c r="Z60" s="263">
        <v>90.2</v>
      </c>
      <c r="AA60" s="263">
        <v>90.6</v>
      </c>
      <c r="AB60" s="263">
        <v>91.1</v>
      </c>
      <c r="AC60" s="263">
        <v>92.1</v>
      </c>
      <c r="AD60" s="263">
        <v>94.5</v>
      </c>
      <c r="AE60" s="263">
        <v>94.8</v>
      </c>
      <c r="AF60" s="263">
        <v>94.3</v>
      </c>
      <c r="AG60" s="263">
        <v>95.7</v>
      </c>
      <c r="AH60" s="263">
        <v>97.1</v>
      </c>
      <c r="AI60" s="263">
        <v>97.6</v>
      </c>
      <c r="AJ60" s="263">
        <v>98.3</v>
      </c>
      <c r="AK60" s="263">
        <v>100</v>
      </c>
      <c r="AL60" s="263">
        <v>101.1</v>
      </c>
      <c r="AM60" s="263">
        <v>101.9</v>
      </c>
      <c r="AN60" s="263">
        <v>102.2</v>
      </c>
      <c r="AO60" s="263">
        <v>103.2</v>
      </c>
      <c r="AP60" s="263">
        <v>103.9</v>
      </c>
      <c r="AQ60" s="263">
        <v>104.8</v>
      </c>
      <c r="AR60" s="288">
        <v>104.9</v>
      </c>
      <c r="AS60" s="288">
        <v>106.1</v>
      </c>
      <c r="AT60" s="288">
        <v>106.5</v>
      </c>
      <c r="AU60" s="288">
        <v>105.3</v>
      </c>
      <c r="AV60" s="288">
        <v>106.6</v>
      </c>
      <c r="AW60" s="288">
        <v>108.4</v>
      </c>
      <c r="AX60" s="288">
        <v>109.1</v>
      </c>
      <c r="AY60" s="288">
        <v>110</v>
      </c>
      <c r="AZ60" s="288">
        <v>113.4</v>
      </c>
      <c r="BA60" s="288">
        <v>115.8</v>
      </c>
      <c r="BB60" s="288">
        <v>120.1</v>
      </c>
      <c r="BC60" s="288">
        <v>122.7</v>
      </c>
      <c r="BD60" s="288">
        <v>124</v>
      </c>
      <c r="BE60" s="288">
        <v>125.2</v>
      </c>
      <c r="BF60" s="288">
        <v>127.8</v>
      </c>
      <c r="BG60" s="288">
        <v>127.9</v>
      </c>
      <c r="BH60" s="288">
        <v>128.30000000000001</v>
      </c>
      <c r="BI60" s="288">
        <v>129.80000000000001</v>
      </c>
      <c r="BJ60" s="288">
        <v>132.4</v>
      </c>
      <c r="BK60" s="288">
        <v>133.4</v>
      </c>
      <c r="BL60" s="288">
        <v>133.5</v>
      </c>
      <c r="BM60" s="288">
        <v>134.69999999999999</v>
      </c>
      <c r="BN60" s="288">
        <v>138.19999999999999</v>
      </c>
      <c r="BO60" s="264">
        <v>138.69999999999999</v>
      </c>
      <c r="BP60" s="220">
        <v>140.30701589131093</v>
      </c>
      <c r="BQ60" s="220">
        <v>142.29538542536642</v>
      </c>
      <c r="BR60" s="220">
        <v>144.80428559715403</v>
      </c>
      <c r="BS60" s="220">
        <v>145.58523468032905</v>
      </c>
      <c r="BT60" s="220">
        <v>147.26606820172157</v>
      </c>
      <c r="BU60" s="220">
        <v>149.28087732212552</v>
      </c>
      <c r="BV60" s="220"/>
      <c r="BW60" s="220"/>
      <c r="BX60" s="220"/>
      <c r="BY60" s="220"/>
      <c r="BZ60" s="220"/>
      <c r="CA60" s="220"/>
      <c r="CB60" s="220"/>
      <c r="CC60" s="220"/>
      <c r="CD60" s="220"/>
      <c r="CE60" s="220"/>
      <c r="CF60" s="220"/>
      <c r="CG60" s="220"/>
      <c r="CH60" s="220"/>
      <c r="CI60" s="220"/>
      <c r="CJ60" s="220"/>
      <c r="CK60" s="220"/>
      <c r="CL60" s="220"/>
      <c r="CM60" s="220"/>
      <c r="CN60" s="220"/>
      <c r="CO60" s="220"/>
      <c r="CP60" s="220"/>
      <c r="CQ60" s="220"/>
      <c r="CR60" s="220"/>
      <c r="CS60" s="220"/>
      <c r="CT60" s="220"/>
      <c r="CU60" s="220"/>
      <c r="CV60" s="220"/>
      <c r="CW60" s="220"/>
      <c r="CX60" s="263"/>
      <c r="CY60" s="191">
        <v>79.400000000000006</v>
      </c>
      <c r="CZ60" s="191">
        <v>82.6</v>
      </c>
      <c r="DA60" s="191">
        <v>85.7</v>
      </c>
      <c r="DB60" s="191">
        <v>89.3</v>
      </c>
      <c r="DC60" s="191">
        <v>92.1</v>
      </c>
      <c r="DD60" s="191">
        <v>95.7</v>
      </c>
      <c r="DE60" s="191">
        <v>100</v>
      </c>
      <c r="DF60" s="280">
        <v>103.2</v>
      </c>
      <c r="DG60" s="280">
        <v>106.1</v>
      </c>
      <c r="DH60" s="280">
        <v>108.4</v>
      </c>
      <c r="DI60" s="280">
        <v>115.8</v>
      </c>
      <c r="DJ60" s="280">
        <v>125.2</v>
      </c>
      <c r="DK60" s="280">
        <v>129.80000000000001</v>
      </c>
      <c r="DL60" s="192">
        <v>134.69999999999999</v>
      </c>
      <c r="DM60" s="220">
        <v>142.29538542536642</v>
      </c>
      <c r="DN60" s="220">
        <v>149.28087732212552</v>
      </c>
      <c r="DO60" s="220">
        <v>156.60929739532421</v>
      </c>
      <c r="DP60" s="220">
        <v>164.29748049867558</v>
      </c>
      <c r="DQ60" s="220">
        <v>172.36308793387525</v>
      </c>
      <c r="DR60" s="220">
        <v>180.82464802216063</v>
      </c>
      <c r="DS60" s="220">
        <v>189.70159866758857</v>
      </c>
      <c r="DT60" s="220">
        <v>199.01433200980739</v>
      </c>
      <c r="DU60" s="220">
        <v>208.78424126889999</v>
      </c>
      <c r="DV60" s="220">
        <v>219.03376988990971</v>
      </c>
      <c r="DW60" s="220">
        <v>229.78646309994411</v>
      </c>
      <c r="DX60" s="220">
        <v>241.06702199629362</v>
      </c>
      <c r="DY60" s="220">
        <v>252.90136028981615</v>
      </c>
      <c r="DZ60" s="220">
        <v>265.31666383393895</v>
      </c>
      <c r="EA60" s="220">
        <v>278.34145307602739</v>
      </c>
      <c r="EB60" s="220">
        <v>292.00564857458454</v>
      </c>
    </row>
    <row r="61" spans="1:194" s="577" customFormat="1" ht="11.25" x14ac:dyDescent="0.25">
      <c r="A61" s="216" t="s">
        <v>242</v>
      </c>
      <c r="B61" s="263"/>
      <c r="C61" s="263">
        <v>70.179400000000001</v>
      </c>
      <c r="D61" s="263">
        <v>70.892700000000005</v>
      </c>
      <c r="E61" s="263">
        <v>71.771900000000002</v>
      </c>
      <c r="F61" s="263">
        <v>73.489699999999999</v>
      </c>
      <c r="G61" s="263">
        <v>72.771199999999993</v>
      </c>
      <c r="H61" s="263">
        <v>73.515100000000004</v>
      </c>
      <c r="I61" s="263">
        <v>74.930999999999997</v>
      </c>
      <c r="J61" s="263">
        <v>75.723500000000001</v>
      </c>
      <c r="K61" s="263">
        <v>75.155500000000004</v>
      </c>
      <c r="L61" s="263">
        <v>75.821100000000001</v>
      </c>
      <c r="M61" s="263">
        <v>77.792400000000001</v>
      </c>
      <c r="N61" s="263">
        <v>78.547399999999996</v>
      </c>
      <c r="O61" s="263">
        <v>78.413700000000006</v>
      </c>
      <c r="P61" s="263">
        <v>79.439099999999996</v>
      </c>
      <c r="Q61" s="263">
        <v>80.568200000000004</v>
      </c>
      <c r="R61" s="263">
        <v>81.8874</v>
      </c>
      <c r="S61" s="263">
        <v>81.619200000000006</v>
      </c>
      <c r="T61" s="263">
        <v>82.132300000000001</v>
      </c>
      <c r="U61" s="263">
        <v>83.770099999999999</v>
      </c>
      <c r="V61" s="263">
        <v>84.965299999999999</v>
      </c>
      <c r="W61" s="263">
        <v>84.682100000000005</v>
      </c>
      <c r="X61" s="263">
        <v>85.596299999999999</v>
      </c>
      <c r="Y61" s="263">
        <v>87.188999999999993</v>
      </c>
      <c r="Z61" s="263">
        <v>87.630700000000004</v>
      </c>
      <c r="AA61" s="263">
        <v>87.113100000000003</v>
      </c>
      <c r="AB61" s="263">
        <v>87.752399999999994</v>
      </c>
      <c r="AC61" s="263">
        <v>89.046800000000005</v>
      </c>
      <c r="AD61" s="263">
        <v>89.91</v>
      </c>
      <c r="AE61" s="263">
        <v>89.323999999999998</v>
      </c>
      <c r="AF61" s="263">
        <v>90.357699999999994</v>
      </c>
      <c r="AG61" s="263">
        <v>92.039000000000001</v>
      </c>
      <c r="AH61" s="263">
        <v>94.722499999999997</v>
      </c>
      <c r="AI61" s="263">
        <v>94.9636</v>
      </c>
      <c r="AJ61" s="263">
        <v>96.093500000000006</v>
      </c>
      <c r="AK61" s="263">
        <v>98.272900000000007</v>
      </c>
      <c r="AL61" s="263">
        <v>99.492199999999997</v>
      </c>
      <c r="AM61" s="263">
        <v>99.376499999999993</v>
      </c>
      <c r="AN61" s="263">
        <v>100.917</v>
      </c>
      <c r="AO61" s="263">
        <v>103.02</v>
      </c>
      <c r="AP61" s="263">
        <v>103.476</v>
      </c>
      <c r="AQ61" s="263">
        <v>103.29900000000001</v>
      </c>
      <c r="AR61" s="288">
        <v>103.94199999999999</v>
      </c>
      <c r="AS61" s="288">
        <v>105.934</v>
      </c>
      <c r="AT61" s="288">
        <v>106.83799999999999</v>
      </c>
      <c r="AU61" s="288">
        <v>106.74299999999999</v>
      </c>
      <c r="AV61" s="288">
        <v>108.114</v>
      </c>
      <c r="AW61" s="288">
        <v>109.271</v>
      </c>
      <c r="AX61" s="288">
        <v>111.824</v>
      </c>
      <c r="AY61" s="288">
        <v>113.018</v>
      </c>
      <c r="AZ61" s="288">
        <v>114.601</v>
      </c>
      <c r="BA61" s="288">
        <v>117.30800000000001</v>
      </c>
      <c r="BB61" s="288">
        <v>120.15900000000001</v>
      </c>
      <c r="BC61" s="288">
        <v>122.044</v>
      </c>
      <c r="BD61" s="288">
        <v>124.571</v>
      </c>
      <c r="BE61" s="288">
        <v>126.47799999999999</v>
      </c>
      <c r="BF61" s="288">
        <v>128.38900000000001</v>
      </c>
      <c r="BG61" s="288">
        <v>128.214</v>
      </c>
      <c r="BH61" s="288">
        <v>130.12</v>
      </c>
      <c r="BI61" s="288">
        <v>132.37299999999999</v>
      </c>
      <c r="BJ61" s="288">
        <v>134.065</v>
      </c>
      <c r="BK61" s="288">
        <v>134.59399999999999</v>
      </c>
      <c r="BL61" s="288">
        <v>136.08000000000001</v>
      </c>
      <c r="BM61" s="288">
        <v>137.94900000000001</v>
      </c>
      <c r="BN61" s="288">
        <v>139.161</v>
      </c>
      <c r="BO61" s="264">
        <v>140.405</v>
      </c>
      <c r="BP61" s="220">
        <v>140.84279999999998</v>
      </c>
      <c r="BQ61" s="220">
        <v>142.77721500000001</v>
      </c>
      <c r="BR61" s="220">
        <v>144.03163500000002</v>
      </c>
      <c r="BS61" s="220">
        <v>145.319175</v>
      </c>
      <c r="BT61" s="220">
        <v>145.77229799999998</v>
      </c>
      <c r="BU61" s="220">
        <v>147.77441752500002</v>
      </c>
      <c r="BV61" s="220"/>
      <c r="BW61" s="220"/>
      <c r="BX61" s="220"/>
      <c r="BY61" s="220"/>
      <c r="BZ61" s="220"/>
      <c r="CA61" s="220"/>
      <c r="CB61" s="220"/>
      <c r="CC61" s="220"/>
      <c r="CD61" s="220"/>
      <c r="CE61" s="220"/>
      <c r="CF61" s="220"/>
      <c r="CG61" s="220"/>
      <c r="CH61" s="220"/>
      <c r="CI61" s="220"/>
      <c r="CJ61" s="220"/>
      <c r="CK61" s="220"/>
      <c r="CL61" s="220"/>
      <c r="CM61" s="220"/>
      <c r="CN61" s="220"/>
      <c r="CO61" s="220"/>
      <c r="CP61" s="220"/>
      <c r="CQ61" s="220"/>
      <c r="CR61" s="220"/>
      <c r="CS61" s="220"/>
      <c r="CT61" s="220"/>
      <c r="CU61" s="220"/>
      <c r="CV61" s="220"/>
      <c r="CW61" s="220"/>
      <c r="CX61" s="263"/>
      <c r="CY61" s="191">
        <v>77.792400000000001</v>
      </c>
      <c r="CZ61" s="191">
        <v>80.568200000000004</v>
      </c>
      <c r="DA61" s="191">
        <v>83.770099999999999</v>
      </c>
      <c r="DB61" s="191">
        <v>87.188999999999993</v>
      </c>
      <c r="DC61" s="191">
        <v>89.046800000000005</v>
      </c>
      <c r="DD61" s="191">
        <v>92.039000000000001</v>
      </c>
      <c r="DE61" s="191">
        <v>98.272900000000007</v>
      </c>
      <c r="DF61" s="280">
        <v>103.02</v>
      </c>
      <c r="DG61" s="280">
        <v>105.934</v>
      </c>
      <c r="DH61" s="280">
        <v>109.271</v>
      </c>
      <c r="DI61" s="280">
        <v>117.30800000000001</v>
      </c>
      <c r="DJ61" s="280">
        <v>126.47799999999999</v>
      </c>
      <c r="DK61" s="280">
        <v>132.37299999999999</v>
      </c>
      <c r="DL61" s="192">
        <v>137.94900000000001</v>
      </c>
      <c r="DM61" s="220">
        <v>142.77721500000001</v>
      </c>
      <c r="DN61" s="220">
        <v>147.77441752500002</v>
      </c>
      <c r="DO61" s="220">
        <v>152.94652213837503</v>
      </c>
      <c r="DP61" s="220">
        <v>158.29965041321819</v>
      </c>
      <c r="DQ61" s="220">
        <v>163.84013817768084</v>
      </c>
      <c r="DR61" s="220">
        <v>169.5745430138997</v>
      </c>
      <c r="DS61" s="220">
        <v>175.50965201938621</v>
      </c>
      <c r="DT61" s="220">
        <v>181.65248984006476</v>
      </c>
      <c r="DU61" s="220">
        <v>188.01032698446704</v>
      </c>
      <c r="DV61" s="220">
        <v>194.59068842892341</v>
      </c>
      <c r="DW61" s="220">
        <v>201.40136252393577</v>
      </c>
      <c r="DX61" s="220">
        <v>208.45041021227357</v>
      </c>
      <c r="DY61" s="220">
        <v>215.74617456970319</v>
      </c>
      <c r="DZ61" s="220">
        <v>223.29729067964283</v>
      </c>
      <c r="EA61" s="220">
        <v>231.11269585343035</v>
      </c>
      <c r="EB61" s="220">
        <v>239.20164020830046</v>
      </c>
    </row>
    <row r="62" spans="1:194" s="577" customFormat="1" ht="11.25" x14ac:dyDescent="0.25">
      <c r="A62" s="216" t="s">
        <v>243</v>
      </c>
      <c r="B62" s="263"/>
      <c r="C62" s="263">
        <v>34.770000000000003</v>
      </c>
      <c r="D62" s="263">
        <v>35.630000000000003</v>
      </c>
      <c r="E62" s="263">
        <v>35.82</v>
      </c>
      <c r="F62" s="263">
        <v>36.700000000000003</v>
      </c>
      <c r="G62" s="263">
        <v>36.92</v>
      </c>
      <c r="H62" s="263">
        <v>37.880000000000003</v>
      </c>
      <c r="I62" s="263">
        <v>38.299999999999997</v>
      </c>
      <c r="J62" s="263">
        <v>39.700000000000003</v>
      </c>
      <c r="K62" s="263">
        <v>40.1</v>
      </c>
      <c r="L62" s="263">
        <v>40.840000000000003</v>
      </c>
      <c r="M62" s="263">
        <v>41.59</v>
      </c>
      <c r="N62" s="263">
        <v>42.67</v>
      </c>
      <c r="O62" s="263">
        <v>43.31</v>
      </c>
      <c r="P62" s="263">
        <v>44.37</v>
      </c>
      <c r="Q62" s="263">
        <v>44.7</v>
      </c>
      <c r="R62" s="263">
        <v>46.31</v>
      </c>
      <c r="S62" s="263">
        <v>46.87</v>
      </c>
      <c r="T62" s="263">
        <v>48.37</v>
      </c>
      <c r="U62" s="263">
        <v>48.51</v>
      </c>
      <c r="V62" s="263">
        <v>50.82</v>
      </c>
      <c r="W62" s="263">
        <v>51.12</v>
      </c>
      <c r="X62" s="263">
        <v>52.41</v>
      </c>
      <c r="Y62" s="263">
        <v>52.52</v>
      </c>
      <c r="Z62" s="263">
        <v>54.65</v>
      </c>
      <c r="AA62" s="263">
        <v>55.48</v>
      </c>
      <c r="AB62" s="263">
        <v>57.2</v>
      </c>
      <c r="AC62" s="263">
        <v>57.48</v>
      </c>
      <c r="AD62" s="263">
        <v>60.44</v>
      </c>
      <c r="AE62" s="263">
        <v>61.55</v>
      </c>
      <c r="AF62" s="263">
        <v>62.3</v>
      </c>
      <c r="AG62" s="263">
        <v>62.13</v>
      </c>
      <c r="AH62" s="263">
        <v>64.5</v>
      </c>
      <c r="AI62" s="263">
        <v>64.819999999999993</v>
      </c>
      <c r="AJ62" s="263">
        <v>65.88</v>
      </c>
      <c r="AK62" s="263">
        <v>66.2</v>
      </c>
      <c r="AL62" s="263">
        <v>68.790000000000006</v>
      </c>
      <c r="AM62" s="263">
        <v>70.08</v>
      </c>
      <c r="AN62" s="263">
        <v>71.33</v>
      </c>
      <c r="AO62" s="263">
        <v>71.47</v>
      </c>
      <c r="AP62" s="263">
        <v>74.14</v>
      </c>
      <c r="AQ62" s="263">
        <v>75.239999999999995</v>
      </c>
      <c r="AR62" s="288">
        <v>76.87</v>
      </c>
      <c r="AS62" s="288">
        <v>77.760000000000005</v>
      </c>
      <c r="AT62" s="288">
        <v>80.930000000000007</v>
      </c>
      <c r="AU62" s="288">
        <v>83.03</v>
      </c>
      <c r="AV62" s="288">
        <v>84.5</v>
      </c>
      <c r="AW62" s="288">
        <v>85.07</v>
      </c>
      <c r="AX62" s="288">
        <v>87.69</v>
      </c>
      <c r="AY62" s="288">
        <v>89.12</v>
      </c>
      <c r="AZ62" s="288">
        <v>90.76</v>
      </c>
      <c r="BA62" s="288">
        <v>91.85</v>
      </c>
      <c r="BB62" s="288">
        <v>95.91</v>
      </c>
      <c r="BC62" s="288">
        <v>97.4</v>
      </c>
      <c r="BD62" s="288">
        <v>99.79</v>
      </c>
      <c r="BE62" s="288">
        <v>99.47</v>
      </c>
      <c r="BF62" s="288">
        <v>102.94</v>
      </c>
      <c r="BG62" s="288">
        <v>103.22</v>
      </c>
      <c r="BH62" s="288">
        <v>103.66</v>
      </c>
      <c r="BI62" s="288">
        <v>104.55</v>
      </c>
      <c r="BJ62" s="288">
        <v>106.85</v>
      </c>
      <c r="BK62" s="288">
        <v>108.34</v>
      </c>
      <c r="BL62" s="288">
        <v>109.17</v>
      </c>
      <c r="BM62" s="288">
        <v>110.29</v>
      </c>
      <c r="BN62" s="288">
        <v>112.92</v>
      </c>
      <c r="BO62" s="264">
        <v>113.31</v>
      </c>
      <c r="BP62" s="220">
        <v>115.39514811490126</v>
      </c>
      <c r="BQ62" s="220">
        <v>116.38590329358408</v>
      </c>
      <c r="BR62" s="220">
        <v>120.44601271781988</v>
      </c>
      <c r="BS62" s="220">
        <v>122.31718943505012</v>
      </c>
      <c r="BT62" s="220">
        <v>124.48274728726646</v>
      </c>
      <c r="BU62" s="220">
        <v>125.55152642179922</v>
      </c>
      <c r="BV62" s="220"/>
      <c r="BW62" s="220"/>
      <c r="BX62" s="220"/>
      <c r="BY62" s="220"/>
      <c r="BZ62" s="220"/>
      <c r="CA62" s="220"/>
      <c r="CB62" s="220"/>
      <c r="CC62" s="220"/>
      <c r="CD62" s="220"/>
      <c r="CE62" s="220"/>
      <c r="CF62" s="220"/>
      <c r="CG62" s="220"/>
      <c r="CH62" s="220"/>
      <c r="CI62" s="220"/>
      <c r="CJ62" s="220"/>
      <c r="CK62" s="220"/>
      <c r="CL62" s="220"/>
      <c r="CM62" s="220"/>
      <c r="CN62" s="220"/>
      <c r="CO62" s="220"/>
      <c r="CP62" s="220"/>
      <c r="CQ62" s="220"/>
      <c r="CR62" s="220"/>
      <c r="CS62" s="220"/>
      <c r="CT62" s="220"/>
      <c r="CU62" s="220"/>
      <c r="CV62" s="220"/>
      <c r="CW62" s="220"/>
      <c r="CX62" s="263"/>
      <c r="CY62" s="191">
        <v>41.59</v>
      </c>
      <c r="CZ62" s="191">
        <v>44.7</v>
      </c>
      <c r="DA62" s="191">
        <v>48.51</v>
      </c>
      <c r="DB62" s="191">
        <v>52.52</v>
      </c>
      <c r="DC62" s="191">
        <v>57.48</v>
      </c>
      <c r="DD62" s="191">
        <v>62.13</v>
      </c>
      <c r="DE62" s="191">
        <v>66.2</v>
      </c>
      <c r="DF62" s="280">
        <v>71.47</v>
      </c>
      <c r="DG62" s="280">
        <v>77.760000000000005</v>
      </c>
      <c r="DH62" s="280">
        <v>85.07</v>
      </c>
      <c r="DI62" s="280">
        <v>91.85</v>
      </c>
      <c r="DJ62" s="280">
        <v>99.47</v>
      </c>
      <c r="DK62" s="280">
        <v>104.55</v>
      </c>
      <c r="DL62" s="192">
        <v>110.29</v>
      </c>
      <c r="DM62" s="220">
        <v>116.38590329358408</v>
      </c>
      <c r="DN62" s="220">
        <v>125.55152642179922</v>
      </c>
      <c r="DO62" s="220">
        <v>135.43896073978158</v>
      </c>
      <c r="DP62" s="220">
        <v>146.10505032527519</v>
      </c>
      <c r="DQ62" s="220">
        <v>157.61111584106521</v>
      </c>
      <c r="DR62" s="220">
        <v>170.02330707502111</v>
      </c>
      <c r="DS62" s="220">
        <v>183.41298324337495</v>
      </c>
      <c r="DT62" s="220">
        <v>197.85712324364496</v>
      </c>
      <c r="DU62" s="220">
        <v>213.43876821579889</v>
      </c>
      <c r="DV62" s="220">
        <v>230.24749895599601</v>
      </c>
      <c r="DW62" s="220">
        <v>248.37995092761813</v>
      </c>
      <c r="DX62" s="220">
        <v>267.94036983045117</v>
      </c>
      <c r="DY62" s="220">
        <v>289.04121092205338</v>
      </c>
      <c r="DZ62" s="220">
        <v>311.8037855368824</v>
      </c>
      <c r="EA62" s="220">
        <v>336.35895852009907</v>
      </c>
      <c r="EB62" s="220">
        <v>362.84790058568109</v>
      </c>
    </row>
    <row r="63" spans="1:194" s="577" customFormat="1" ht="11.25" x14ac:dyDescent="0.25">
      <c r="A63" s="233" t="s">
        <v>244</v>
      </c>
      <c r="B63" s="263"/>
      <c r="C63" s="263">
        <v>86.614000000000004</v>
      </c>
      <c r="D63" s="263">
        <v>85.971000000000004</v>
      </c>
      <c r="E63" s="263">
        <v>87.031000000000006</v>
      </c>
      <c r="F63" s="263">
        <v>86.638999999999996</v>
      </c>
      <c r="G63" s="263">
        <v>87.912999999999997</v>
      </c>
      <c r="H63" s="263">
        <v>87.801000000000002</v>
      </c>
      <c r="I63" s="263">
        <v>89.631</v>
      </c>
      <c r="J63" s="263">
        <v>89.754000000000005</v>
      </c>
      <c r="K63" s="263">
        <v>90.712999999999994</v>
      </c>
      <c r="L63" s="263">
        <v>90.558999999999997</v>
      </c>
      <c r="M63" s="263">
        <v>91.762</v>
      </c>
      <c r="N63" s="263">
        <v>91.457999999999998</v>
      </c>
      <c r="O63" s="263">
        <v>92.433000000000007</v>
      </c>
      <c r="P63" s="263">
        <v>93.649000000000001</v>
      </c>
      <c r="Q63" s="263">
        <v>94.394000000000005</v>
      </c>
      <c r="R63" s="263">
        <v>93.677999999999997</v>
      </c>
      <c r="S63" s="263">
        <v>94.34</v>
      </c>
      <c r="T63" s="263">
        <v>93.968999999999994</v>
      </c>
      <c r="U63" s="263">
        <v>94.632000000000005</v>
      </c>
      <c r="V63" s="263">
        <v>93.540999999999997</v>
      </c>
      <c r="W63" s="263">
        <v>94.421000000000006</v>
      </c>
      <c r="X63" s="263">
        <v>93.823999999999998</v>
      </c>
      <c r="Y63" s="263">
        <v>93.646000000000001</v>
      </c>
      <c r="Z63" s="263">
        <v>92.92</v>
      </c>
      <c r="AA63" s="263">
        <v>94.474000000000004</v>
      </c>
      <c r="AB63" s="263">
        <v>92.998999999999995</v>
      </c>
      <c r="AC63" s="263">
        <v>93.662999999999997</v>
      </c>
      <c r="AD63" s="263">
        <v>92.138999999999996</v>
      </c>
      <c r="AE63" s="263">
        <v>93.722999999999999</v>
      </c>
      <c r="AF63" s="263">
        <v>93.165000000000006</v>
      </c>
      <c r="AG63" s="263">
        <v>95.132000000000005</v>
      </c>
      <c r="AH63" s="263">
        <v>94.248999999999995</v>
      </c>
      <c r="AI63" s="263">
        <v>95.138000000000005</v>
      </c>
      <c r="AJ63" s="263">
        <v>94.834999999999994</v>
      </c>
      <c r="AK63" s="263">
        <v>96.19</v>
      </c>
      <c r="AL63" s="263">
        <v>95.393000000000001</v>
      </c>
      <c r="AM63" s="263">
        <v>97.302000000000007</v>
      </c>
      <c r="AN63" s="263">
        <v>96.977999999999994</v>
      </c>
      <c r="AO63" s="263">
        <v>97.328999999999994</v>
      </c>
      <c r="AP63" s="263">
        <v>96.668999999999997</v>
      </c>
      <c r="AQ63" s="263">
        <v>97.718999999999994</v>
      </c>
      <c r="AR63" s="288">
        <v>97.058999999999997</v>
      </c>
      <c r="AS63" s="288">
        <v>98.096000000000004</v>
      </c>
      <c r="AT63" s="288">
        <v>96.652000000000001</v>
      </c>
      <c r="AU63" s="288">
        <v>97.385000000000005</v>
      </c>
      <c r="AV63" s="288">
        <v>96.7</v>
      </c>
      <c r="AW63" s="288">
        <v>97.573999999999998</v>
      </c>
      <c r="AX63" s="288">
        <v>97.948999999999998</v>
      </c>
      <c r="AY63" s="288">
        <v>100.04600000000001</v>
      </c>
      <c r="AZ63" s="288">
        <v>100.575</v>
      </c>
      <c r="BA63" s="288">
        <v>103.965</v>
      </c>
      <c r="BB63" s="288">
        <v>107.566</v>
      </c>
      <c r="BC63" s="288">
        <v>110.267</v>
      </c>
      <c r="BD63" s="288">
        <v>109.498</v>
      </c>
      <c r="BE63" s="288">
        <v>109.899</v>
      </c>
      <c r="BF63" s="288">
        <v>111.111</v>
      </c>
      <c r="BG63" s="288">
        <v>112.354</v>
      </c>
      <c r="BH63" s="288">
        <v>113.348</v>
      </c>
      <c r="BI63" s="288">
        <v>113.30800000000001</v>
      </c>
      <c r="BJ63" s="288">
        <v>114.67400000000001</v>
      </c>
      <c r="BK63" s="288">
        <v>116.212</v>
      </c>
      <c r="BL63" s="288">
        <v>115.009</v>
      </c>
      <c r="BM63" s="288">
        <v>116.53400000000001</v>
      </c>
      <c r="BN63" s="288">
        <v>117.26</v>
      </c>
      <c r="BO63" s="264">
        <v>118.867</v>
      </c>
      <c r="BP63" s="220">
        <v>117.654207</v>
      </c>
      <c r="BQ63" s="220">
        <v>119.27254900000004</v>
      </c>
      <c r="BR63" s="220">
        <v>119.48794000000001</v>
      </c>
      <c r="BS63" s="220">
        <v>121.12547299999997</v>
      </c>
      <c r="BT63" s="220">
        <v>120.00729113999999</v>
      </c>
      <c r="BU63" s="220">
        <v>121.65799998000004</v>
      </c>
      <c r="BV63" s="220"/>
      <c r="BW63" s="220"/>
      <c r="BX63" s="220"/>
      <c r="BY63" s="220"/>
      <c r="BZ63" s="220"/>
      <c r="CA63" s="220"/>
      <c r="CB63" s="220"/>
      <c r="CC63" s="220"/>
      <c r="CD63" s="220"/>
      <c r="CE63" s="220"/>
      <c r="CF63" s="220"/>
      <c r="CG63" s="220"/>
      <c r="CH63" s="220"/>
      <c r="CI63" s="220"/>
      <c r="CJ63" s="220"/>
      <c r="CK63" s="220"/>
      <c r="CL63" s="220"/>
      <c r="CM63" s="220"/>
      <c r="CN63" s="220"/>
      <c r="CO63" s="220"/>
      <c r="CP63" s="220"/>
      <c r="CQ63" s="220"/>
      <c r="CR63" s="220"/>
      <c r="CS63" s="220"/>
      <c r="CT63" s="220"/>
      <c r="CU63" s="220"/>
      <c r="CV63" s="220"/>
      <c r="CW63" s="220"/>
      <c r="CX63" s="263"/>
      <c r="CY63" s="191">
        <v>91.762</v>
      </c>
      <c r="CZ63" s="191">
        <v>94.394000000000005</v>
      </c>
      <c r="DA63" s="191">
        <v>94.632000000000005</v>
      </c>
      <c r="DB63" s="191">
        <v>93.646000000000001</v>
      </c>
      <c r="DC63" s="191">
        <v>93.662999999999997</v>
      </c>
      <c r="DD63" s="191">
        <v>95.132000000000005</v>
      </c>
      <c r="DE63" s="191">
        <v>96.19</v>
      </c>
      <c r="DF63" s="280">
        <v>97.328999999999994</v>
      </c>
      <c r="DG63" s="280">
        <v>98.096000000000004</v>
      </c>
      <c r="DH63" s="280">
        <v>97.573999999999998</v>
      </c>
      <c r="DI63" s="280">
        <v>103.965</v>
      </c>
      <c r="DJ63" s="280">
        <v>109.899</v>
      </c>
      <c r="DK63" s="280">
        <v>113.30800000000001</v>
      </c>
      <c r="DL63" s="192">
        <v>116.53400000000001</v>
      </c>
      <c r="DM63" s="220">
        <v>119.27254900000004</v>
      </c>
      <c r="DN63" s="220">
        <v>121.65799998000004</v>
      </c>
      <c r="DO63" s="220">
        <v>124.09115997960005</v>
      </c>
      <c r="DP63" s="220">
        <v>126.57298317919205</v>
      </c>
      <c r="DQ63" s="220">
        <v>129.10444284277588</v>
      </c>
      <c r="DR63" s="220">
        <v>131.68653169963139</v>
      </c>
      <c r="DS63" s="220">
        <v>134.32026233362402</v>
      </c>
      <c r="DT63" s="220">
        <v>137.00666758029649</v>
      </c>
      <c r="DU63" s="220">
        <v>139.74680093190241</v>
      </c>
      <c r="DV63" s="220">
        <v>142.54173695054047</v>
      </c>
      <c r="DW63" s="220">
        <v>145.39257168955129</v>
      </c>
      <c r="DX63" s="220">
        <v>148.30042312334231</v>
      </c>
      <c r="DY63" s="220">
        <v>151.26643158580916</v>
      </c>
      <c r="DZ63" s="220">
        <v>154.29176021752534</v>
      </c>
      <c r="EA63" s="220">
        <v>157.37759542187584</v>
      </c>
      <c r="EB63" s="220">
        <v>160.52514733031336</v>
      </c>
    </row>
    <row r="64" spans="1:194" s="578" customFormat="1" ht="11.25" x14ac:dyDescent="0.25">
      <c r="A64" s="234"/>
      <c r="B64" s="267"/>
      <c r="C64" s="267"/>
      <c r="D64" s="267"/>
      <c r="E64" s="267"/>
      <c r="F64" s="267"/>
      <c r="G64" s="267"/>
      <c r="H64" s="267"/>
      <c r="I64" s="267"/>
      <c r="J64" s="267"/>
      <c r="K64" s="267"/>
      <c r="L64" s="267"/>
      <c r="M64" s="267"/>
      <c r="N64" s="267"/>
      <c r="O64" s="267"/>
      <c r="P64" s="267"/>
      <c r="Q64" s="267"/>
      <c r="R64" s="267"/>
      <c r="S64" s="267"/>
      <c r="T64" s="267"/>
      <c r="U64" s="267"/>
      <c r="V64" s="267"/>
      <c r="W64" s="267"/>
      <c r="X64" s="267"/>
      <c r="Y64" s="267"/>
      <c r="Z64" s="267"/>
      <c r="AA64" s="267"/>
      <c r="AB64" s="267"/>
      <c r="AC64" s="267"/>
      <c r="AD64" s="267"/>
      <c r="AE64" s="267"/>
      <c r="AF64" s="267"/>
      <c r="AG64" s="267"/>
      <c r="AH64" s="267"/>
      <c r="AI64" s="267"/>
      <c r="AJ64" s="267"/>
      <c r="AK64" s="267"/>
      <c r="AL64" s="267"/>
      <c r="AM64" s="267"/>
      <c r="AN64" s="267"/>
      <c r="AO64" s="267"/>
      <c r="AP64" s="267"/>
      <c r="AQ64" s="267"/>
      <c r="AR64" s="289"/>
      <c r="AS64" s="289"/>
      <c r="AT64" s="289"/>
      <c r="AU64" s="289"/>
      <c r="AV64" s="289"/>
      <c r="AW64" s="289"/>
      <c r="AX64" s="289"/>
      <c r="AY64" s="289"/>
      <c r="AZ64" s="289"/>
      <c r="BA64" s="289"/>
      <c r="BB64" s="289"/>
      <c r="BC64" s="289"/>
      <c r="BD64" s="289"/>
      <c r="BE64" s="289"/>
      <c r="BF64" s="289"/>
      <c r="BG64" s="289"/>
      <c r="BH64" s="289"/>
      <c r="BI64" s="289"/>
      <c r="BJ64" s="289"/>
      <c r="BK64" s="289"/>
      <c r="BL64" s="289"/>
      <c r="BM64" s="289"/>
      <c r="BN64" s="289"/>
      <c r="BO64" s="268"/>
      <c r="BP64" s="269"/>
      <c r="BQ64" s="269"/>
      <c r="BR64" s="269"/>
      <c r="BS64" s="269"/>
      <c r="BT64" s="269"/>
      <c r="BU64" s="269"/>
      <c r="BV64" s="269"/>
      <c r="BW64" s="269"/>
      <c r="BX64" s="269"/>
      <c r="BY64" s="269"/>
      <c r="BZ64" s="269"/>
      <c r="CA64" s="269"/>
      <c r="CB64" s="269"/>
      <c r="CC64" s="269"/>
      <c r="CD64" s="269"/>
      <c r="CE64" s="269"/>
      <c r="CF64" s="269"/>
      <c r="CG64" s="269"/>
      <c r="CH64" s="269"/>
      <c r="CI64" s="269"/>
      <c r="CJ64" s="269"/>
      <c r="CK64" s="269"/>
      <c r="CL64" s="269"/>
      <c r="CM64" s="269"/>
      <c r="CN64" s="269"/>
      <c r="CO64" s="269"/>
      <c r="CP64" s="269"/>
      <c r="CQ64" s="269"/>
      <c r="CR64" s="269"/>
      <c r="CS64" s="269"/>
      <c r="CT64" s="269"/>
      <c r="CU64" s="269"/>
      <c r="CV64" s="232"/>
      <c r="CW64" s="232"/>
      <c r="CX64" s="267"/>
      <c r="CY64" s="243"/>
      <c r="CZ64" s="243"/>
      <c r="DA64" s="243"/>
      <c r="DB64" s="243"/>
      <c r="DC64" s="243"/>
      <c r="DD64" s="243"/>
      <c r="DE64" s="243"/>
      <c r="DF64" s="286"/>
      <c r="DG64" s="286"/>
      <c r="DH64" s="286"/>
      <c r="DI64" s="286"/>
      <c r="DJ64" s="286"/>
      <c r="DK64" s="286"/>
      <c r="DL64" s="244"/>
      <c r="DM64" s="232"/>
      <c r="DN64" s="220"/>
      <c r="DO64" s="232"/>
      <c r="DP64" s="232"/>
      <c r="DQ64" s="232"/>
      <c r="DR64" s="232"/>
      <c r="DS64" s="232"/>
      <c r="DT64" s="232"/>
      <c r="DU64" s="232"/>
      <c r="DV64" s="232"/>
      <c r="DW64" s="232"/>
      <c r="DX64" s="232"/>
      <c r="DY64" s="232"/>
      <c r="DZ64" s="232"/>
      <c r="EA64" s="232"/>
      <c r="EB64" s="232"/>
    </row>
    <row r="65" spans="1:132" s="577" customFormat="1" ht="11.25" x14ac:dyDescent="0.25">
      <c r="A65" s="209" t="s">
        <v>245</v>
      </c>
      <c r="B65" s="263"/>
      <c r="C65" s="263">
        <v>99.95</v>
      </c>
      <c r="D65" s="263">
        <v>100.76</v>
      </c>
      <c r="E65" s="263">
        <v>101.47</v>
      </c>
      <c r="F65" s="263">
        <v>103.3</v>
      </c>
      <c r="G65" s="263">
        <v>105.74</v>
      </c>
      <c r="H65" s="263">
        <v>110.89</v>
      </c>
      <c r="I65" s="263">
        <v>111.98</v>
      </c>
      <c r="J65" s="263">
        <v>111.44</v>
      </c>
      <c r="K65" s="263">
        <v>110.41</v>
      </c>
      <c r="L65" s="263">
        <v>109.74</v>
      </c>
      <c r="M65" s="263">
        <v>109.48</v>
      </c>
      <c r="N65" s="263">
        <v>109.47</v>
      </c>
      <c r="O65" s="263">
        <v>109.1</v>
      </c>
      <c r="P65" s="263">
        <v>109.71</v>
      </c>
      <c r="Q65" s="263">
        <v>109.33</v>
      </c>
      <c r="R65" s="263">
        <v>110.39</v>
      </c>
      <c r="S65" s="263">
        <v>110.42</v>
      </c>
      <c r="T65" s="263">
        <v>109.47</v>
      </c>
      <c r="U65" s="263">
        <v>95.05</v>
      </c>
      <c r="V65" s="263">
        <v>96.99</v>
      </c>
      <c r="W65" s="263">
        <v>98.99</v>
      </c>
      <c r="X65" s="263">
        <v>100.09</v>
      </c>
      <c r="Y65" s="263">
        <v>99.92</v>
      </c>
      <c r="Z65" s="263">
        <v>99.94</v>
      </c>
      <c r="AA65" s="263">
        <v>100</v>
      </c>
      <c r="AB65" s="263">
        <v>99.22</v>
      </c>
      <c r="AC65" s="263">
        <v>99.12</v>
      </c>
      <c r="AD65" s="263">
        <v>98.86</v>
      </c>
      <c r="AE65" s="263">
        <v>99.12</v>
      </c>
      <c r="AF65" s="263">
        <v>99.6</v>
      </c>
      <c r="AG65" s="263">
        <v>99.87</v>
      </c>
      <c r="AH65" s="263">
        <v>100.42</v>
      </c>
      <c r="AI65" s="263">
        <v>100.88</v>
      </c>
      <c r="AJ65" s="263">
        <v>101.24</v>
      </c>
      <c r="AK65" s="263">
        <v>102.45</v>
      </c>
      <c r="AL65" s="263">
        <v>103.05</v>
      </c>
      <c r="AM65" s="263">
        <v>103.03</v>
      </c>
      <c r="AN65" s="263">
        <v>103.48</v>
      </c>
      <c r="AO65" s="263">
        <v>104.52</v>
      </c>
      <c r="AP65" s="263">
        <v>104.51</v>
      </c>
      <c r="AQ65" s="263">
        <v>105.53</v>
      </c>
      <c r="AR65" s="288">
        <v>106.09</v>
      </c>
      <c r="AS65" s="288">
        <v>106.11</v>
      </c>
      <c r="AT65" s="288">
        <v>106.5</v>
      </c>
      <c r="AU65" s="288">
        <v>105.86</v>
      </c>
      <c r="AV65" s="288">
        <v>106.41</v>
      </c>
      <c r="AW65" s="288">
        <v>107.06</v>
      </c>
      <c r="AX65" s="288">
        <v>99.95</v>
      </c>
      <c r="AY65" s="288">
        <v>100.76</v>
      </c>
      <c r="AZ65" s="288">
        <v>101.47</v>
      </c>
      <c r="BA65" s="288">
        <v>103.3</v>
      </c>
      <c r="BB65" s="288">
        <v>105.74</v>
      </c>
      <c r="BC65" s="288">
        <v>110.89</v>
      </c>
      <c r="BD65" s="288">
        <v>111.98</v>
      </c>
      <c r="BE65" s="288">
        <v>111.44</v>
      </c>
      <c r="BF65" s="288">
        <v>110.41</v>
      </c>
      <c r="BG65" s="288">
        <v>115.78744940419898</v>
      </c>
      <c r="BH65" s="288">
        <v>116.92558918101004</v>
      </c>
      <c r="BI65" s="288">
        <v>116.36174011726878</v>
      </c>
      <c r="BJ65" s="288">
        <v>115.28625023642898</v>
      </c>
      <c r="BK65" s="288">
        <v>120.90119433249112</v>
      </c>
      <c r="BL65" s="288">
        <v>122.08959997612369</v>
      </c>
      <c r="BM65" s="288">
        <v>121.50084855634242</v>
      </c>
      <c r="BN65" s="288">
        <v>120.37785973712998</v>
      </c>
      <c r="BO65" s="264">
        <v>126.24078746217462</v>
      </c>
      <c r="BP65" s="220">
        <v>127.18021226716465</v>
      </c>
      <c r="BQ65" s="220">
        <v>127.55379842790443</v>
      </c>
      <c r="BR65" s="220">
        <v>126.08436112442918</v>
      </c>
      <c r="BS65" s="220">
        <v>129.82169752267754</v>
      </c>
      <c r="BT65" s="220">
        <v>130.90520682609016</v>
      </c>
      <c r="BU65" s="220">
        <v>131.15854679655752</v>
      </c>
      <c r="BV65" s="220"/>
      <c r="BW65" s="220"/>
      <c r="BX65" s="220"/>
      <c r="BY65" s="220"/>
      <c r="BZ65" s="220"/>
      <c r="CA65" s="220"/>
      <c r="CB65" s="220"/>
      <c r="CC65" s="220"/>
      <c r="CD65" s="220"/>
      <c r="CE65" s="220"/>
      <c r="CF65" s="220"/>
      <c r="CG65" s="220"/>
      <c r="CH65" s="220"/>
      <c r="CI65" s="220"/>
      <c r="CJ65" s="220"/>
      <c r="CK65" s="220"/>
      <c r="CL65" s="220"/>
      <c r="CM65" s="220"/>
      <c r="CN65" s="220"/>
      <c r="CO65" s="220"/>
      <c r="CP65" s="220"/>
      <c r="CQ65" s="220"/>
      <c r="CR65" s="220"/>
      <c r="CS65" s="220"/>
      <c r="CT65" s="220"/>
      <c r="CU65" s="220"/>
      <c r="CV65" s="220"/>
      <c r="CW65" s="220"/>
      <c r="CX65" s="263"/>
      <c r="CY65" s="191">
        <v>109.48</v>
      </c>
      <c r="CZ65" s="191">
        <v>109.33</v>
      </c>
      <c r="DA65" s="191">
        <v>95.05</v>
      </c>
      <c r="DB65" s="191">
        <v>99.92</v>
      </c>
      <c r="DC65" s="191">
        <v>99.12</v>
      </c>
      <c r="DD65" s="191">
        <v>99.87</v>
      </c>
      <c r="DE65" s="191">
        <v>102.45</v>
      </c>
      <c r="DF65" s="280">
        <v>104.52</v>
      </c>
      <c r="DG65" s="280">
        <v>106.11</v>
      </c>
      <c r="DH65" s="280">
        <v>107.06</v>
      </c>
      <c r="DI65" s="280">
        <v>103.3</v>
      </c>
      <c r="DJ65" s="280">
        <v>111.44</v>
      </c>
      <c r="DK65" s="280">
        <v>116.36174011726878</v>
      </c>
      <c r="DL65" s="192">
        <v>121.50084855634242</v>
      </c>
      <c r="DM65" s="220">
        <v>127.55379842790443</v>
      </c>
      <c r="DN65" s="220">
        <v>131.15854679655752</v>
      </c>
      <c r="DO65" s="220">
        <v>134.86516755914525</v>
      </c>
      <c r="DP65" s="220">
        <v>138.6765396918359</v>
      </c>
      <c r="DQ65" s="220">
        <v>142.59562353242535</v>
      </c>
      <c r="DR65" s="220">
        <v>146.62546307966639</v>
      </c>
      <c r="DS65" s="220">
        <v>150.76918835757866</v>
      </c>
      <c r="DT65" s="220">
        <v>155.03001784657519</v>
      </c>
      <c r="DU65" s="220">
        <v>159.41126098329426</v>
      </c>
      <c r="DV65" s="220">
        <v>163.91632073107792</v>
      </c>
      <c r="DW65" s="220">
        <v>168.54869622309391</v>
      </c>
      <c r="DX65" s="220">
        <v>173.31198548015368</v>
      </c>
      <c r="DY65" s="220">
        <v>178.20988820533776</v>
      </c>
      <c r="DZ65" s="220">
        <v>183.24620865759886</v>
      </c>
      <c r="EA65" s="220">
        <v>188.42485860657473</v>
      </c>
      <c r="EB65" s="220">
        <v>193.74986037090596</v>
      </c>
    </row>
    <row r="66" spans="1:132" s="577" customFormat="1" ht="11.25" x14ac:dyDescent="0.25">
      <c r="A66" s="209" t="s">
        <v>246</v>
      </c>
      <c r="B66" s="263"/>
      <c r="C66" s="263">
        <v>100.4</v>
      </c>
      <c r="D66" s="263">
        <v>99.73</v>
      </c>
      <c r="E66" s="263">
        <v>100</v>
      </c>
      <c r="F66" s="263">
        <v>100.89</v>
      </c>
      <c r="G66" s="263">
        <v>100.96</v>
      </c>
      <c r="H66" s="263">
        <v>101.11</v>
      </c>
      <c r="I66" s="263">
        <v>102.13</v>
      </c>
      <c r="J66" s="263">
        <v>103.63</v>
      </c>
      <c r="K66" s="263">
        <v>107.29</v>
      </c>
      <c r="L66" s="263">
        <v>107.4</v>
      </c>
      <c r="M66" s="263">
        <v>107.29</v>
      </c>
      <c r="N66" s="263">
        <v>108.16</v>
      </c>
      <c r="O66" s="263">
        <v>107.94</v>
      </c>
      <c r="P66" s="263">
        <v>108.24</v>
      </c>
      <c r="Q66" s="263">
        <v>108.13</v>
      </c>
      <c r="R66" s="263">
        <v>109.54</v>
      </c>
      <c r="S66" s="263">
        <v>108.91</v>
      </c>
      <c r="T66" s="263">
        <v>109.06</v>
      </c>
      <c r="U66" s="263">
        <v>108.98</v>
      </c>
      <c r="V66" s="263">
        <v>109.99</v>
      </c>
      <c r="W66" s="263">
        <v>110.15</v>
      </c>
      <c r="X66" s="263">
        <v>110.91</v>
      </c>
      <c r="Y66" s="263">
        <v>109.5</v>
      </c>
      <c r="Z66" s="263">
        <v>109.1</v>
      </c>
      <c r="AA66" s="263">
        <v>109.24</v>
      </c>
      <c r="AB66" s="263">
        <v>108.41</v>
      </c>
      <c r="AC66" s="263">
        <v>110.61</v>
      </c>
      <c r="AD66" s="263">
        <v>110.32</v>
      </c>
      <c r="AE66" s="263">
        <v>110.24</v>
      </c>
      <c r="AF66" s="263">
        <v>109.51</v>
      </c>
      <c r="AG66" s="263">
        <v>109.58</v>
      </c>
      <c r="AH66" s="263">
        <v>110.92</v>
      </c>
      <c r="AI66" s="263">
        <v>111.26</v>
      </c>
      <c r="AJ66" s="263">
        <v>111.22</v>
      </c>
      <c r="AK66" s="263">
        <v>111.81</v>
      </c>
      <c r="AL66" s="263">
        <v>111.93</v>
      </c>
      <c r="AM66" s="263">
        <v>112.26</v>
      </c>
      <c r="AN66" s="263">
        <v>112.76</v>
      </c>
      <c r="AO66" s="263">
        <v>112.3</v>
      </c>
      <c r="AP66" s="263">
        <v>112.69</v>
      </c>
      <c r="AQ66" s="263">
        <v>112.85</v>
      </c>
      <c r="AR66" s="288">
        <v>111.99</v>
      </c>
      <c r="AS66" s="288">
        <v>112.29</v>
      </c>
      <c r="AT66" s="288">
        <v>112.09</v>
      </c>
      <c r="AU66" s="288">
        <v>112.59</v>
      </c>
      <c r="AV66" s="288">
        <v>111.56</v>
      </c>
      <c r="AW66" s="288">
        <v>112.2</v>
      </c>
      <c r="AX66" s="288">
        <v>114.08</v>
      </c>
      <c r="AY66" s="288">
        <v>115.51</v>
      </c>
      <c r="AZ66" s="288">
        <v>117.1</v>
      </c>
      <c r="BA66" s="288">
        <v>119.06</v>
      </c>
      <c r="BB66" s="288">
        <v>121.7</v>
      </c>
      <c r="BC66" s="288">
        <v>124.5</v>
      </c>
      <c r="BD66" s="288">
        <v>125.9</v>
      </c>
      <c r="BE66" s="288">
        <v>127.77</v>
      </c>
      <c r="BF66" s="288">
        <v>129.08000000000001</v>
      </c>
      <c r="BG66" s="288">
        <v>129.18</v>
      </c>
      <c r="BH66" s="288">
        <v>129.66999999999999</v>
      </c>
      <c r="BI66" s="288">
        <v>129.34</v>
      </c>
      <c r="BJ66" s="288">
        <v>130.08000000000001</v>
      </c>
      <c r="BK66" s="288">
        <v>131.09</v>
      </c>
      <c r="BL66" s="288">
        <v>130.41999999999999</v>
      </c>
      <c r="BM66" s="288">
        <v>129.71</v>
      </c>
      <c r="BN66" s="288">
        <v>130.26</v>
      </c>
      <c r="BO66" s="264">
        <v>130.86000000000001</v>
      </c>
      <c r="BP66" s="220">
        <v>131.17495924694961</v>
      </c>
      <c r="BQ66" s="220">
        <v>132.15776404422019</v>
      </c>
      <c r="BR66" s="220">
        <v>133.56187519223616</v>
      </c>
      <c r="BS66" s="220">
        <v>134.85855599811654</v>
      </c>
      <c r="BT66" s="220">
        <v>135.2508311991173</v>
      </c>
      <c r="BU66" s="220">
        <v>136.04445170088039</v>
      </c>
      <c r="BV66" s="220"/>
      <c r="BW66" s="220"/>
      <c r="BX66" s="220"/>
      <c r="BY66" s="220"/>
      <c r="BZ66" s="220"/>
      <c r="CA66" s="220"/>
      <c r="CB66" s="220"/>
      <c r="CC66" s="220"/>
      <c r="CD66" s="220"/>
      <c r="CE66" s="220"/>
      <c r="CF66" s="220"/>
      <c r="CG66" s="220"/>
      <c r="CH66" s="220"/>
      <c r="CI66" s="220"/>
      <c r="CJ66" s="220"/>
      <c r="CK66" s="220"/>
      <c r="CL66" s="220"/>
      <c r="CM66" s="220"/>
      <c r="CN66" s="220"/>
      <c r="CO66" s="220"/>
      <c r="CP66" s="220"/>
      <c r="CQ66" s="220"/>
      <c r="CR66" s="220"/>
      <c r="CS66" s="220"/>
      <c r="CT66" s="220"/>
      <c r="CU66" s="220"/>
      <c r="CV66" s="220"/>
      <c r="CW66" s="220"/>
      <c r="CX66" s="263"/>
      <c r="CY66" s="191">
        <v>107.29</v>
      </c>
      <c r="CZ66" s="191">
        <v>108.13</v>
      </c>
      <c r="DA66" s="191">
        <v>108.98</v>
      </c>
      <c r="DB66" s="191">
        <v>109.5</v>
      </c>
      <c r="DC66" s="191">
        <v>110.61</v>
      </c>
      <c r="DD66" s="191">
        <v>109.58</v>
      </c>
      <c r="DE66" s="191">
        <v>111.81</v>
      </c>
      <c r="DF66" s="280">
        <v>112.3</v>
      </c>
      <c r="DG66" s="280">
        <v>112.29</v>
      </c>
      <c r="DH66" s="280">
        <v>112.2</v>
      </c>
      <c r="DI66" s="280">
        <v>119.06</v>
      </c>
      <c r="DJ66" s="280">
        <v>127.77</v>
      </c>
      <c r="DK66" s="280">
        <v>129.34</v>
      </c>
      <c r="DL66" s="192">
        <v>129.71</v>
      </c>
      <c r="DM66" s="220">
        <v>132.15776404422019</v>
      </c>
      <c r="DN66" s="220">
        <v>136.04445170088039</v>
      </c>
      <c r="DO66" s="220">
        <v>140.04544471863446</v>
      </c>
      <c r="DP66" s="220">
        <v>144.16410475571919</v>
      </c>
      <c r="DQ66" s="220">
        <v>148.40389233490401</v>
      </c>
      <c r="DR66" s="220">
        <v>152.76836975104283</v>
      </c>
      <c r="DS66" s="220">
        <v>157.26120406413551</v>
      </c>
      <c r="DT66" s="220">
        <v>161.88617018041361</v>
      </c>
      <c r="DU66" s="220">
        <v>166.64715402403914</v>
      </c>
      <c r="DV66" s="220">
        <v>171.54815580208117</v>
      </c>
      <c r="DW66" s="220">
        <v>176.59329336551386</v>
      </c>
      <c r="DX66" s="220">
        <v>181.78680566905933</v>
      </c>
      <c r="DY66" s="220">
        <v>187.13305633278279</v>
      </c>
      <c r="DZ66" s="220">
        <v>192.63653730843217</v>
      </c>
      <c r="EA66" s="220">
        <v>198.30187265360283</v>
      </c>
      <c r="EB66" s="220">
        <v>204.1338224168984</v>
      </c>
    </row>
    <row r="67" spans="1:132" s="593" customFormat="1" ht="11.25" x14ac:dyDescent="0.25">
      <c r="A67" s="209" t="s">
        <v>247</v>
      </c>
      <c r="B67" s="263"/>
      <c r="C67" s="263">
        <v>180.95</v>
      </c>
      <c r="D67" s="263">
        <v>182.78</v>
      </c>
      <c r="E67" s="263">
        <v>182.44</v>
      </c>
      <c r="F67" s="263">
        <v>55.35</v>
      </c>
      <c r="G67" s="263">
        <v>55.52</v>
      </c>
      <c r="H67" s="263">
        <v>55.91</v>
      </c>
      <c r="I67" s="263">
        <v>56.69</v>
      </c>
      <c r="J67" s="263">
        <v>58.05</v>
      </c>
      <c r="K67" s="263">
        <v>59.09</v>
      </c>
      <c r="L67" s="263">
        <v>59.97</v>
      </c>
      <c r="M67" s="263">
        <v>60.2</v>
      </c>
      <c r="N67" s="263">
        <v>60.76</v>
      </c>
      <c r="O67" s="263">
        <v>61.14</v>
      </c>
      <c r="P67" s="263">
        <v>61.93</v>
      </c>
      <c r="Q67" s="263">
        <v>62.28</v>
      </c>
      <c r="R67" s="263">
        <v>63.39</v>
      </c>
      <c r="S67" s="263">
        <v>64.069999999999993</v>
      </c>
      <c r="T67" s="263">
        <v>64.540000000000006</v>
      </c>
      <c r="U67" s="263">
        <v>65.010000000000005</v>
      </c>
      <c r="V67" s="263">
        <v>65.45</v>
      </c>
      <c r="W67" s="263">
        <v>66.08</v>
      </c>
      <c r="X67" s="263">
        <v>66.77</v>
      </c>
      <c r="Y67" s="263">
        <v>66.930000000000007</v>
      </c>
      <c r="Z67" s="263">
        <v>67.040000000000006</v>
      </c>
      <c r="AA67" s="263">
        <v>67.650000000000006</v>
      </c>
      <c r="AB67" s="263">
        <v>68.02</v>
      </c>
      <c r="AC67" s="263">
        <v>68.98</v>
      </c>
      <c r="AD67" s="263">
        <v>69.900000000000006</v>
      </c>
      <c r="AE67" s="263">
        <v>70.650000000000006</v>
      </c>
      <c r="AF67" s="263">
        <v>71.12</v>
      </c>
      <c r="AG67" s="263">
        <v>71.900000000000006</v>
      </c>
      <c r="AH67" s="263">
        <v>72.69</v>
      </c>
      <c r="AI67" s="263">
        <v>73.73</v>
      </c>
      <c r="AJ67" s="263">
        <v>74.22</v>
      </c>
      <c r="AK67" s="263">
        <v>75.98</v>
      </c>
      <c r="AL67" s="263">
        <v>75.7</v>
      </c>
      <c r="AM67" s="263">
        <v>76.53</v>
      </c>
      <c r="AN67" s="263">
        <v>77.599999999999994</v>
      </c>
      <c r="AO67" s="263">
        <v>77.739999999999995</v>
      </c>
      <c r="AP67" s="263">
        <v>78.86</v>
      </c>
      <c r="AQ67" s="263">
        <v>80.2</v>
      </c>
      <c r="AR67" s="288">
        <v>79</v>
      </c>
      <c r="AS67" s="288">
        <v>80.38</v>
      </c>
      <c r="AT67" s="288">
        <v>80.25</v>
      </c>
      <c r="AU67" s="288">
        <v>82.12</v>
      </c>
      <c r="AV67" s="288">
        <v>82.92</v>
      </c>
      <c r="AW67" s="288">
        <v>84.26</v>
      </c>
      <c r="AX67" s="288">
        <v>84.94</v>
      </c>
      <c r="AY67" s="288">
        <v>85.33</v>
      </c>
      <c r="AZ67" s="288">
        <v>85.97</v>
      </c>
      <c r="BA67" s="288">
        <v>86.85</v>
      </c>
      <c r="BB67" s="288">
        <v>88.48</v>
      </c>
      <c r="BC67" s="288">
        <v>91.77</v>
      </c>
      <c r="BD67" s="288">
        <v>93.73</v>
      </c>
      <c r="BE67" s="288">
        <v>94.87</v>
      </c>
      <c r="BF67" s="288">
        <v>96.19</v>
      </c>
      <c r="BG67" s="288">
        <v>96.3</v>
      </c>
      <c r="BH67" s="288">
        <v>98.13</v>
      </c>
      <c r="BI67" s="288">
        <v>98.83</v>
      </c>
      <c r="BJ67" s="288">
        <v>99.3</v>
      </c>
      <c r="BK67" s="288">
        <v>99.78</v>
      </c>
      <c r="BL67" s="288">
        <v>100.2</v>
      </c>
      <c r="BM67" s="288">
        <v>100.51</v>
      </c>
      <c r="BN67" s="288">
        <v>100.86</v>
      </c>
      <c r="BO67" s="264">
        <v>101.56</v>
      </c>
      <c r="BP67" s="220">
        <v>102.42611176657915</v>
      </c>
      <c r="BQ67" s="220">
        <v>103.71997125140788</v>
      </c>
      <c r="BR67" s="220">
        <v>104.63043240944816</v>
      </c>
      <c r="BS67" s="220">
        <v>106.11732728560058</v>
      </c>
      <c r="BT67" s="220">
        <v>107.4291974809052</v>
      </c>
      <c r="BU67" s="220">
        <v>108.4774074682783</v>
      </c>
      <c r="BV67" s="220"/>
      <c r="BW67" s="220"/>
      <c r="BX67" s="220"/>
      <c r="BY67" s="220"/>
      <c r="BZ67" s="220"/>
      <c r="CA67" s="220"/>
      <c r="CB67" s="220"/>
      <c r="CC67" s="220"/>
      <c r="CD67" s="220"/>
      <c r="CE67" s="220"/>
      <c r="CF67" s="220"/>
      <c r="CG67" s="220"/>
      <c r="CH67" s="220"/>
      <c r="CI67" s="220"/>
      <c r="CJ67" s="220"/>
      <c r="CK67" s="220"/>
      <c r="CL67" s="220"/>
      <c r="CM67" s="220"/>
      <c r="CN67" s="220"/>
      <c r="CO67" s="220"/>
      <c r="CP67" s="220"/>
      <c r="CQ67" s="220"/>
      <c r="CR67" s="220"/>
      <c r="CS67" s="220"/>
      <c r="CT67" s="220"/>
      <c r="CU67" s="220"/>
      <c r="CV67" s="220"/>
      <c r="CW67" s="220"/>
      <c r="CX67" s="263"/>
      <c r="CY67" s="191">
        <v>60.2</v>
      </c>
      <c r="CZ67" s="191">
        <v>62.28</v>
      </c>
      <c r="DA67" s="191">
        <v>65.010000000000005</v>
      </c>
      <c r="DB67" s="191">
        <v>66.930000000000007</v>
      </c>
      <c r="DC67" s="191">
        <v>68.98</v>
      </c>
      <c r="DD67" s="191">
        <v>71.900000000000006</v>
      </c>
      <c r="DE67" s="191">
        <v>75.98</v>
      </c>
      <c r="DF67" s="280">
        <v>77.739999999999995</v>
      </c>
      <c r="DG67" s="280">
        <v>80.38</v>
      </c>
      <c r="DH67" s="280">
        <v>84.26</v>
      </c>
      <c r="DI67" s="280">
        <v>86.85</v>
      </c>
      <c r="DJ67" s="280">
        <v>94.87</v>
      </c>
      <c r="DK67" s="280">
        <v>98.83</v>
      </c>
      <c r="DL67" s="192">
        <v>100.51</v>
      </c>
      <c r="DM67" s="220">
        <v>103.71997125140788</v>
      </c>
      <c r="DN67" s="220">
        <v>108.4774074682783</v>
      </c>
      <c r="DO67" s="220">
        <v>113.45305816288638</v>
      </c>
      <c r="DP67" s="220">
        <v>118.65693241493882</v>
      </c>
      <c r="DQ67" s="220">
        <v>124.09949840143791</v>
      </c>
      <c r="DR67" s="220">
        <v>129.79170445459414</v>
      </c>
      <c r="DS67" s="220">
        <v>135.74500108562503</v>
      </c>
      <c r="DT67" s="220">
        <v>141.97136401874337</v>
      </c>
      <c r="DU67" s="220">
        <v>148.48331828167031</v>
      </c>
      <c r="DV67" s="220">
        <v>155.29396340113399</v>
      </c>
      <c r="DW67" s="220">
        <v>162.41699975403768</v>
      </c>
      <c r="DX67" s="220">
        <v>169.86675612730514</v>
      </c>
      <c r="DY67" s="220">
        <v>177.65821854184344</v>
      </c>
      <c r="DZ67" s="220">
        <v>185.80706039860564</v>
      </c>
      <c r="EA67" s="220">
        <v>194.32967400739562</v>
      </c>
      <c r="EB67" s="220">
        <v>203.24320356183867</v>
      </c>
    </row>
    <row r="68" spans="1:132" s="577" customFormat="1" ht="11.25" x14ac:dyDescent="0.25">
      <c r="A68" s="209" t="s">
        <v>248</v>
      </c>
      <c r="B68" s="263"/>
      <c r="C68" s="263">
        <v>210</v>
      </c>
      <c r="D68" s="263">
        <v>211.9</v>
      </c>
      <c r="E68" s="263">
        <v>212.8</v>
      </c>
      <c r="F68" s="263">
        <v>216.5</v>
      </c>
      <c r="G68" s="263">
        <v>218.9</v>
      </c>
      <c r="H68" s="263">
        <v>222.6</v>
      </c>
      <c r="I68" s="263">
        <v>226.6</v>
      </c>
      <c r="J68" s="263">
        <v>230.8</v>
      </c>
      <c r="K68" s="263">
        <v>235.8</v>
      </c>
      <c r="L68" s="263">
        <v>237.8</v>
      </c>
      <c r="M68" s="263">
        <v>239.3</v>
      </c>
      <c r="N68" s="263">
        <v>243.9</v>
      </c>
      <c r="O68" s="263">
        <v>246.9</v>
      </c>
      <c r="P68" s="263">
        <v>250.4</v>
      </c>
      <c r="Q68" s="263">
        <v>252.2</v>
      </c>
      <c r="R68" s="263">
        <v>257.5</v>
      </c>
      <c r="S68" s="263">
        <v>259.89999999999998</v>
      </c>
      <c r="T68" s="263">
        <v>262.8</v>
      </c>
      <c r="U68" s="263">
        <v>264.60000000000002</v>
      </c>
      <c r="V68" s="263">
        <v>272.39999999999998</v>
      </c>
      <c r="W68" s="263">
        <v>276.10000000000002</v>
      </c>
      <c r="X68" s="263">
        <v>278.89999999999998</v>
      </c>
      <c r="Y68" s="263">
        <v>280</v>
      </c>
      <c r="Z68" s="263">
        <v>282.60000000000002</v>
      </c>
      <c r="AA68" s="263">
        <v>286.10000000000002</v>
      </c>
      <c r="AB68" s="263">
        <v>286.60000000000002</v>
      </c>
      <c r="AC68" s="263">
        <v>286.60000000000002</v>
      </c>
      <c r="AD68" s="263">
        <v>289.60000000000002</v>
      </c>
      <c r="AE68" s="263">
        <v>293.10000000000002</v>
      </c>
      <c r="AF68" s="263">
        <v>294.89999999999998</v>
      </c>
      <c r="AG68" s="263">
        <v>296.10000000000002</v>
      </c>
      <c r="AH68" s="263">
        <v>301</v>
      </c>
      <c r="AI68" s="263">
        <v>303.8</v>
      </c>
      <c r="AJ68" s="263">
        <v>305.7</v>
      </c>
      <c r="AK68" s="263">
        <v>310.10000000000002</v>
      </c>
      <c r="AL68" s="263">
        <v>314.10000000000002</v>
      </c>
      <c r="AM68" s="263">
        <v>316.39999999999998</v>
      </c>
      <c r="AN68" s="263">
        <v>319.10000000000002</v>
      </c>
      <c r="AO68" s="263">
        <v>323.2</v>
      </c>
      <c r="AP68" s="263">
        <v>327.10000000000002</v>
      </c>
      <c r="AQ68" s="263">
        <v>331.6</v>
      </c>
      <c r="AR68" s="288">
        <v>333.2</v>
      </c>
      <c r="AS68" s="288">
        <v>336.4</v>
      </c>
      <c r="AT68" s="288">
        <v>339.8</v>
      </c>
      <c r="AU68" s="288">
        <v>340.4</v>
      </c>
      <c r="AV68" s="288">
        <v>344.5</v>
      </c>
      <c r="AW68" s="288">
        <v>349.9</v>
      </c>
      <c r="AX68" s="288">
        <v>353.2</v>
      </c>
      <c r="AY68" s="288">
        <v>356.3</v>
      </c>
      <c r="AZ68" s="288">
        <v>360.4</v>
      </c>
      <c r="BA68" s="288">
        <v>368.5</v>
      </c>
      <c r="BB68" s="288">
        <v>377.8</v>
      </c>
      <c r="BC68" s="288">
        <v>392.7</v>
      </c>
      <c r="BD68" s="288">
        <v>396.6</v>
      </c>
      <c r="BE68" s="288">
        <v>404.6</v>
      </c>
      <c r="BF68" s="288">
        <v>412</v>
      </c>
      <c r="BG68" s="288">
        <v>414.7</v>
      </c>
      <c r="BH68" s="288">
        <v>420.9</v>
      </c>
      <c r="BI68" s="288">
        <v>425.6</v>
      </c>
      <c r="BJ68" s="288">
        <v>431.6</v>
      </c>
      <c r="BK68" s="288">
        <v>434.9</v>
      </c>
      <c r="BL68" s="288">
        <v>439.8</v>
      </c>
      <c r="BM68" s="288">
        <v>442.1</v>
      </c>
      <c r="BN68" s="288">
        <v>451</v>
      </c>
      <c r="BO68" s="264">
        <v>455.2</v>
      </c>
      <c r="BP68" s="220">
        <v>460.04867319599401</v>
      </c>
      <c r="BQ68" s="220">
        <v>467.32588556941943</v>
      </c>
      <c r="BR68" s="220">
        <v>474.5379524733562</v>
      </c>
      <c r="BS68" s="220">
        <v>480.62920368682279</v>
      </c>
      <c r="BT68" s="220">
        <v>486.36797213766505</v>
      </c>
      <c r="BU68" s="220">
        <v>493.63601912713915</v>
      </c>
      <c r="BV68" s="220"/>
      <c r="BW68" s="220"/>
      <c r="BX68" s="220"/>
      <c r="BY68" s="220"/>
      <c r="BZ68" s="220"/>
      <c r="CA68" s="220"/>
      <c r="CB68" s="220"/>
      <c r="CC68" s="220"/>
      <c r="CD68" s="220"/>
      <c r="CE68" s="220"/>
      <c r="CF68" s="220"/>
      <c r="CG68" s="220"/>
      <c r="CH68" s="220"/>
      <c r="CI68" s="220"/>
      <c r="CJ68" s="220"/>
      <c r="CK68" s="220"/>
      <c r="CL68" s="220"/>
      <c r="CM68" s="220"/>
      <c r="CN68" s="220"/>
      <c r="CO68" s="220"/>
      <c r="CP68" s="220"/>
      <c r="CQ68" s="220"/>
      <c r="CR68" s="220"/>
      <c r="CS68" s="220"/>
      <c r="CT68" s="220"/>
      <c r="CU68" s="220"/>
      <c r="CV68" s="220"/>
      <c r="CW68" s="220"/>
      <c r="CX68" s="263"/>
      <c r="CY68" s="191">
        <v>239.3</v>
      </c>
      <c r="CZ68" s="191">
        <v>252.2</v>
      </c>
      <c r="DA68" s="191">
        <v>264.60000000000002</v>
      </c>
      <c r="DB68" s="191">
        <v>280</v>
      </c>
      <c r="DC68" s="191">
        <v>286.60000000000002</v>
      </c>
      <c r="DD68" s="191">
        <v>296.10000000000002</v>
      </c>
      <c r="DE68" s="191">
        <v>310.10000000000002</v>
      </c>
      <c r="DF68" s="280">
        <v>323.2</v>
      </c>
      <c r="DG68" s="280">
        <v>336.4</v>
      </c>
      <c r="DH68" s="280">
        <v>349.9</v>
      </c>
      <c r="DI68" s="280">
        <v>368.5</v>
      </c>
      <c r="DJ68" s="280">
        <v>404.6</v>
      </c>
      <c r="DK68" s="280">
        <v>425.6</v>
      </c>
      <c r="DL68" s="192">
        <v>442.1</v>
      </c>
      <c r="DM68" s="220">
        <v>467.32588556941943</v>
      </c>
      <c r="DN68" s="220">
        <v>493.63601912713915</v>
      </c>
      <c r="DO68" s="220">
        <v>521.42739553743831</v>
      </c>
      <c r="DP68" s="220">
        <v>550.7834077782926</v>
      </c>
      <c r="DQ68" s="220">
        <v>581.79214379634107</v>
      </c>
      <c r="DR68" s="220">
        <v>614.54665083046939</v>
      </c>
      <c r="DS68" s="220">
        <v>649.1452146166331</v>
      </c>
      <c r="DT68" s="220">
        <v>685.69165431172507</v>
      </c>
      <c r="DU68" s="220">
        <v>724.29563402145891</v>
      </c>
      <c r="DV68" s="220">
        <v>765.07299186706257</v>
      </c>
      <c r="DW68" s="220">
        <v>808.14608757820633</v>
      </c>
      <c r="DX68" s="220">
        <v>853.64416965517876</v>
      </c>
      <c r="DY68" s="220">
        <v>901.70376320204684</v>
      </c>
      <c r="DZ68" s="220">
        <v>952.4690795945628</v>
      </c>
      <c r="EA68" s="220">
        <v>1006.0924492120988</v>
      </c>
      <c r="EB68" s="220">
        <v>1062.7347785320987</v>
      </c>
    </row>
    <row r="69" spans="1:132" s="577" customFormat="1" ht="11.25" x14ac:dyDescent="0.25">
      <c r="A69" s="209" t="s">
        <v>249</v>
      </c>
      <c r="B69" s="263"/>
      <c r="C69" s="263">
        <v>108.87</v>
      </c>
      <c r="D69" s="263">
        <v>105.71</v>
      </c>
      <c r="E69" s="263">
        <v>102.18</v>
      </c>
      <c r="F69" s="263">
        <v>100.83</v>
      </c>
      <c r="G69" s="263">
        <v>101.1</v>
      </c>
      <c r="H69" s="263">
        <v>100.27</v>
      </c>
      <c r="I69" s="263">
        <v>97.8</v>
      </c>
      <c r="J69" s="263">
        <v>96.23</v>
      </c>
      <c r="K69" s="263">
        <v>94.3</v>
      </c>
      <c r="L69" s="263">
        <v>95.27</v>
      </c>
      <c r="M69" s="263">
        <v>97.75</v>
      </c>
      <c r="N69" s="263">
        <v>97.36</v>
      </c>
      <c r="O69" s="263">
        <v>98.24</v>
      </c>
      <c r="P69" s="263">
        <v>97.35</v>
      </c>
      <c r="Q69" s="263">
        <v>96.77</v>
      </c>
      <c r="R69" s="263">
        <v>97.3</v>
      </c>
      <c r="S69" s="263">
        <v>97.59</v>
      </c>
      <c r="T69" s="263">
        <v>97.6</v>
      </c>
      <c r="U69" s="263">
        <v>96.49</v>
      </c>
      <c r="V69" s="263">
        <v>96.63</v>
      </c>
      <c r="W69" s="263">
        <v>96.07</v>
      </c>
      <c r="X69" s="263">
        <v>97.32</v>
      </c>
      <c r="Y69" s="263">
        <v>99.36</v>
      </c>
      <c r="Z69" s="263">
        <v>101.74</v>
      </c>
      <c r="AA69" s="263">
        <v>101.44</v>
      </c>
      <c r="AB69" s="263">
        <v>102.34</v>
      </c>
      <c r="AC69" s="263">
        <v>102.8</v>
      </c>
      <c r="AD69" s="263">
        <v>103.77</v>
      </c>
      <c r="AE69" s="263">
        <v>102.01</v>
      </c>
      <c r="AF69" s="263">
        <v>101.49</v>
      </c>
      <c r="AG69" s="263">
        <v>101.77</v>
      </c>
      <c r="AH69" s="263">
        <v>101.46</v>
      </c>
      <c r="AI69" s="263">
        <v>98.92</v>
      </c>
      <c r="AJ69" s="263">
        <v>96.64</v>
      </c>
      <c r="AK69" s="263">
        <v>97.11</v>
      </c>
      <c r="AL69" s="263">
        <v>95.03</v>
      </c>
      <c r="AM69" s="263">
        <v>95.52</v>
      </c>
      <c r="AN69" s="263">
        <v>96.21</v>
      </c>
      <c r="AO69" s="263">
        <v>96.99</v>
      </c>
      <c r="AP69" s="263">
        <v>95.41</v>
      </c>
      <c r="AQ69" s="263">
        <v>96.33</v>
      </c>
      <c r="AR69" s="288">
        <v>96.5</v>
      </c>
      <c r="AS69" s="288">
        <v>95.82</v>
      </c>
      <c r="AT69" s="288">
        <v>95.63</v>
      </c>
      <c r="AU69" s="288">
        <v>98.3</v>
      </c>
      <c r="AV69" s="288">
        <v>96.02</v>
      </c>
      <c r="AW69" s="288">
        <v>93.92</v>
      </c>
      <c r="AX69" s="288">
        <v>93.23</v>
      </c>
      <c r="AY69" s="288">
        <v>92.11</v>
      </c>
      <c r="AZ69" s="288">
        <v>92.76</v>
      </c>
      <c r="BA69" s="288">
        <v>94.03</v>
      </c>
      <c r="BB69" s="288">
        <v>94.53</v>
      </c>
      <c r="BC69" s="288">
        <v>95.67</v>
      </c>
      <c r="BD69" s="288">
        <v>98.54</v>
      </c>
      <c r="BE69" s="288">
        <v>99.87</v>
      </c>
      <c r="BF69" s="288">
        <v>98.08</v>
      </c>
      <c r="BG69" s="288">
        <v>98.42</v>
      </c>
      <c r="BH69" s="288">
        <v>98.9</v>
      </c>
      <c r="BI69" s="288">
        <v>99.51</v>
      </c>
      <c r="BJ69" s="288">
        <v>99.47</v>
      </c>
      <c r="BK69" s="288">
        <v>100.95</v>
      </c>
      <c r="BL69" s="288">
        <v>101.39</v>
      </c>
      <c r="BM69" s="288">
        <v>101.96</v>
      </c>
      <c r="BN69" s="288">
        <v>102.81</v>
      </c>
      <c r="BO69" s="264">
        <v>100.57</v>
      </c>
      <c r="BP69" s="220">
        <v>101.5757</v>
      </c>
      <c r="BQ69" s="220">
        <v>102.59145700000001</v>
      </c>
      <c r="BR69" s="220">
        <v>103.61737157</v>
      </c>
      <c r="BS69" s="220">
        <v>104.65354528570001</v>
      </c>
      <c r="BT69" s="220">
        <v>105.70008073855701</v>
      </c>
      <c r="BU69" s="220">
        <v>106.75708154594258</v>
      </c>
      <c r="BV69" s="220"/>
      <c r="BW69" s="220"/>
      <c r="BX69" s="220"/>
      <c r="BY69" s="220"/>
      <c r="BZ69" s="220"/>
      <c r="CA69" s="220"/>
      <c r="CB69" s="220"/>
      <c r="CC69" s="220"/>
      <c r="CD69" s="220"/>
      <c r="CE69" s="220"/>
      <c r="CF69" s="220"/>
      <c r="CG69" s="220"/>
      <c r="CH69" s="220"/>
      <c r="CI69" s="220"/>
      <c r="CJ69" s="220"/>
      <c r="CK69" s="220"/>
      <c r="CL69" s="220"/>
      <c r="CM69" s="220"/>
      <c r="CN69" s="220"/>
      <c r="CO69" s="220"/>
      <c r="CP69" s="220"/>
      <c r="CQ69" s="220"/>
      <c r="CR69" s="220"/>
      <c r="CS69" s="220"/>
      <c r="CT69" s="220"/>
      <c r="CU69" s="220"/>
      <c r="CV69" s="220"/>
      <c r="CW69" s="220"/>
      <c r="CX69" s="263"/>
      <c r="CY69" s="191">
        <v>97.75</v>
      </c>
      <c r="CZ69" s="191">
        <v>96.77</v>
      </c>
      <c r="DA69" s="191">
        <v>96.49</v>
      </c>
      <c r="DB69" s="191">
        <v>99.36</v>
      </c>
      <c r="DC69" s="191">
        <v>102.8</v>
      </c>
      <c r="DD69" s="191">
        <v>101.77</v>
      </c>
      <c r="DE69" s="191">
        <v>97.11</v>
      </c>
      <c r="DF69" s="280">
        <v>96.99</v>
      </c>
      <c r="DG69" s="280">
        <v>95.82</v>
      </c>
      <c r="DH69" s="280">
        <v>93.92</v>
      </c>
      <c r="DI69" s="280">
        <v>94.03</v>
      </c>
      <c r="DJ69" s="280">
        <v>99.87</v>
      </c>
      <c r="DK69" s="280">
        <v>99.51</v>
      </c>
      <c r="DL69" s="192">
        <v>101.96</v>
      </c>
      <c r="DM69" s="220">
        <v>102.59145700000001</v>
      </c>
      <c r="DN69" s="220">
        <v>106.75708154594258</v>
      </c>
      <c r="DO69" s="220">
        <v>111.09184715260486</v>
      </c>
      <c r="DP69" s="220">
        <v>115.60262162530769</v>
      </c>
      <c r="DQ69" s="220">
        <v>120.29655162980791</v>
      </c>
      <c r="DR69" s="220">
        <v>125.18107401515014</v>
      </c>
      <c r="DS69" s="220">
        <v>130.26392759627205</v>
      </c>
      <c r="DT69" s="220">
        <v>135.55316541503038</v>
      </c>
      <c r="DU69" s="220">
        <v>141.05716749907393</v>
      </c>
      <c r="DV69" s="220">
        <v>146.784654138778</v>
      </c>
      <c r="DW69" s="220">
        <v>152.74469970327547</v>
      </c>
      <c r="DX69" s="220">
        <v>158.94674701747428</v>
      </c>
      <c r="DY69" s="220">
        <v>165.40062232283927</v>
      </c>
      <c r="DZ69" s="220">
        <v>172.11655084564205</v>
      </c>
      <c r="EA69" s="220">
        <v>179.10517299734403</v>
      </c>
      <c r="EB69" s="220">
        <v>186.37756123277993</v>
      </c>
    </row>
    <row r="70" spans="1:132" s="577" customFormat="1" ht="11.25" x14ac:dyDescent="0.25">
      <c r="A70" s="216" t="s">
        <v>250</v>
      </c>
      <c r="B70" s="263">
        <v>20959.77</v>
      </c>
      <c r="C70" s="263">
        <v>20933.02</v>
      </c>
      <c r="D70" s="263">
        <v>20834.45</v>
      </c>
      <c r="E70" s="263">
        <v>20942.88</v>
      </c>
      <c r="F70" s="263">
        <v>20998.52</v>
      </c>
      <c r="G70" s="263">
        <v>21202.16</v>
      </c>
      <c r="H70" s="263">
        <v>21339.99</v>
      </c>
      <c r="I70" s="263">
        <v>21455.55</v>
      </c>
      <c r="J70" s="263">
        <v>21578.26</v>
      </c>
      <c r="K70" s="263">
        <v>21889.88</v>
      </c>
      <c r="L70" s="263">
        <v>22012.69</v>
      </c>
      <c r="M70" s="263">
        <v>22294.03</v>
      </c>
      <c r="N70" s="263">
        <v>22533.51</v>
      </c>
      <c r="O70" s="263">
        <v>22627.360000000001</v>
      </c>
      <c r="P70" s="263">
        <v>22591.05</v>
      </c>
      <c r="Q70" s="263">
        <v>22840.75</v>
      </c>
      <c r="R70" s="263">
        <v>22869.38</v>
      </c>
      <c r="S70" s="263">
        <v>22852.67</v>
      </c>
      <c r="T70" s="263">
        <v>23091.03</v>
      </c>
      <c r="U70" s="263">
        <v>23309.56</v>
      </c>
      <c r="V70" s="263">
        <v>23606.97</v>
      </c>
      <c r="W70" s="263">
        <v>24023.61</v>
      </c>
      <c r="X70" s="263">
        <v>24168.02</v>
      </c>
      <c r="Y70" s="263">
        <v>24627.1</v>
      </c>
      <c r="Z70" s="263">
        <v>24622.78</v>
      </c>
      <c r="AA70" s="263">
        <v>24982.959999999999</v>
      </c>
      <c r="AB70" s="263">
        <v>25346.89</v>
      </c>
      <c r="AC70" s="263">
        <v>25629.09</v>
      </c>
      <c r="AD70" s="263">
        <v>25812.05</v>
      </c>
      <c r="AE70" s="263">
        <v>26052.07</v>
      </c>
      <c r="AF70" s="263">
        <v>26224.3</v>
      </c>
      <c r="AG70" s="263">
        <v>26347.98</v>
      </c>
      <c r="AH70" s="263">
        <v>26471.94</v>
      </c>
      <c r="AI70" s="263">
        <v>26665.09</v>
      </c>
      <c r="AJ70" s="263">
        <v>26656.79</v>
      </c>
      <c r="AK70" s="263">
        <v>26798.14</v>
      </c>
      <c r="AL70" s="263">
        <v>26966.89</v>
      </c>
      <c r="AM70" s="263">
        <v>27158.77</v>
      </c>
      <c r="AN70" s="263">
        <v>27357.45</v>
      </c>
      <c r="AO70" s="263">
        <v>27565.79</v>
      </c>
      <c r="AP70" s="263">
        <v>27565.759999999998</v>
      </c>
      <c r="AQ70" s="263">
        <v>27903.3</v>
      </c>
      <c r="AR70" s="263">
        <v>28048.53</v>
      </c>
      <c r="AS70" s="288">
        <v>28309.94</v>
      </c>
      <c r="AT70" s="288">
        <v>28597.46</v>
      </c>
      <c r="AU70" s="288">
        <v>28696.42</v>
      </c>
      <c r="AV70" s="288">
        <v>28707.85</v>
      </c>
      <c r="AW70" s="288">
        <v>29070.33</v>
      </c>
      <c r="AX70" s="288">
        <v>29394.77</v>
      </c>
      <c r="AY70" s="288">
        <v>29709.83</v>
      </c>
      <c r="AZ70" s="288">
        <v>30088.37</v>
      </c>
      <c r="BA70" s="288">
        <v>30991.74</v>
      </c>
      <c r="BB70" s="288">
        <v>31727.74</v>
      </c>
      <c r="BC70" s="288">
        <v>33086.83</v>
      </c>
      <c r="BD70" s="288">
        <v>34258.230000000003</v>
      </c>
      <c r="BE70" s="288">
        <v>35110.980000000003</v>
      </c>
      <c r="BF70" s="288">
        <v>35575.480000000003</v>
      </c>
      <c r="BG70" s="288">
        <v>36089.480000000003</v>
      </c>
      <c r="BH70" s="288">
        <v>36197.53</v>
      </c>
      <c r="BI70" s="288">
        <v>36789.360000000001</v>
      </c>
      <c r="BJ70" s="288">
        <v>37093.519999999997</v>
      </c>
      <c r="BK70" s="288">
        <v>37571.86</v>
      </c>
      <c r="BL70" s="288">
        <v>37910.42</v>
      </c>
      <c r="BM70" s="288">
        <v>38416.69</v>
      </c>
      <c r="BN70" s="288">
        <v>38894.11</v>
      </c>
      <c r="BO70" s="264">
        <v>39267.07</v>
      </c>
      <c r="BP70" s="594">
        <v>39556.447204067772</v>
      </c>
      <c r="BQ70" s="594">
        <v>40021.879210133484</v>
      </c>
      <c r="BR70" s="594">
        <v>40387.621907998771</v>
      </c>
      <c r="BS70" s="594">
        <v>40454.396153836598</v>
      </c>
      <c r="BT70" s="594">
        <v>40705.221583544277</v>
      </c>
      <c r="BU70" s="594">
        <v>41229.508186949912</v>
      </c>
      <c r="BV70" s="594"/>
      <c r="BW70" s="594"/>
      <c r="BX70" s="594"/>
      <c r="BY70" s="594"/>
      <c r="BZ70" s="594"/>
      <c r="CA70" s="594"/>
      <c r="CB70" s="594"/>
      <c r="CC70" s="594"/>
      <c r="CD70" s="594"/>
      <c r="CE70" s="594"/>
      <c r="CF70" s="594"/>
      <c r="CG70" s="594"/>
      <c r="CH70" s="594"/>
      <c r="CI70" s="594"/>
      <c r="CJ70" s="594"/>
      <c r="CK70" s="594"/>
      <c r="CL70" s="594"/>
      <c r="CM70" s="594"/>
      <c r="CN70" s="594"/>
      <c r="CO70" s="594"/>
      <c r="CP70" s="594"/>
      <c r="CQ70" s="594"/>
      <c r="CR70" s="594"/>
      <c r="CS70" s="594"/>
      <c r="CT70" s="594"/>
      <c r="CU70" s="594"/>
      <c r="CV70" s="220"/>
      <c r="CW70" s="220"/>
      <c r="CX70" s="263"/>
      <c r="CY70" s="191">
        <v>22294.03</v>
      </c>
      <c r="CZ70" s="191">
        <v>22840.75</v>
      </c>
      <c r="DA70" s="191">
        <v>23309.56</v>
      </c>
      <c r="DB70" s="191">
        <v>24627.1</v>
      </c>
      <c r="DC70" s="191">
        <v>25629.09</v>
      </c>
      <c r="DD70" s="191">
        <v>26347.98</v>
      </c>
      <c r="DE70" s="191">
        <v>26798.14</v>
      </c>
      <c r="DF70" s="280">
        <v>27565.79</v>
      </c>
      <c r="DG70" s="280">
        <v>28309.94</v>
      </c>
      <c r="DH70" s="280">
        <v>29070.33</v>
      </c>
      <c r="DI70" s="280">
        <v>30991.74</v>
      </c>
      <c r="DJ70" s="280">
        <v>35110.980000000003</v>
      </c>
      <c r="DK70" s="280">
        <v>36789.360000000001</v>
      </c>
      <c r="DL70" s="192">
        <v>38416.69</v>
      </c>
      <c r="DM70" s="220">
        <v>40021.879210133484</v>
      </c>
      <c r="DN70" s="220">
        <v>41229.508186949912</v>
      </c>
      <c r="DO70" s="220">
        <v>42487.008186651881</v>
      </c>
      <c r="DP70" s="220">
        <v>43761.618432251438</v>
      </c>
      <c r="DQ70" s="220">
        <v>45074.466985218984</v>
      </c>
      <c r="DR70" s="220">
        <v>46426.700994775558</v>
      </c>
      <c r="DS70" s="220">
        <v>47819.502024618829</v>
      </c>
      <c r="DT70" s="220">
        <v>49254.087085357394</v>
      </c>
      <c r="DU70" s="220">
        <v>50731.709697918115</v>
      </c>
      <c r="DV70" s="220">
        <v>52253.660988855663</v>
      </c>
      <c r="DW70" s="220">
        <v>53821.270818521334</v>
      </c>
      <c r="DX70" s="220">
        <v>55435.908943076975</v>
      </c>
      <c r="DY70" s="220">
        <v>57098.986211369287</v>
      </c>
      <c r="DZ70" s="220">
        <v>58811.955797710369</v>
      </c>
      <c r="EA70" s="220">
        <v>60576.314471641679</v>
      </c>
      <c r="EB70" s="220">
        <v>62393.603905790929</v>
      </c>
    </row>
    <row r="71" spans="1:132" s="577" customFormat="1" ht="11.25" x14ac:dyDescent="0.25">
      <c r="A71" s="202"/>
      <c r="B71" s="263"/>
      <c r="C71" s="263"/>
      <c r="D71" s="263"/>
      <c r="E71" s="263"/>
      <c r="F71" s="263"/>
      <c r="G71" s="263"/>
      <c r="H71" s="263"/>
      <c r="I71" s="263"/>
      <c r="J71" s="263"/>
      <c r="K71" s="263"/>
      <c r="L71" s="263"/>
      <c r="M71" s="263"/>
      <c r="N71" s="263"/>
      <c r="O71" s="263"/>
      <c r="P71" s="263"/>
      <c r="Q71" s="263"/>
      <c r="R71" s="263"/>
      <c r="S71" s="263"/>
      <c r="T71" s="263"/>
      <c r="U71" s="263"/>
      <c r="V71" s="263"/>
      <c r="W71" s="263"/>
      <c r="X71" s="263"/>
      <c r="Y71" s="263"/>
      <c r="Z71" s="263"/>
      <c r="AA71" s="263"/>
      <c r="AB71" s="263"/>
      <c r="AC71" s="263"/>
      <c r="AD71" s="263"/>
      <c r="AE71" s="263"/>
      <c r="AF71" s="263"/>
      <c r="AG71" s="263"/>
      <c r="AH71" s="263"/>
      <c r="AI71" s="263"/>
      <c r="AJ71" s="263"/>
      <c r="AK71" s="263"/>
      <c r="AL71" s="263"/>
      <c r="AM71" s="263"/>
      <c r="AN71" s="263"/>
      <c r="AO71" s="263"/>
      <c r="AP71" s="263"/>
      <c r="AQ71" s="263"/>
      <c r="AR71" s="263"/>
      <c r="AS71" s="288"/>
      <c r="AT71" s="263"/>
      <c r="AU71" s="290"/>
      <c r="AV71" s="290"/>
      <c r="AW71" s="290"/>
      <c r="AX71" s="290"/>
      <c r="AY71" s="290"/>
      <c r="AZ71" s="290"/>
      <c r="BA71" s="290"/>
      <c r="BB71" s="290"/>
      <c r="BC71" s="290"/>
      <c r="BD71" s="290"/>
      <c r="BE71" s="290"/>
      <c r="BF71" s="290"/>
      <c r="BG71" s="290"/>
      <c r="BH71" s="290"/>
      <c r="BI71" s="290"/>
      <c r="BJ71" s="290"/>
      <c r="BK71" s="290"/>
      <c r="BL71" s="290"/>
      <c r="BM71" s="290"/>
      <c r="BN71" s="290"/>
      <c r="BO71" s="270"/>
      <c r="BP71" s="220"/>
      <c r="BQ71" s="220"/>
      <c r="BR71" s="220"/>
      <c r="BS71" s="220"/>
      <c r="BT71" s="220"/>
      <c r="BU71" s="220"/>
      <c r="BV71" s="220"/>
      <c r="BW71" s="220"/>
      <c r="BX71" s="220"/>
      <c r="BY71" s="220"/>
      <c r="BZ71" s="220"/>
      <c r="CA71" s="220"/>
      <c r="CB71" s="220"/>
      <c r="CC71" s="220"/>
      <c r="CD71" s="220"/>
      <c r="CE71" s="220"/>
      <c r="CF71" s="220"/>
      <c r="CG71" s="220"/>
      <c r="CH71" s="220"/>
      <c r="CI71" s="220"/>
      <c r="CJ71" s="220"/>
      <c r="CK71" s="220"/>
      <c r="CL71" s="220"/>
      <c r="CM71" s="220"/>
      <c r="CN71" s="220"/>
      <c r="CO71" s="220"/>
      <c r="CP71" s="220"/>
      <c r="CQ71" s="220"/>
      <c r="CR71" s="220"/>
      <c r="CS71" s="220"/>
      <c r="CT71" s="220"/>
      <c r="CU71" s="220"/>
      <c r="CV71" s="220"/>
      <c r="CW71" s="220"/>
      <c r="CX71" s="263"/>
      <c r="CY71" s="191"/>
      <c r="CZ71" s="191"/>
      <c r="DA71" s="191"/>
      <c r="DB71" s="191"/>
      <c r="DC71" s="191"/>
      <c r="DD71" s="191"/>
      <c r="DE71" s="191"/>
      <c r="DF71" s="280"/>
      <c r="DG71" s="280"/>
      <c r="DH71" s="280"/>
      <c r="DI71" s="280"/>
      <c r="DJ71" s="280"/>
      <c r="DK71" s="280"/>
      <c r="DL71" s="192"/>
      <c r="DM71" s="220"/>
      <c r="DN71" s="220"/>
      <c r="DO71" s="220"/>
      <c r="DP71" s="220"/>
      <c r="DQ71" s="220"/>
      <c r="DR71" s="220"/>
      <c r="DS71" s="220"/>
      <c r="DT71" s="220"/>
      <c r="DU71" s="220"/>
      <c r="DV71" s="220"/>
      <c r="DW71" s="220"/>
      <c r="DX71" s="220"/>
      <c r="DY71" s="220"/>
      <c r="DZ71" s="220"/>
      <c r="EA71" s="220"/>
      <c r="EB71" s="220"/>
    </row>
    <row r="72" spans="1:132" x14ac:dyDescent="0.25">
      <c r="A72" s="234"/>
      <c r="B72" s="267"/>
      <c r="C72" s="267"/>
      <c r="D72" s="267"/>
      <c r="E72" s="267"/>
      <c r="F72" s="267"/>
      <c r="G72" s="267"/>
      <c r="H72" s="267"/>
      <c r="I72" s="267"/>
      <c r="J72" s="267"/>
      <c r="K72" s="267"/>
      <c r="L72" s="267"/>
      <c r="M72" s="267"/>
      <c r="N72" s="267"/>
      <c r="O72" s="267"/>
      <c r="P72" s="267"/>
      <c r="Q72" s="267"/>
      <c r="R72" s="267"/>
      <c r="S72" s="267"/>
      <c r="T72" s="267"/>
      <c r="U72" s="267"/>
      <c r="V72" s="267"/>
      <c r="W72" s="267"/>
      <c r="X72" s="267"/>
      <c r="Y72" s="267"/>
      <c r="Z72" s="267"/>
      <c r="AA72" s="267"/>
      <c r="AB72" s="267"/>
      <c r="AC72" s="267"/>
      <c r="AD72" s="267"/>
      <c r="AE72" s="267"/>
      <c r="AF72" s="267"/>
      <c r="AG72" s="267"/>
      <c r="AH72" s="267"/>
      <c r="AI72" s="267"/>
      <c r="AJ72" s="267"/>
      <c r="AK72" s="267"/>
      <c r="AL72" s="267"/>
      <c r="AM72" s="267"/>
      <c r="AN72" s="267"/>
      <c r="AO72" s="267"/>
      <c r="AP72" s="267"/>
      <c r="AQ72" s="267"/>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05"/>
      <c r="BP72" s="271"/>
      <c r="BQ72" s="271"/>
      <c r="BR72" s="271"/>
      <c r="BS72" s="271"/>
      <c r="BT72" s="271"/>
      <c r="BU72" s="271"/>
      <c r="BV72" s="271"/>
      <c r="BW72" s="271"/>
      <c r="BX72" s="271"/>
      <c r="BY72" s="271"/>
      <c r="BZ72" s="271"/>
      <c r="CA72" s="271"/>
      <c r="CB72" s="271"/>
      <c r="CC72" s="271"/>
      <c r="CD72" s="271"/>
      <c r="CE72" s="271"/>
      <c r="CF72" s="271"/>
      <c r="CG72" s="271"/>
      <c r="CH72" s="271"/>
      <c r="CI72" s="271"/>
      <c r="CJ72" s="271"/>
      <c r="CK72" s="271"/>
      <c r="CL72" s="271"/>
      <c r="CM72" s="271"/>
      <c r="CN72" s="271"/>
      <c r="CO72" s="271"/>
      <c r="CP72" s="271"/>
      <c r="CQ72" s="271"/>
      <c r="CR72" s="271"/>
      <c r="CS72" s="271"/>
      <c r="CT72" s="271"/>
      <c r="CU72" s="271"/>
      <c r="CV72" s="232"/>
      <c r="CW72" s="232"/>
      <c r="CX72" s="267"/>
      <c r="CY72" s="243"/>
      <c r="CZ72" s="243"/>
      <c r="DA72" s="243"/>
      <c r="DB72" s="243"/>
      <c r="DC72" s="243"/>
      <c r="DD72" s="243"/>
      <c r="DE72" s="243"/>
      <c r="DF72" s="286"/>
      <c r="DG72" s="286"/>
      <c r="DH72" s="286"/>
      <c r="DI72" s="286"/>
      <c r="DJ72" s="286"/>
      <c r="DK72" s="286"/>
      <c r="DL72" s="244"/>
      <c r="DM72" s="232"/>
      <c r="DN72" s="232"/>
      <c r="DO72" s="232"/>
      <c r="DP72" s="232"/>
      <c r="DQ72" s="232"/>
      <c r="DR72" s="232"/>
      <c r="DS72" s="232"/>
      <c r="DT72" s="232"/>
      <c r="DU72" s="232"/>
      <c r="DV72" s="232"/>
      <c r="DW72" s="232"/>
      <c r="DX72" s="232"/>
      <c r="DY72" s="232"/>
      <c r="DZ72" s="232"/>
      <c r="EA72" s="232"/>
      <c r="EB72" s="232"/>
    </row>
    <row r="73" spans="1:132" x14ac:dyDescent="0.25">
      <c r="A73" s="234"/>
      <c r="B73" s="267"/>
      <c r="C73" s="267"/>
      <c r="D73" s="267"/>
      <c r="E73" s="267"/>
      <c r="F73" s="267"/>
      <c r="G73" s="267"/>
      <c r="H73" s="267"/>
      <c r="I73" s="267"/>
      <c r="J73" s="267"/>
      <c r="K73" s="267"/>
      <c r="L73" s="267"/>
      <c r="M73" s="267"/>
      <c r="N73" s="267"/>
      <c r="O73" s="267"/>
      <c r="P73" s="267"/>
      <c r="Q73" s="267"/>
      <c r="R73" s="267"/>
      <c r="S73" s="267"/>
      <c r="T73" s="267"/>
      <c r="U73" s="267"/>
      <c r="V73" s="267"/>
      <c r="W73" s="267"/>
      <c r="X73" s="267"/>
      <c r="Y73" s="267"/>
      <c r="Z73" s="267"/>
      <c r="AA73" s="267"/>
      <c r="AB73" s="267"/>
      <c r="AC73" s="267"/>
      <c r="AD73" s="267"/>
      <c r="AE73" s="267"/>
      <c r="AF73" s="267"/>
      <c r="AG73" s="267"/>
      <c r="AH73" s="267"/>
      <c r="AI73" s="267"/>
      <c r="AJ73" s="267"/>
      <c r="AK73" s="267"/>
      <c r="AL73" s="267"/>
      <c r="AM73" s="267"/>
      <c r="AN73" s="267"/>
      <c r="AO73" s="267"/>
      <c r="AP73" s="267"/>
      <c r="AQ73" s="267"/>
      <c r="AR73" s="282"/>
      <c r="AS73" s="282"/>
      <c r="AT73" s="282"/>
      <c r="AU73" s="282"/>
      <c r="AV73" s="282"/>
      <c r="AW73" s="282"/>
      <c r="AX73" s="282"/>
      <c r="AY73" s="282"/>
      <c r="AZ73" s="282"/>
      <c r="BA73" s="282"/>
      <c r="BB73" s="282"/>
      <c r="BC73" s="282"/>
      <c r="BD73" s="284"/>
      <c r="BE73" s="284"/>
      <c r="BF73" s="284"/>
      <c r="BG73" s="284"/>
      <c r="BH73" s="284"/>
      <c r="BI73" s="284"/>
      <c r="BJ73" s="284"/>
      <c r="BK73" s="284"/>
      <c r="BL73" s="284"/>
      <c r="BM73" s="284"/>
      <c r="BN73" s="284"/>
      <c r="BO73" s="218"/>
      <c r="BP73" s="271"/>
      <c r="BQ73" s="271"/>
      <c r="BR73" s="271"/>
      <c r="BS73" s="271"/>
      <c r="BT73" s="271"/>
      <c r="BU73" s="271"/>
      <c r="BV73" s="271"/>
      <c r="BW73" s="271"/>
      <c r="BX73" s="271"/>
      <c r="BY73" s="271"/>
      <c r="BZ73" s="271"/>
      <c r="CA73" s="271"/>
      <c r="CB73" s="271"/>
      <c r="CC73" s="271"/>
      <c r="CD73" s="271"/>
      <c r="CE73" s="271"/>
      <c r="CF73" s="271"/>
      <c r="CG73" s="271"/>
      <c r="CH73" s="271"/>
      <c r="CI73" s="271"/>
      <c r="CJ73" s="271"/>
      <c r="CK73" s="271"/>
      <c r="CL73" s="271"/>
      <c r="CM73" s="271"/>
      <c r="CN73" s="271"/>
      <c r="CO73" s="271"/>
      <c r="CP73" s="271"/>
      <c r="CQ73" s="271"/>
      <c r="CR73" s="271"/>
      <c r="CS73" s="271"/>
      <c r="CT73" s="271"/>
      <c r="CU73" s="271"/>
      <c r="CV73" s="232"/>
      <c r="CW73" s="232"/>
      <c r="CX73" s="267"/>
      <c r="CY73" s="243"/>
      <c r="CZ73" s="243"/>
      <c r="DA73" s="243"/>
      <c r="DB73" s="243"/>
      <c r="DC73" s="243"/>
      <c r="DD73" s="243"/>
      <c r="DE73" s="243"/>
      <c r="DF73" s="286"/>
      <c r="DG73" s="286"/>
      <c r="DH73" s="286"/>
      <c r="DI73" s="286"/>
      <c r="DJ73" s="286"/>
      <c r="DK73" s="286"/>
      <c r="DL73" s="244"/>
      <c r="DM73" s="232"/>
      <c r="DN73" s="232"/>
      <c r="DO73" s="232"/>
      <c r="DP73" s="232"/>
      <c r="DQ73" s="232"/>
      <c r="DR73" s="232"/>
      <c r="DS73" s="232"/>
      <c r="DT73" s="232"/>
      <c r="DU73" s="232"/>
      <c r="DV73" s="232"/>
      <c r="DW73" s="232"/>
      <c r="DX73" s="232"/>
      <c r="DY73" s="232"/>
      <c r="DZ73" s="232"/>
      <c r="EA73" s="232"/>
      <c r="EB73" s="232"/>
    </row>
    <row r="74" spans="1:132" x14ac:dyDescent="0.25">
      <c r="A74" s="234"/>
      <c r="B74" s="204"/>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05"/>
      <c r="BP74" s="271"/>
      <c r="BQ74" s="271"/>
      <c r="BR74" s="271"/>
      <c r="BS74" s="271"/>
      <c r="BT74" s="271"/>
      <c r="BU74" s="271"/>
      <c r="BV74" s="271"/>
      <c r="BW74" s="271"/>
      <c r="BX74" s="271"/>
      <c r="BY74" s="271"/>
      <c r="BZ74" s="271"/>
      <c r="CA74" s="271"/>
      <c r="CB74" s="271"/>
      <c r="CC74" s="271"/>
      <c r="CD74" s="271"/>
      <c r="CE74" s="271"/>
      <c r="CF74" s="271"/>
      <c r="CG74" s="271"/>
      <c r="CH74" s="271"/>
      <c r="CI74" s="271"/>
      <c r="CJ74" s="271"/>
      <c r="CK74" s="271"/>
      <c r="CL74" s="271"/>
      <c r="CM74" s="271"/>
      <c r="CN74" s="271"/>
      <c r="CO74" s="271"/>
      <c r="CP74" s="271"/>
      <c r="CQ74" s="271"/>
      <c r="CR74" s="271"/>
      <c r="CS74" s="271"/>
      <c r="CT74" s="271"/>
      <c r="CU74" s="271"/>
      <c r="CV74" s="271"/>
      <c r="CW74" s="271"/>
      <c r="CX74" s="204"/>
      <c r="CY74" s="191"/>
      <c r="CZ74" s="191"/>
      <c r="DA74" s="191"/>
      <c r="DB74" s="191"/>
      <c r="DC74" s="191"/>
      <c r="DD74" s="191"/>
      <c r="DE74" s="191"/>
      <c r="DF74" s="280"/>
      <c r="DG74" s="280"/>
      <c r="DH74" s="280"/>
      <c r="DI74" s="280"/>
      <c r="DJ74" s="280"/>
      <c r="DK74" s="280"/>
      <c r="DL74" s="192"/>
      <c r="DM74" s="271"/>
      <c r="DN74" s="271"/>
      <c r="DO74" s="271"/>
      <c r="DP74" s="271"/>
      <c r="DQ74" s="271"/>
      <c r="DR74" s="271"/>
      <c r="DS74" s="271"/>
      <c r="DT74" s="271"/>
      <c r="DU74" s="271"/>
      <c r="DV74" s="271"/>
      <c r="DW74" s="271"/>
      <c r="DX74" s="271"/>
      <c r="DY74" s="271"/>
      <c r="DZ74" s="271"/>
      <c r="EA74" s="271"/>
      <c r="EB74" s="271"/>
    </row>
    <row r="75" spans="1:132" x14ac:dyDescent="0.25">
      <c r="A75" s="213" t="s">
        <v>269</v>
      </c>
      <c r="B75" s="272"/>
      <c r="C75" s="272"/>
      <c r="D75" s="272"/>
      <c r="E75" s="272"/>
      <c r="F75" s="272"/>
      <c r="G75" s="272"/>
      <c r="H75" s="272"/>
      <c r="I75" s="272"/>
      <c r="J75" s="272"/>
      <c r="K75" s="272"/>
      <c r="L75" s="272"/>
      <c r="M75" s="272"/>
      <c r="N75" s="272"/>
      <c r="O75" s="272"/>
      <c r="P75" s="272"/>
      <c r="Q75" s="272"/>
      <c r="R75" s="272"/>
      <c r="S75" s="272"/>
      <c r="T75" s="272"/>
      <c r="U75" s="272"/>
      <c r="V75" s="272"/>
      <c r="W75" s="272"/>
      <c r="X75" s="272"/>
      <c r="Y75" s="272"/>
      <c r="Z75" s="272"/>
      <c r="AA75" s="272"/>
      <c r="AB75" s="272"/>
      <c r="AC75" s="272"/>
      <c r="AD75" s="272"/>
      <c r="AE75" s="272"/>
      <c r="AF75" s="272"/>
      <c r="AG75" s="272"/>
      <c r="AH75" s="272"/>
      <c r="AI75" s="272"/>
      <c r="AJ75" s="272"/>
      <c r="AK75" s="272"/>
      <c r="AL75" s="272"/>
      <c r="AM75" s="272"/>
      <c r="AN75" s="272"/>
      <c r="AO75" s="272"/>
      <c r="AP75" s="272"/>
      <c r="AQ75" s="272"/>
      <c r="AR75" s="272"/>
      <c r="AS75" s="272"/>
      <c r="AT75" s="272"/>
      <c r="AU75" s="272"/>
      <c r="AV75" s="272"/>
      <c r="AW75" s="272"/>
      <c r="AX75" s="272"/>
      <c r="AY75" s="272"/>
      <c r="AZ75" s="272"/>
      <c r="BA75" s="272"/>
      <c r="BB75" s="272"/>
      <c r="BC75" s="272"/>
      <c r="BD75" s="272"/>
      <c r="BE75" s="272"/>
      <c r="BF75" s="272"/>
      <c r="BG75" s="272"/>
      <c r="BH75" s="272"/>
      <c r="BI75" s="272"/>
      <c r="BJ75" s="272"/>
      <c r="BK75" s="272"/>
      <c r="BL75" s="272"/>
      <c r="BM75" s="272"/>
      <c r="BN75" s="272"/>
      <c r="BO75" s="273"/>
      <c r="BP75" s="272"/>
      <c r="BQ75" s="272"/>
      <c r="BR75" s="272"/>
      <c r="BS75" s="272"/>
      <c r="BT75" s="272"/>
      <c r="BU75" s="272"/>
      <c r="BV75" s="272"/>
      <c r="BW75" s="272"/>
      <c r="BX75" s="272"/>
      <c r="BY75" s="272"/>
      <c r="BZ75" s="272"/>
      <c r="CA75" s="272"/>
      <c r="CB75" s="272"/>
      <c r="CC75" s="272"/>
      <c r="CD75" s="272"/>
      <c r="CE75" s="272"/>
      <c r="CF75" s="272"/>
      <c r="CG75" s="272"/>
      <c r="CH75" s="272"/>
      <c r="CI75" s="272"/>
      <c r="CJ75" s="272"/>
      <c r="CK75" s="272"/>
      <c r="CL75" s="272"/>
      <c r="CM75" s="272"/>
      <c r="CN75" s="272"/>
      <c r="CO75" s="272"/>
      <c r="CP75" s="272"/>
      <c r="CQ75" s="272"/>
      <c r="CR75" s="272"/>
      <c r="CS75" s="272"/>
      <c r="CT75" s="272"/>
      <c r="CU75" s="272"/>
      <c r="CV75" s="272"/>
      <c r="CW75" s="272"/>
      <c r="CX75" s="272"/>
      <c r="CY75" s="274"/>
      <c r="CZ75" s="274"/>
      <c r="DA75" s="274"/>
      <c r="DB75" s="274"/>
      <c r="DC75" s="274"/>
      <c r="DD75" s="274"/>
      <c r="DE75" s="274"/>
      <c r="DF75" s="595"/>
      <c r="DG75" s="272"/>
      <c r="DH75" s="272"/>
      <c r="DI75" s="272"/>
      <c r="DJ75" s="272"/>
      <c r="DK75" s="272"/>
      <c r="DL75" s="273"/>
      <c r="DM75" s="272"/>
      <c r="DN75" s="272"/>
      <c r="DO75" s="272"/>
      <c r="DP75" s="272"/>
      <c r="DQ75" s="272"/>
      <c r="DR75" s="272"/>
      <c r="DS75" s="272"/>
      <c r="DT75" s="272"/>
      <c r="DU75" s="272"/>
      <c r="DV75" s="272"/>
      <c r="DW75" s="272"/>
      <c r="DX75" s="272"/>
      <c r="DY75" s="272"/>
      <c r="DZ75" s="272"/>
      <c r="EA75" s="272"/>
      <c r="EB75" s="272"/>
    </row>
    <row r="76" spans="1:132" x14ac:dyDescent="0.25">
      <c r="A76" s="216" t="s">
        <v>234</v>
      </c>
      <c r="B76" s="197"/>
      <c r="C76" s="197"/>
      <c r="D76" s="197"/>
      <c r="E76" s="197"/>
      <c r="F76" s="203"/>
      <c r="G76" s="203">
        <v>1.1215605940686268E-2</v>
      </c>
      <c r="H76" s="203">
        <v>1.1183122472331775E-2</v>
      </c>
      <c r="I76" s="203">
        <v>1.4377930222179369E-2</v>
      </c>
      <c r="J76" s="203">
        <v>2.6192415103541089E-2</v>
      </c>
      <c r="K76" s="203">
        <v>3.5023181506360412E-2</v>
      </c>
      <c r="L76" s="203">
        <v>3.8126216928186851E-2</v>
      </c>
      <c r="M76" s="203">
        <v>3.0620668384193861E-2</v>
      </c>
      <c r="N76" s="203">
        <v>2.5828752813320977E-2</v>
      </c>
      <c r="O76" s="203">
        <v>1.6538704482976341E-2</v>
      </c>
      <c r="P76" s="203">
        <v>1.9497168982819613E-2</v>
      </c>
      <c r="Q76" s="203">
        <v>1.7595049796895523E-2</v>
      </c>
      <c r="R76" s="203">
        <v>1.5187472411246183E-2</v>
      </c>
      <c r="S76" s="203">
        <v>1.7157935271568725E-2</v>
      </c>
      <c r="T76" s="203">
        <v>1.0947341081747997E-2</v>
      </c>
      <c r="U76" s="203">
        <v>1.5128383667573297E-2</v>
      </c>
      <c r="V76" s="203">
        <v>1.6126949139408042E-2</v>
      </c>
      <c r="W76" s="203">
        <v>2.0589816945944195E-2</v>
      </c>
      <c r="X76" s="203">
        <v>1.6840509711232077E-2</v>
      </c>
      <c r="Y76" s="203">
        <v>6.5312139196231911E-3</v>
      </c>
      <c r="Z76" s="203">
        <v>-2.2031284423873476E-4</v>
      </c>
      <c r="AA76" s="203">
        <v>1.7957180975505249E-3</v>
      </c>
      <c r="AB76" s="203">
        <v>8.8429616341700878E-5</v>
      </c>
      <c r="AC76" s="203">
        <v>6.3872475153647912E-3</v>
      </c>
      <c r="AD76" s="203">
        <v>8.9161609655219465E-3</v>
      </c>
      <c r="AE76" s="203">
        <v>1.0792865347959424E-2</v>
      </c>
      <c r="AF76" s="203">
        <v>1.5486446201652182E-2</v>
      </c>
      <c r="AG76" s="203">
        <v>2.0507989115119862E-2</v>
      </c>
      <c r="AH76" s="203">
        <v>2.44119623655914E-2</v>
      </c>
      <c r="AI76" s="203">
        <v>1.6405658099591269E-2</v>
      </c>
      <c r="AJ76" s="203">
        <v>2.1805652303711787E-2</v>
      </c>
      <c r="AK76" s="203">
        <v>2.1299307195522532E-2</v>
      </c>
      <c r="AL76" s="203">
        <v>2.3309497646499366E-2</v>
      </c>
      <c r="AM76" s="203">
        <v>2.8075506935940187E-2</v>
      </c>
      <c r="AN76" s="203">
        <v>2.3320551058088279E-2</v>
      </c>
      <c r="AO76" s="203">
        <v>2.0023809043401064E-2</v>
      </c>
      <c r="AP76" s="203">
        <v>1.8831863513063984E-2</v>
      </c>
      <c r="AQ76" s="203">
        <v>1.671194894390049E-2</v>
      </c>
      <c r="AR76" s="291">
        <v>1.6844977040391562E-2</v>
      </c>
      <c r="AS76" s="291">
        <v>2.3195274699624457E-2</v>
      </c>
      <c r="AT76" s="291">
        <v>1.4940399642909163E-2</v>
      </c>
      <c r="AU76" s="291">
        <v>7.1665628318304808E-3</v>
      </c>
      <c r="AV76" s="291">
        <v>1.3910228912373812E-2</v>
      </c>
      <c r="AW76" s="291">
        <v>1.3204191315779434E-2</v>
      </c>
      <c r="AX76" s="291">
        <v>2.6236457477642139E-2</v>
      </c>
      <c r="AY76" s="291">
        <v>5.317418943207719E-2</v>
      </c>
      <c r="AZ76" s="291">
        <v>5.363523425270289E-2</v>
      </c>
      <c r="BA76" s="291">
        <v>7.1594573451124743E-2</v>
      </c>
      <c r="BB76" s="291">
        <v>8.5407801485385848E-2</v>
      </c>
      <c r="BC76" s="291">
        <v>8.9992981419231066E-2</v>
      </c>
      <c r="BD76" s="291">
        <v>8.2057515824517591E-2</v>
      </c>
      <c r="BE76" s="291">
        <v>6.4108316773858087E-2</v>
      </c>
      <c r="BF76" s="291">
        <v>4.9313486417571273E-2</v>
      </c>
      <c r="BG76" s="291">
        <v>3.0592533347792994E-2</v>
      </c>
      <c r="BH76" s="291">
        <v>3.6950823322234427E-2</v>
      </c>
      <c r="BI76" s="291">
        <v>3.322200208829762E-2</v>
      </c>
      <c r="BJ76" s="291">
        <v>3.4690014354717524E-2</v>
      </c>
      <c r="BK76" s="291">
        <v>2.9700853998204435E-2</v>
      </c>
      <c r="BL76" s="291">
        <v>2.4325414641446441E-2</v>
      </c>
      <c r="BM76" s="291">
        <v>2.872366268806581E-2</v>
      </c>
      <c r="BN76" s="291">
        <v>2.4055852640280317E-2</v>
      </c>
      <c r="BO76" s="222">
        <v>2.6726833178446263E-2</v>
      </c>
      <c r="BP76" s="221">
        <v>3.4000000000000252E-2</v>
      </c>
      <c r="BQ76" s="221">
        <v>3.4699999999999953E-2</v>
      </c>
      <c r="BR76" s="221">
        <v>3.2599999999999962E-2</v>
      </c>
      <c r="BS76" s="221">
        <v>3.0100000000000016E-2</v>
      </c>
      <c r="BT76" s="221">
        <v>2.6000000000000245E-2</v>
      </c>
      <c r="BU76" s="221">
        <v>2.6000000000000023E-2</v>
      </c>
      <c r="BV76" s="221"/>
      <c r="BW76" s="221"/>
      <c r="BX76" s="221"/>
      <c r="BY76" s="221"/>
      <c r="BZ76" s="221"/>
      <c r="CA76" s="221"/>
      <c r="CB76" s="221"/>
      <c r="CC76" s="221"/>
      <c r="CD76" s="221"/>
      <c r="CE76" s="221"/>
      <c r="CF76" s="221"/>
      <c r="CG76" s="221"/>
      <c r="CH76" s="221"/>
      <c r="CI76" s="221"/>
      <c r="CJ76" s="221"/>
      <c r="CK76" s="221"/>
      <c r="CL76" s="221"/>
      <c r="CM76" s="221"/>
      <c r="CN76" s="221"/>
      <c r="CO76" s="221"/>
      <c r="CP76" s="221"/>
      <c r="CQ76" s="221"/>
      <c r="CR76" s="221"/>
      <c r="CS76" s="221"/>
      <c r="CT76" s="221"/>
      <c r="CU76" s="221"/>
      <c r="CV76" s="275"/>
      <c r="CW76" s="275"/>
      <c r="CX76" s="197"/>
      <c r="CY76" s="191"/>
      <c r="CZ76" s="203">
        <v>1.7595049796895523E-2</v>
      </c>
      <c r="DA76" s="203">
        <v>1.5128383667573297E-2</v>
      </c>
      <c r="DB76" s="203">
        <v>6.5312139196231911E-3</v>
      </c>
      <c r="DC76" s="203">
        <v>6.3872475153647912E-3</v>
      </c>
      <c r="DD76" s="203">
        <v>2.0507989115119862E-2</v>
      </c>
      <c r="DE76" s="203">
        <v>2.1299307195522532E-2</v>
      </c>
      <c r="DF76" s="291">
        <v>2.0023809043401064E-2</v>
      </c>
      <c r="DG76" s="291">
        <v>2.3195274699624457E-2</v>
      </c>
      <c r="DH76" s="291">
        <v>1.3204191315779434E-2</v>
      </c>
      <c r="DI76" s="291">
        <v>7.1594573451124743E-2</v>
      </c>
      <c r="DJ76" s="291">
        <v>6.4108316773858087E-2</v>
      </c>
      <c r="DK76" s="291">
        <v>3.322200208829762E-2</v>
      </c>
      <c r="DL76" s="222">
        <v>2.872366268806581E-2</v>
      </c>
      <c r="DM76" s="221">
        <v>3.4699999999999953E-2</v>
      </c>
      <c r="DN76" s="221">
        <v>2.6000000000000023E-2</v>
      </c>
      <c r="DO76" s="221">
        <v>2.0000000000000018E-2</v>
      </c>
      <c r="DP76" s="221">
        <v>2.0000000000000018E-2</v>
      </c>
      <c r="DQ76" s="221">
        <v>2.0000000000000018E-2</v>
      </c>
      <c r="DR76" s="221">
        <v>2.0000000000000018E-2</v>
      </c>
      <c r="DS76" s="221">
        <v>2.0000000000000018E-2</v>
      </c>
      <c r="DT76" s="221">
        <v>2.0000000000000018E-2</v>
      </c>
      <c r="DU76" s="221">
        <v>2.0000000000000018E-2</v>
      </c>
      <c r="DV76" s="221">
        <v>2.0000000000000018E-2</v>
      </c>
      <c r="DW76" s="221">
        <v>2.0000000000000018E-2</v>
      </c>
      <c r="DX76" s="221">
        <v>2.0000000000000018E-2</v>
      </c>
      <c r="DY76" s="221">
        <v>2.0000000000000018E-2</v>
      </c>
      <c r="DZ76" s="221">
        <v>2.0000000000000018E-2</v>
      </c>
      <c r="EA76" s="221">
        <v>2.0000000000000018E-2</v>
      </c>
      <c r="EB76" s="221">
        <v>2.0000000000000018E-2</v>
      </c>
    </row>
    <row r="77" spans="1:132" x14ac:dyDescent="0.25">
      <c r="A77" s="216" t="s">
        <v>235</v>
      </c>
      <c r="B77" s="216"/>
      <c r="C77" s="216"/>
      <c r="D77" s="216"/>
      <c r="E77" s="216"/>
      <c r="F77" s="203"/>
      <c r="G77" s="203"/>
      <c r="H77" s="203"/>
      <c r="I77" s="203">
        <v>2.9837724655382925E-2</v>
      </c>
      <c r="J77" s="203">
        <v>3.3725354548599151E-2</v>
      </c>
      <c r="K77" s="203">
        <v>3.4305317324185181E-2</v>
      </c>
      <c r="L77" s="203">
        <v>3.2795242141036463E-2</v>
      </c>
      <c r="M77" s="203">
        <v>4.4391731616401087E-2</v>
      </c>
      <c r="N77" s="203">
        <v>3.7811611176175264E-2</v>
      </c>
      <c r="O77" s="203">
        <v>2.6533996683250516E-2</v>
      </c>
      <c r="P77" s="203">
        <v>2.8298782494241559E-2</v>
      </c>
      <c r="Q77" s="203">
        <v>1.4763140817650733E-2</v>
      </c>
      <c r="R77" s="203">
        <v>1.5315170078993967E-2</v>
      </c>
      <c r="S77" s="203">
        <v>1.8901453957996805E-2</v>
      </c>
      <c r="T77" s="203">
        <v>1.967999999999992E-2</v>
      </c>
      <c r="U77" s="203">
        <v>3.0215827338129442E-2</v>
      </c>
      <c r="V77" s="203">
        <v>3.8583677357891366E-2</v>
      </c>
      <c r="W77" s="203">
        <v>4.7724750277469363E-2</v>
      </c>
      <c r="X77" s="203">
        <v>5.1310214969402246E-2</v>
      </c>
      <c r="Y77" s="203">
        <v>4.6399751707014492E-2</v>
      </c>
      <c r="Z77" s="203">
        <v>4.1889619324262384E-2</v>
      </c>
      <c r="AA77" s="203">
        <v>4.4188861985472228E-2</v>
      </c>
      <c r="AB77" s="203">
        <v>4.6417910447761113E-2</v>
      </c>
      <c r="AC77" s="203">
        <v>4.3897375055613086E-2</v>
      </c>
      <c r="AD77" s="203">
        <v>4.446074834922964E-2</v>
      </c>
      <c r="AE77" s="203">
        <v>4.202898550724643E-2</v>
      </c>
      <c r="AF77" s="203">
        <v>3.0951362145200445E-2</v>
      </c>
      <c r="AG77" s="203">
        <v>2.6992470521380874E-2</v>
      </c>
      <c r="AH77" s="203">
        <v>2.7535824669850939E-2</v>
      </c>
      <c r="AI77" s="203">
        <v>1.6968011126564653E-2</v>
      </c>
      <c r="AJ77" s="203">
        <v>1.4526840066408475E-2</v>
      </c>
      <c r="AK77" s="203">
        <v>2.2686401991976801E-2</v>
      </c>
      <c r="AL77" s="203">
        <v>1.8047579983593076E-2</v>
      </c>
      <c r="AM77" s="203">
        <v>2.5437636761487914E-2</v>
      </c>
      <c r="AN77" s="203">
        <v>3.1365062048274828E-2</v>
      </c>
      <c r="AO77" s="203">
        <v>2.5699986473691316E-2</v>
      </c>
      <c r="AP77" s="203">
        <v>2.4845554660220426E-2</v>
      </c>
      <c r="AQ77" s="203">
        <v>2.7073886369698652E-2</v>
      </c>
      <c r="AR77" s="291">
        <v>2.2477852703953527E-2</v>
      </c>
      <c r="AS77" s="291">
        <v>2.9935381775022973E-2</v>
      </c>
      <c r="AT77" s="291">
        <v>3.7347660857030451E-2</v>
      </c>
      <c r="AU77" s="291">
        <v>2.6230359693546257E-2</v>
      </c>
      <c r="AV77" s="291">
        <v>3.0906504590715089E-2</v>
      </c>
      <c r="AW77" s="291">
        <v>2.9833546734955307E-2</v>
      </c>
      <c r="AX77" s="291">
        <v>2.892875189489641E-2</v>
      </c>
      <c r="AY77" s="291">
        <v>3.8086802480070903E-2</v>
      </c>
      <c r="AZ77" s="291">
        <v>5.3437029603612629E-2</v>
      </c>
      <c r="BA77" s="291">
        <v>7.1739400721123836E-2</v>
      </c>
      <c r="BB77" s="291">
        <v>9.4045426642111574E-2</v>
      </c>
      <c r="BC77" s="291">
        <v>0.12493905411994155</v>
      </c>
      <c r="BD77" s="291">
        <v>0.13729459395094068</v>
      </c>
      <c r="BE77" s="291">
        <v>0.12772621809744766</v>
      </c>
      <c r="BF77" s="291">
        <v>0.11098642127707325</v>
      </c>
      <c r="BG77" s="291">
        <v>7.5522808538303066E-2</v>
      </c>
      <c r="BH77" s="291">
        <v>5.1094126269500606E-2</v>
      </c>
      <c r="BI77" s="291">
        <v>3.9399238761444355E-2</v>
      </c>
      <c r="BJ77" s="291">
        <v>3.7373737373737503E-2</v>
      </c>
      <c r="BK77" s="291">
        <v>4.1910134998992543E-2</v>
      </c>
      <c r="BL77" s="291">
        <v>4.133877876282499E-2</v>
      </c>
      <c r="BM77" s="291">
        <v>4.5328582739509127E-2</v>
      </c>
      <c r="BN77" s="291">
        <v>4.8685491723466479E-2</v>
      </c>
      <c r="BO77" s="222">
        <v>4.1191258944111464E-2</v>
      </c>
      <c r="BP77" s="221">
        <v>4.3700000000000072E-2</v>
      </c>
      <c r="BQ77" s="221">
        <v>4.4000000000000039E-2</v>
      </c>
      <c r="BR77" s="221">
        <v>3.2000000000000028E-2</v>
      </c>
      <c r="BS77" s="221">
        <v>2.8999999999999915E-2</v>
      </c>
      <c r="BT77" s="221">
        <v>2.8999999999999915E-2</v>
      </c>
      <c r="BU77" s="221">
        <v>3.0999999999999917E-2</v>
      </c>
      <c r="BV77" s="221"/>
      <c r="BW77" s="221"/>
      <c r="BX77" s="221"/>
      <c r="BY77" s="221"/>
      <c r="BZ77" s="221"/>
      <c r="CA77" s="221"/>
      <c r="CB77" s="221"/>
      <c r="CC77" s="221"/>
      <c r="CD77" s="221"/>
      <c r="CE77" s="221"/>
      <c r="CF77" s="221"/>
      <c r="CG77" s="221"/>
      <c r="CH77" s="221"/>
      <c r="CI77" s="221"/>
      <c r="CJ77" s="221"/>
      <c r="CK77" s="221"/>
      <c r="CL77" s="221"/>
      <c r="CM77" s="221"/>
      <c r="CN77" s="221"/>
      <c r="CO77" s="221"/>
      <c r="CP77" s="221"/>
      <c r="CQ77" s="221"/>
      <c r="CR77" s="221"/>
      <c r="CS77" s="221"/>
      <c r="CT77" s="221"/>
      <c r="CU77" s="221"/>
      <c r="CV77" s="276"/>
      <c r="CW77" s="276"/>
      <c r="CX77" s="216"/>
      <c r="CY77" s="216"/>
      <c r="CZ77" s="203">
        <v>1.4763140817650733E-2</v>
      </c>
      <c r="DA77" s="203">
        <v>3.0215827338129442E-2</v>
      </c>
      <c r="DB77" s="203">
        <v>4.6399751707014492E-2</v>
      </c>
      <c r="DC77" s="203">
        <v>4.3897375055613086E-2</v>
      </c>
      <c r="DD77" s="203">
        <v>2.6992470521380874E-2</v>
      </c>
      <c r="DE77" s="203">
        <v>2.2686401991976801E-2</v>
      </c>
      <c r="DF77" s="291">
        <v>2.5699986473691316E-2</v>
      </c>
      <c r="DG77" s="291">
        <v>2.9935381775022973E-2</v>
      </c>
      <c r="DH77" s="291">
        <v>2.9833546734955307E-2</v>
      </c>
      <c r="DI77" s="291">
        <v>7.1739400721123836E-2</v>
      </c>
      <c r="DJ77" s="291">
        <v>0.12772621809744766</v>
      </c>
      <c r="DK77" s="291">
        <v>3.9399238761444355E-2</v>
      </c>
      <c r="DL77" s="222">
        <v>4.5328582739509127E-2</v>
      </c>
      <c r="DM77" s="221">
        <v>4.4000000000000039E-2</v>
      </c>
      <c r="DN77" s="221">
        <v>3.0999999999999917E-2</v>
      </c>
      <c r="DO77" s="221">
        <v>3.0000000000000027E-2</v>
      </c>
      <c r="DP77" s="221">
        <v>3.0000000000000027E-2</v>
      </c>
      <c r="DQ77" s="221">
        <v>3.0000000000000027E-2</v>
      </c>
      <c r="DR77" s="221">
        <v>3.0000000000000027E-2</v>
      </c>
      <c r="DS77" s="221">
        <v>3.0000000000000027E-2</v>
      </c>
      <c r="DT77" s="221">
        <v>3.0000000000000027E-2</v>
      </c>
      <c r="DU77" s="221">
        <v>3.0000000000000027E-2</v>
      </c>
      <c r="DV77" s="221">
        <v>3.0000000000000027E-2</v>
      </c>
      <c r="DW77" s="221">
        <v>3.0000000000000027E-2</v>
      </c>
      <c r="DX77" s="221">
        <v>3.0000000000000027E-2</v>
      </c>
      <c r="DY77" s="221">
        <v>3.0000000000000027E-2</v>
      </c>
      <c r="DZ77" s="221">
        <v>3.0000000000000027E-2</v>
      </c>
      <c r="EA77" s="221">
        <v>3.0000000000000027E-2</v>
      </c>
      <c r="EB77" s="221">
        <v>3.0000000000000027E-2</v>
      </c>
    </row>
    <row r="78" spans="1:132" x14ac:dyDescent="0.25">
      <c r="A78" s="216" t="s">
        <v>236</v>
      </c>
      <c r="B78" s="216"/>
      <c r="C78" s="216"/>
      <c r="D78" s="216"/>
      <c r="E78" s="216"/>
      <c r="F78" s="203"/>
      <c r="G78" s="203">
        <v>1.6435986159169635E-2</v>
      </c>
      <c r="H78" s="203">
        <v>2.3672055427251815E-2</v>
      </c>
      <c r="I78" s="203">
        <v>2.0716443677168739E-2</v>
      </c>
      <c r="J78" s="203">
        <v>2.6664765435619575E-2</v>
      </c>
      <c r="K78" s="203">
        <v>2.907801418439715E-2</v>
      </c>
      <c r="L78" s="203">
        <v>3.7225042301184397E-2</v>
      </c>
      <c r="M78" s="203">
        <v>4.7357293868921735E-2</v>
      </c>
      <c r="N78" s="203">
        <v>4.2361111111111072E-2</v>
      </c>
      <c r="O78" s="203">
        <v>3.997243280496221E-2</v>
      </c>
      <c r="P78" s="203">
        <v>3.738444806960306E-2</v>
      </c>
      <c r="Q78" s="203">
        <v>2.6510563854124536E-2</v>
      </c>
      <c r="R78" s="203">
        <v>2.584943371085946E-2</v>
      </c>
      <c r="S78" s="203">
        <v>2.7700463883366444E-2</v>
      </c>
      <c r="T78" s="203">
        <v>2.8305595596907374E-2</v>
      </c>
      <c r="U78" s="203">
        <v>2.8578919769270961E-2</v>
      </c>
      <c r="V78" s="203">
        <v>3.3900506559293442E-2</v>
      </c>
      <c r="W78" s="203">
        <v>3.4562806293525927E-2</v>
      </c>
      <c r="X78" s="203">
        <v>2.739900598955014E-2</v>
      </c>
      <c r="Y78" s="203">
        <v>3.2245730308437359E-2</v>
      </c>
      <c r="Z78" s="203">
        <v>3.0150753768844352E-2</v>
      </c>
      <c r="AA78" s="203">
        <v>3.5402642732485612E-2</v>
      </c>
      <c r="AB78" s="203">
        <v>3.907219052344324E-2</v>
      </c>
      <c r="AC78" s="203">
        <v>4.4079515989628337E-2</v>
      </c>
      <c r="AD78" s="203">
        <v>4.3048780487804805E-2</v>
      </c>
      <c r="AE78" s="203">
        <v>3.3469780881290712E-2</v>
      </c>
      <c r="AF78" s="203">
        <v>3.127611316700496E-2</v>
      </c>
      <c r="AG78" s="203">
        <v>3.22847682119205E-2</v>
      </c>
      <c r="AH78" s="203">
        <v>3.9752133754238361E-2</v>
      </c>
      <c r="AI78" s="203">
        <v>2.7260018639329031E-2</v>
      </c>
      <c r="AJ78" s="203">
        <v>2.9517305243662362E-2</v>
      </c>
      <c r="AK78" s="203">
        <v>1.3632718524458687E-2</v>
      </c>
      <c r="AL78" s="203">
        <v>3.5983357697064733E-3</v>
      </c>
      <c r="AM78" s="203">
        <v>1.4288954411431076E-2</v>
      </c>
      <c r="AN78" s="203">
        <v>1.2705194513154883E-2</v>
      </c>
      <c r="AO78" s="203">
        <v>2.192585895117527E-2</v>
      </c>
      <c r="AP78" s="203">
        <v>2.2408963585434094E-2</v>
      </c>
      <c r="AQ78" s="203">
        <v>2.2920393559928476E-2</v>
      </c>
      <c r="AR78" s="291">
        <v>1.85411346730322E-2</v>
      </c>
      <c r="AS78" s="291">
        <v>1.9022340190223419E-2</v>
      </c>
      <c r="AT78" s="291">
        <v>1.8301369863013672E-2</v>
      </c>
      <c r="AU78" s="291">
        <v>1.6067329762815552E-2</v>
      </c>
      <c r="AV78" s="291">
        <v>1.8203618923043452E-2</v>
      </c>
      <c r="AW78" s="291">
        <v>1.9752550466681118E-2</v>
      </c>
      <c r="AX78" s="291">
        <v>2.5936289281101921E-2</v>
      </c>
      <c r="AY78" s="291">
        <v>3.2487091222031195E-2</v>
      </c>
      <c r="AZ78" s="291">
        <v>5.234985547585902E-2</v>
      </c>
      <c r="BA78" s="291">
        <v>6.4282673478075925E-2</v>
      </c>
      <c r="BB78" s="291">
        <v>6.8289101017518172E-2</v>
      </c>
      <c r="BC78" s="291">
        <v>8.8143363200666736E-2</v>
      </c>
      <c r="BD78" s="291">
        <v>8.5249237029501712E-2</v>
      </c>
      <c r="BE78" s="291">
        <v>8.4600000000000009E-2</v>
      </c>
      <c r="BF78" s="291">
        <v>8.3955223880596952E-2</v>
      </c>
      <c r="BG78" s="291">
        <v>6.4630409804672606E-2</v>
      </c>
      <c r="BH78" s="291">
        <v>5.0431196100487297E-2</v>
      </c>
      <c r="BI78" s="291">
        <v>3.2362161165406578E-2</v>
      </c>
      <c r="BJ78" s="291">
        <v>3.0437539632212962E-2</v>
      </c>
      <c r="BK78" s="291">
        <v>2.2843780915549949E-2</v>
      </c>
      <c r="BL78" s="291">
        <v>1.7758343744422644E-2</v>
      </c>
      <c r="BM78" s="291">
        <v>1.9648120032151439E-2</v>
      </c>
      <c r="BN78" s="291">
        <v>1.2835164835164781E-2</v>
      </c>
      <c r="BO78" s="222">
        <v>1.6970016706234103E-2</v>
      </c>
      <c r="BP78" s="221">
        <v>1.8000000000000016E-2</v>
      </c>
      <c r="BQ78" s="221">
        <v>2.2499999999999964E-2</v>
      </c>
      <c r="BR78" s="221">
        <v>2.2500000000000187E-2</v>
      </c>
      <c r="BS78" s="221">
        <v>2.4000000000000021E-2</v>
      </c>
      <c r="BT78" s="221">
        <v>2.2500000000000187E-2</v>
      </c>
      <c r="BU78" s="221">
        <v>2.2499999999999964E-2</v>
      </c>
      <c r="BV78" s="221"/>
      <c r="BW78" s="221"/>
      <c r="BX78" s="221"/>
      <c r="BY78" s="221"/>
      <c r="BZ78" s="221"/>
      <c r="CA78" s="221"/>
      <c r="CB78" s="221"/>
      <c r="CC78" s="221"/>
      <c r="CD78" s="221"/>
      <c r="CE78" s="221"/>
      <c r="CF78" s="221"/>
      <c r="CG78" s="221"/>
      <c r="CH78" s="221"/>
      <c r="CI78" s="221"/>
      <c r="CJ78" s="221"/>
      <c r="CK78" s="221"/>
      <c r="CL78" s="221"/>
      <c r="CM78" s="221"/>
      <c r="CN78" s="221"/>
      <c r="CO78" s="221"/>
      <c r="CP78" s="221"/>
      <c r="CQ78" s="221"/>
      <c r="CR78" s="221"/>
      <c r="CS78" s="221"/>
      <c r="CT78" s="221"/>
      <c r="CU78" s="221"/>
      <c r="CV78" s="276"/>
      <c r="CW78" s="276"/>
      <c r="CX78" s="216"/>
      <c r="CY78" s="216"/>
      <c r="CZ78" s="203">
        <v>2.6510563854124536E-2</v>
      </c>
      <c r="DA78" s="203">
        <v>2.8578919769270961E-2</v>
      </c>
      <c r="DB78" s="203">
        <v>3.2245730308437359E-2</v>
      </c>
      <c r="DC78" s="203">
        <v>4.4079515989628337E-2</v>
      </c>
      <c r="DD78" s="203">
        <v>3.22847682119205E-2</v>
      </c>
      <c r="DE78" s="203">
        <v>1.3632718524458687E-2</v>
      </c>
      <c r="DF78" s="291">
        <v>2.192585895117527E-2</v>
      </c>
      <c r="DG78" s="291">
        <v>1.9022340190223419E-2</v>
      </c>
      <c r="DH78" s="291">
        <v>1.9752550466681118E-2</v>
      </c>
      <c r="DI78" s="291">
        <v>6.4282673478075925E-2</v>
      </c>
      <c r="DJ78" s="291">
        <v>8.4600000000000009E-2</v>
      </c>
      <c r="DK78" s="291">
        <v>3.2362161165406578E-2</v>
      </c>
      <c r="DL78" s="222">
        <v>1.9648120032151439E-2</v>
      </c>
      <c r="DM78" s="221">
        <v>2.2499999999999964E-2</v>
      </c>
      <c r="DN78" s="221">
        <v>2.2499999999999964E-2</v>
      </c>
      <c r="DO78" s="221">
        <v>2.2499999999999964E-2</v>
      </c>
      <c r="DP78" s="221">
        <v>2.2499999999999964E-2</v>
      </c>
      <c r="DQ78" s="221">
        <v>2.2499999999999964E-2</v>
      </c>
      <c r="DR78" s="221">
        <v>2.2499999999999964E-2</v>
      </c>
      <c r="DS78" s="221">
        <v>2.2499999999999964E-2</v>
      </c>
      <c r="DT78" s="221">
        <v>2.2499999999999964E-2</v>
      </c>
      <c r="DU78" s="221">
        <v>2.2499999999999964E-2</v>
      </c>
      <c r="DV78" s="221">
        <v>2.2499999999999964E-2</v>
      </c>
      <c r="DW78" s="221">
        <v>2.2499999999999964E-2</v>
      </c>
      <c r="DX78" s="221">
        <v>2.2499999999999964E-2</v>
      </c>
      <c r="DY78" s="221">
        <v>2.2499999999999964E-2</v>
      </c>
      <c r="DZ78" s="221">
        <v>2.2499999999999964E-2</v>
      </c>
      <c r="EA78" s="221">
        <v>2.2499999999999964E-2</v>
      </c>
      <c r="EB78" s="221">
        <v>2.2499999999999964E-2</v>
      </c>
    </row>
    <row r="79" spans="1:132" x14ac:dyDescent="0.25">
      <c r="A79" s="216" t="s">
        <v>237</v>
      </c>
      <c r="B79" s="216"/>
      <c r="C79" s="216"/>
      <c r="D79" s="216"/>
      <c r="E79" s="216"/>
      <c r="F79" s="203"/>
      <c r="G79" s="203">
        <v>2.2424667133847276E-2</v>
      </c>
      <c r="H79" s="203">
        <v>2.2727272727272707E-2</v>
      </c>
      <c r="I79" s="203">
        <v>3.1601123595505598E-2</v>
      </c>
      <c r="J79" s="203">
        <v>3.1879657742202694E-2</v>
      </c>
      <c r="K79" s="203">
        <v>3.2350925291295463E-2</v>
      </c>
      <c r="L79" s="203">
        <v>3.7311385459533497E-2</v>
      </c>
      <c r="M79" s="203">
        <v>3.7304288631722082E-2</v>
      </c>
      <c r="N79" s="203">
        <v>3.3970843921358851E-2</v>
      </c>
      <c r="O79" s="203">
        <v>3.200106227592614E-2</v>
      </c>
      <c r="P79" s="203">
        <v>3.0944194657497981E-2</v>
      </c>
      <c r="Q79" s="203">
        <v>2.4412652579078653E-2</v>
      </c>
      <c r="R79" s="203">
        <v>1.9143707153020273E-2</v>
      </c>
      <c r="S79" s="203">
        <v>2.1487390633041725E-2</v>
      </c>
      <c r="T79" s="203">
        <v>2.2703950743971468E-2</v>
      </c>
      <c r="U79" s="203">
        <v>1.9346572709801446E-2</v>
      </c>
      <c r="V79" s="203">
        <v>2.5130092651351577E-2</v>
      </c>
      <c r="W79" s="203">
        <v>2.7963219549061558E-2</v>
      </c>
      <c r="X79" s="203">
        <v>2.8596513232158616E-2</v>
      </c>
      <c r="Y79" s="203">
        <v>3.6576168929109976E-2</v>
      </c>
      <c r="Z79" s="203">
        <v>4.5561470843134888E-2</v>
      </c>
      <c r="AA79" s="203">
        <v>4.4112241146918141E-2</v>
      </c>
      <c r="AB79" s="203">
        <v>5.3408120960858341E-2</v>
      </c>
      <c r="AC79" s="203">
        <v>6.7660967624590729E-2</v>
      </c>
      <c r="AD79" s="203">
        <v>7.9692125518058043E-2</v>
      </c>
      <c r="AE79" s="203">
        <v>8.6022767280835799E-2</v>
      </c>
      <c r="AF79" s="203">
        <v>7.2809352934367411E-2</v>
      </c>
      <c r="AG79" s="203">
        <v>5.7467348097671733E-2</v>
      </c>
      <c r="AH79" s="203">
        <v>4.6940118447027723E-2</v>
      </c>
      <c r="AI79" s="203">
        <v>3.9874648800518608E-2</v>
      </c>
      <c r="AJ79" s="203">
        <v>3.9706517047906731E-2</v>
      </c>
      <c r="AK79" s="203">
        <v>4.0919342712920193E-2</v>
      </c>
      <c r="AL79" s="203">
        <v>3.1322019694112857E-2</v>
      </c>
      <c r="AM79" s="203">
        <v>3.2006650732619768E-2</v>
      </c>
      <c r="AN79" s="203">
        <v>3.2274802822747972E-2</v>
      </c>
      <c r="AO79" s="203">
        <v>3.1778786628146927E-2</v>
      </c>
      <c r="AP79" s="203">
        <v>3.2199085830370677E-2</v>
      </c>
      <c r="AQ79" s="203">
        <v>3.4236229986909672E-2</v>
      </c>
      <c r="AR79" s="291">
        <v>3.8101940283502556E-2</v>
      </c>
      <c r="AS79" s="291">
        <v>3.8000000000000034E-2</v>
      </c>
      <c r="AT79" s="291">
        <v>3.8476677819326843E-2</v>
      </c>
      <c r="AU79" s="291">
        <v>2.2003699737124016E-2</v>
      </c>
      <c r="AV79" s="291">
        <v>1.96591129188457E-2</v>
      </c>
      <c r="AW79" s="291">
        <v>1.6184971098265999E-2</v>
      </c>
      <c r="AX79" s="291">
        <v>1.5066805647683257E-2</v>
      </c>
      <c r="AY79" s="291">
        <v>3.6296084595598854E-2</v>
      </c>
      <c r="AZ79" s="291">
        <v>4.511349605850512E-2</v>
      </c>
      <c r="BA79" s="291">
        <v>5.6219188471748227E-2</v>
      </c>
      <c r="BB79" s="291">
        <v>8.53248693054518E-2</v>
      </c>
      <c r="BC79" s="291">
        <v>9.6800882515168274E-2</v>
      </c>
      <c r="BD79" s="291">
        <v>0.11441294074881858</v>
      </c>
      <c r="BE79" s="291">
        <v>0.13122699937169013</v>
      </c>
      <c r="BF79" s="291">
        <v>0.13340787889213845</v>
      </c>
      <c r="BG79" s="291">
        <v>0.1212806973430558</v>
      </c>
      <c r="BH79" s="291">
        <v>0.10992416211367551</v>
      </c>
      <c r="BI79" s="291">
        <v>9.2755693088947044E-2</v>
      </c>
      <c r="BJ79" s="291">
        <v>7.3689003566820732E-2</v>
      </c>
      <c r="BK79" s="291">
        <v>7.1759605322170739E-2</v>
      </c>
      <c r="BL79" s="291">
        <v>5.8114760120490772E-2</v>
      </c>
      <c r="BM79" s="291">
        <v>5.1989544002323473E-2</v>
      </c>
      <c r="BN79" s="291">
        <v>5.0890585241730513E-2</v>
      </c>
      <c r="BO79" s="222">
        <v>4.8263356116613254E-2</v>
      </c>
      <c r="BP79" s="221">
        <v>4.3700000000000072E-2</v>
      </c>
      <c r="BQ79" s="221">
        <v>4.4399999999999995E-2</v>
      </c>
      <c r="BR79" s="221">
        <v>3.8900000000000157E-2</v>
      </c>
      <c r="BS79" s="221">
        <v>3.7500000000000089E-2</v>
      </c>
      <c r="BT79" s="221">
        <v>3.5000000000000142E-2</v>
      </c>
      <c r="BU79" s="221">
        <v>3.5000000000000142E-2</v>
      </c>
      <c r="BV79" s="221"/>
      <c r="BW79" s="221"/>
      <c r="BX79" s="221"/>
      <c r="BY79" s="221"/>
      <c r="BZ79" s="221"/>
      <c r="CA79" s="221"/>
      <c r="CB79" s="221"/>
      <c r="CC79" s="221"/>
      <c r="CD79" s="221"/>
      <c r="CE79" s="221"/>
      <c r="CF79" s="221"/>
      <c r="CG79" s="221"/>
      <c r="CH79" s="221"/>
      <c r="CI79" s="221"/>
      <c r="CJ79" s="221"/>
      <c r="CK79" s="221"/>
      <c r="CL79" s="221"/>
      <c r="CM79" s="221"/>
      <c r="CN79" s="221"/>
      <c r="CO79" s="221"/>
      <c r="CP79" s="221"/>
      <c r="CQ79" s="221"/>
      <c r="CR79" s="221"/>
      <c r="CS79" s="221"/>
      <c r="CT79" s="221"/>
      <c r="CU79" s="221"/>
      <c r="CV79" s="276"/>
      <c r="CW79" s="276"/>
      <c r="CX79" s="216"/>
      <c r="CY79" s="216"/>
      <c r="CZ79" s="203">
        <v>2.4412652579078653E-2</v>
      </c>
      <c r="DA79" s="203">
        <v>1.9346572709801446E-2</v>
      </c>
      <c r="DB79" s="203">
        <v>3.6576168929109976E-2</v>
      </c>
      <c r="DC79" s="203">
        <v>6.7660967624590729E-2</v>
      </c>
      <c r="DD79" s="203">
        <v>5.7467348097671733E-2</v>
      </c>
      <c r="DE79" s="203">
        <v>4.0919342712920193E-2</v>
      </c>
      <c r="DF79" s="291">
        <v>3.1778786628146927E-2</v>
      </c>
      <c r="DG79" s="291">
        <v>3.8000000000000034E-2</v>
      </c>
      <c r="DH79" s="291">
        <v>1.6184971098265999E-2</v>
      </c>
      <c r="DI79" s="291">
        <v>5.6219188471748227E-2</v>
      </c>
      <c r="DJ79" s="291">
        <v>0.13122699937169013</v>
      </c>
      <c r="DK79" s="291">
        <v>9.2755693088947044E-2</v>
      </c>
      <c r="DL79" s="222">
        <v>5.1989544002323473E-2</v>
      </c>
      <c r="DM79" s="221">
        <v>4.4399999999999995E-2</v>
      </c>
      <c r="DN79" s="221">
        <v>3.5000000000000142E-2</v>
      </c>
      <c r="DO79" s="221">
        <v>3.5000000000000142E-2</v>
      </c>
      <c r="DP79" s="221">
        <v>3.5000000000000142E-2</v>
      </c>
      <c r="DQ79" s="221">
        <v>3.5000000000000142E-2</v>
      </c>
      <c r="DR79" s="221">
        <v>3.5000000000000142E-2</v>
      </c>
      <c r="DS79" s="221">
        <v>3.5000000000000142E-2</v>
      </c>
      <c r="DT79" s="221">
        <v>3.5000000000000142E-2</v>
      </c>
      <c r="DU79" s="221">
        <v>3.5000000000000142E-2</v>
      </c>
      <c r="DV79" s="221">
        <v>3.5000000000000142E-2</v>
      </c>
      <c r="DW79" s="221">
        <v>3.5000000000000142E-2</v>
      </c>
      <c r="DX79" s="221">
        <v>3.5000000000000142E-2</v>
      </c>
      <c r="DY79" s="221">
        <v>3.5000000000000142E-2</v>
      </c>
      <c r="DZ79" s="221">
        <v>3.5000000000000142E-2</v>
      </c>
      <c r="EA79" s="221">
        <v>3.5000000000000142E-2</v>
      </c>
      <c r="EB79" s="221">
        <v>3.5000000000000142E-2</v>
      </c>
    </row>
    <row r="80" spans="1:132" x14ac:dyDescent="0.25">
      <c r="A80" s="216" t="s">
        <v>238</v>
      </c>
      <c r="B80" s="216"/>
      <c r="C80" s="216"/>
      <c r="D80" s="216"/>
      <c r="E80" s="216"/>
      <c r="F80" s="203"/>
      <c r="G80" s="203">
        <v>0.21749438432092205</v>
      </c>
      <c r="H80" s="203">
        <v>0.22987092233979189</v>
      </c>
      <c r="I80" s="203">
        <v>0.22922618524849292</v>
      </c>
      <c r="J80" s="203">
        <v>0.20501198079714644</v>
      </c>
      <c r="K80" s="203">
        <v>0.21551955331915584</v>
      </c>
      <c r="L80" s="203">
        <v>0.2193786580418533</v>
      </c>
      <c r="M80" s="203">
        <v>0.21238587820691102</v>
      </c>
      <c r="N80" s="203">
        <v>0.21892434486942203</v>
      </c>
      <c r="O80" s="203">
        <v>0.22132899514717952</v>
      </c>
      <c r="P80" s="203">
        <v>0.22802809469905627</v>
      </c>
      <c r="Q80" s="203">
        <v>0.23897181076000051</v>
      </c>
      <c r="R80" s="203">
        <v>0.22789434895616822</v>
      </c>
      <c r="S80" s="203">
        <v>0.2307054233738195</v>
      </c>
      <c r="T80" s="203">
        <v>0.24397490159489199</v>
      </c>
      <c r="U80" s="203">
        <v>0.2640263506237186</v>
      </c>
      <c r="V80" s="203">
        <v>0.3613807353317593</v>
      </c>
      <c r="W80" s="203">
        <v>0.40156261516916048</v>
      </c>
      <c r="X80" s="203">
        <v>0.40263593706872758</v>
      </c>
      <c r="Y80" s="203">
        <v>0.38036888946214331</v>
      </c>
      <c r="Z80" s="203">
        <v>0.28031854379977239</v>
      </c>
      <c r="AA80" s="203">
        <v>0.2552721535629765</v>
      </c>
      <c r="AB80" s="203">
        <v>0.24036995129630556</v>
      </c>
      <c r="AC80" s="203">
        <v>0.26924873855354203</v>
      </c>
      <c r="AD80" s="203">
        <v>0.35018660031988702</v>
      </c>
      <c r="AE80" s="203">
        <v>0.45732223628974933</v>
      </c>
      <c r="AF80" s="203">
        <v>0.42555619287407054</v>
      </c>
      <c r="AG80" s="203">
        <v>0.39296870420172958</v>
      </c>
      <c r="AH80" s="203">
        <v>0.32273165985277874</v>
      </c>
      <c r="AI80" s="203">
        <v>0.21787171394570248</v>
      </c>
      <c r="AJ80" s="203">
        <v>0.23855582677502096</v>
      </c>
      <c r="AK80" s="203">
        <v>0.24825717834665229</v>
      </c>
      <c r="AL80" s="203">
        <v>0.25316435670862725</v>
      </c>
      <c r="AM80" s="203">
        <v>0.2929867215727735</v>
      </c>
      <c r="AN80" s="203">
        <v>0.40373391737305564</v>
      </c>
      <c r="AO80" s="203">
        <v>0.47635160315840164</v>
      </c>
      <c r="AP80" s="203">
        <v>0.54819564540301746</v>
      </c>
      <c r="AQ80" s="203">
        <v>0.5588364316229657</v>
      </c>
      <c r="AR80" s="291">
        <v>0.53800207622330376</v>
      </c>
      <c r="AS80" s="291">
        <v>0.53961738645159807</v>
      </c>
      <c r="AT80" s="291">
        <v>0.48413889072761362</v>
      </c>
      <c r="AU80" s="291">
        <v>0.42842689110559284</v>
      </c>
      <c r="AV80" s="291">
        <v>0.36620551022821313</v>
      </c>
      <c r="AW80" s="291">
        <v>0.36141687835167935</v>
      </c>
      <c r="AX80" s="291">
        <v>0.4265095729013253</v>
      </c>
      <c r="AY80" s="291">
        <v>0.50200329223219553</v>
      </c>
      <c r="AZ80" s="291">
        <v>0.52472448214182665</v>
      </c>
      <c r="BA80" s="291">
        <v>0.5094329843474652</v>
      </c>
      <c r="BB80" s="291">
        <v>0.55105880193635626</v>
      </c>
      <c r="BC80" s="291">
        <v>0.63984698097601256</v>
      </c>
      <c r="BD80" s="291">
        <v>0.83029328287606385</v>
      </c>
      <c r="BE80" s="291">
        <v>0.94792775469560109</v>
      </c>
      <c r="BF80" s="291">
        <v>1.0429547673283439</v>
      </c>
      <c r="BG80" s="291">
        <v>1.1557948627416366</v>
      </c>
      <c r="BH80" s="291">
        <v>1.3828141960695128</v>
      </c>
      <c r="BI80" s="291">
        <v>2.1140676367674671</v>
      </c>
      <c r="BJ80" s="291">
        <v>2.8786889281473549</v>
      </c>
      <c r="BK80" s="291">
        <v>2.7152976409824467</v>
      </c>
      <c r="BL80" s="291">
        <v>2.0900161393887857</v>
      </c>
      <c r="BM80" s="291">
        <v>1.1776383381590008</v>
      </c>
      <c r="BN80" s="291">
        <v>0.55930178511094653</v>
      </c>
      <c r="BO80" s="222">
        <v>0.39420250609678331</v>
      </c>
      <c r="BP80" s="221">
        <v>0.31817916744338848</v>
      </c>
      <c r="BQ80" s="221">
        <v>0.28099026601095711</v>
      </c>
      <c r="BR80" s="221">
        <v>0.22649948504388573</v>
      </c>
      <c r="BS80" s="221">
        <v>0.19317424863350841</v>
      </c>
      <c r="BT80" s="221">
        <v>0.15956064073392939</v>
      </c>
      <c r="BU80" s="221">
        <v>0.13239558593514955</v>
      </c>
      <c r="BV80" s="221"/>
      <c r="BW80" s="221"/>
      <c r="BX80" s="221"/>
      <c r="BY80" s="221"/>
      <c r="BZ80" s="221"/>
      <c r="CA80" s="221"/>
      <c r="CB80" s="221"/>
      <c r="CC80" s="221"/>
      <c r="CD80" s="221"/>
      <c r="CE80" s="221"/>
      <c r="CF80" s="221"/>
      <c r="CG80" s="221"/>
      <c r="CH80" s="221"/>
      <c r="CI80" s="221"/>
      <c r="CJ80" s="221"/>
      <c r="CK80" s="221"/>
      <c r="CL80" s="221"/>
      <c r="CM80" s="221"/>
      <c r="CN80" s="221"/>
      <c r="CO80" s="221"/>
      <c r="CP80" s="221"/>
      <c r="CQ80" s="221"/>
      <c r="CR80" s="221"/>
      <c r="CS80" s="221"/>
      <c r="CT80" s="221"/>
      <c r="CU80" s="221"/>
      <c r="CV80" s="276"/>
      <c r="CW80" s="276"/>
      <c r="CX80" s="216"/>
      <c r="CY80" s="216"/>
      <c r="CZ80" s="203">
        <v>0.23897181076000051</v>
      </c>
      <c r="DA80" s="203">
        <v>0.2640263506237186</v>
      </c>
      <c r="DB80" s="203">
        <v>0.38036888946214331</v>
      </c>
      <c r="DC80" s="203">
        <v>0.26924873855354203</v>
      </c>
      <c r="DD80" s="203">
        <v>0.39296870420172958</v>
      </c>
      <c r="DE80" s="203">
        <v>0.24825717834665229</v>
      </c>
      <c r="DF80" s="291">
        <v>0.47635160315840164</v>
      </c>
      <c r="DG80" s="291">
        <v>0.53961738645159807</v>
      </c>
      <c r="DH80" s="291">
        <v>0.36141687835167935</v>
      </c>
      <c r="DI80" s="291">
        <v>0.5094329843474652</v>
      </c>
      <c r="DJ80" s="291">
        <v>0.94792775469560109</v>
      </c>
      <c r="DK80" s="291">
        <v>2.1140676367674671</v>
      </c>
      <c r="DL80" s="222">
        <v>1.1776383381590008</v>
      </c>
      <c r="DM80" s="221">
        <v>0.28099026601095711</v>
      </c>
      <c r="DN80" s="221">
        <v>0.13239558593514955</v>
      </c>
      <c r="DO80" s="221">
        <v>8.0000000000000071E-2</v>
      </c>
      <c r="DP80" s="221">
        <v>8.0000000000000071E-2</v>
      </c>
      <c r="DQ80" s="221">
        <v>8.0000000000000071E-2</v>
      </c>
      <c r="DR80" s="221">
        <v>8.0000000000000071E-2</v>
      </c>
      <c r="DS80" s="221">
        <v>8.0000000000000071E-2</v>
      </c>
      <c r="DT80" s="221">
        <v>8.0000000000000071E-2</v>
      </c>
      <c r="DU80" s="221">
        <v>8.0000000000000071E-2</v>
      </c>
      <c r="DV80" s="221">
        <v>8.0000000000000071E-2</v>
      </c>
      <c r="DW80" s="221">
        <v>8.0000000000000071E-2</v>
      </c>
      <c r="DX80" s="221">
        <v>8.0000000000000071E-2</v>
      </c>
      <c r="DY80" s="221">
        <v>8.0000000000000071E-2</v>
      </c>
      <c r="DZ80" s="221">
        <v>8.0000000000000071E-2</v>
      </c>
      <c r="EA80" s="221">
        <v>8.0000000000000071E-2</v>
      </c>
      <c r="EB80" s="221">
        <v>8.0000000000000071E-2</v>
      </c>
    </row>
    <row r="81" spans="1:132" x14ac:dyDescent="0.25">
      <c r="A81" s="216" t="s">
        <v>240</v>
      </c>
      <c r="B81" s="216"/>
      <c r="C81" s="216"/>
      <c r="D81" s="216"/>
      <c r="E81" s="216"/>
      <c r="F81" s="203"/>
      <c r="G81" s="203">
        <v>4.8410906272117415E-2</v>
      </c>
      <c r="H81" s="203">
        <v>4.7042195972309298E-2</v>
      </c>
      <c r="I81" s="203">
        <v>5.9086887217945305E-2</v>
      </c>
      <c r="J81" s="203">
        <v>6.2989876163202174E-2</v>
      </c>
      <c r="K81" s="203">
        <v>6.7125507114063065E-2</v>
      </c>
      <c r="L81" s="203">
        <v>7.3109020596297869E-2</v>
      </c>
      <c r="M81" s="203">
        <v>6.5033527436801686E-2</v>
      </c>
      <c r="N81" s="203">
        <v>5.2399919361243219E-2</v>
      </c>
      <c r="O81" s="203">
        <v>4.9154252835474477E-2</v>
      </c>
      <c r="P81" s="203">
        <v>5.2822033772001786E-2</v>
      </c>
      <c r="Q81" s="203">
        <v>5.8385947181474496E-2</v>
      </c>
      <c r="R81" s="203">
        <v>6.588765923358908E-2</v>
      </c>
      <c r="S81" s="203">
        <v>6.6959158358983917E-2</v>
      </c>
      <c r="T81" s="203">
        <v>5.858620748231913E-2</v>
      </c>
      <c r="U81" s="203">
        <v>5.910683255331084E-2</v>
      </c>
      <c r="V81" s="203">
        <v>6.1528910091982913E-2</v>
      </c>
      <c r="W81" s="203">
        <v>6.5232836013692452E-2</v>
      </c>
      <c r="X81" s="203">
        <v>6.7464743152562567E-2</v>
      </c>
      <c r="Y81" s="203">
        <v>6.4074707959081545E-2</v>
      </c>
      <c r="Z81" s="203">
        <v>8.1285046609104405E-2</v>
      </c>
      <c r="AA81" s="203">
        <v>8.894429960185124E-2</v>
      </c>
      <c r="AB81" s="203">
        <v>9.4927892083663146E-2</v>
      </c>
      <c r="AC81" s="203">
        <v>0.1067302813397506</v>
      </c>
      <c r="AD81" s="203">
        <v>9.3863723708620617E-2</v>
      </c>
      <c r="AE81" s="203">
        <v>8.8437473175281056E-2</v>
      </c>
      <c r="AF81" s="203">
        <v>8.4759686232872333E-2</v>
      </c>
      <c r="AG81" s="203">
        <v>6.2879882132213849E-2</v>
      </c>
      <c r="AH81" s="203">
        <v>4.5711051156818838E-2</v>
      </c>
      <c r="AI81" s="203">
        <v>2.9985569924055655E-2</v>
      </c>
      <c r="AJ81" s="203">
        <v>2.5376909332922803E-2</v>
      </c>
      <c r="AK81" s="203">
        <v>2.9474213204347066E-2</v>
      </c>
      <c r="AL81" s="203">
        <v>2.6808027890635966E-2</v>
      </c>
      <c r="AM81" s="203">
        <v>4.3911039739087387E-2</v>
      </c>
      <c r="AN81" s="203">
        <v>4.5259760164416463E-2</v>
      </c>
      <c r="AO81" s="203">
        <v>3.7455811701915476E-2</v>
      </c>
      <c r="AP81" s="203">
        <v>4.5752835314434748E-2</v>
      </c>
      <c r="AQ81" s="203">
        <v>3.3662671524801624E-2</v>
      </c>
      <c r="AR81" s="291">
        <v>2.8934248931768991E-2</v>
      </c>
      <c r="AS81" s="291">
        <v>4.306151617159526E-2</v>
      </c>
      <c r="AT81" s="291">
        <v>3.303157719890204E-2</v>
      </c>
      <c r="AU81" s="291">
        <v>2.1324173853674466E-2</v>
      </c>
      <c r="AV81" s="291">
        <v>3.1353293138274951E-2</v>
      </c>
      <c r="AW81" s="291">
        <v>4.517456886424509E-2</v>
      </c>
      <c r="AX81" s="291">
        <v>6.0994785444116184E-2</v>
      </c>
      <c r="AY81" s="291">
        <v>8.3470723655796775E-2</v>
      </c>
      <c r="AZ81" s="291">
        <v>0.10246394955255722</v>
      </c>
      <c r="BA81" s="291">
        <v>0.10060982737443336</v>
      </c>
      <c r="BB81" s="291">
        <v>0.11299412129585251</v>
      </c>
      <c r="BC81" s="291">
        <v>0.11886869625198027</v>
      </c>
      <c r="BD81" s="291">
        <v>7.1688247891645851E-2</v>
      </c>
      <c r="BE81" s="291">
        <v>5.7850929078894886E-2</v>
      </c>
      <c r="BF81" s="291">
        <v>4.6507798534815903E-2</v>
      </c>
      <c r="BG81" s="291">
        <v>3.1614737021461004E-2</v>
      </c>
      <c r="BH81" s="291">
        <v>5.1852805344769548E-2</v>
      </c>
      <c r="BI81" s="291">
        <v>4.62119000508181E-2</v>
      </c>
      <c r="BJ81" s="291">
        <v>3.925612019964686E-2</v>
      </c>
      <c r="BK81" s="291">
        <v>4.2276593668120643E-2</v>
      </c>
      <c r="BL81" s="291">
        <v>4.424788005957625E-2</v>
      </c>
      <c r="BM81" s="291">
        <v>4.8311967483947837E-2</v>
      </c>
      <c r="BN81" s="291">
        <v>5.4772504272732725E-2</v>
      </c>
      <c r="BO81" s="222">
        <v>5.3512852390906307E-2</v>
      </c>
      <c r="BP81" s="221">
        <v>5.4100000000000037E-2</v>
      </c>
      <c r="BQ81" s="221">
        <v>5.4699999999999971E-2</v>
      </c>
      <c r="BR81" s="221">
        <v>5.04E-2</v>
      </c>
      <c r="BS81" s="221">
        <v>4.6800000000000175E-2</v>
      </c>
      <c r="BT81" s="221">
        <v>4.4700000000000184E-2</v>
      </c>
      <c r="BU81" s="221">
        <v>4.4699999999999962E-2</v>
      </c>
      <c r="BV81" s="221"/>
      <c r="BW81" s="221"/>
      <c r="BX81" s="221"/>
      <c r="BY81" s="221"/>
      <c r="BZ81" s="221"/>
      <c r="CA81" s="221"/>
      <c r="CB81" s="221"/>
      <c r="CC81" s="221"/>
      <c r="CD81" s="221"/>
      <c r="CE81" s="221"/>
      <c r="CF81" s="221"/>
      <c r="CG81" s="221"/>
      <c r="CH81" s="221"/>
      <c r="CI81" s="221"/>
      <c r="CJ81" s="221"/>
      <c r="CK81" s="221"/>
      <c r="CL81" s="221"/>
      <c r="CM81" s="221"/>
      <c r="CN81" s="221"/>
      <c r="CO81" s="221"/>
      <c r="CP81" s="221"/>
      <c r="CQ81" s="221"/>
      <c r="CR81" s="221"/>
      <c r="CS81" s="221"/>
      <c r="CT81" s="221"/>
      <c r="CU81" s="221"/>
      <c r="CV81" s="588"/>
      <c r="CW81" s="276"/>
      <c r="CX81" s="216"/>
      <c r="CY81" s="216"/>
      <c r="CZ81" s="203">
        <v>5.8385947181474496E-2</v>
      </c>
      <c r="DA81" s="203">
        <v>5.910683255331084E-2</v>
      </c>
      <c r="DB81" s="203">
        <v>6.4074707959081545E-2</v>
      </c>
      <c r="DC81" s="203">
        <v>0.1067302813397506</v>
      </c>
      <c r="DD81" s="203">
        <v>6.2879882132213849E-2</v>
      </c>
      <c r="DE81" s="203">
        <v>2.9474213204347066E-2</v>
      </c>
      <c r="DF81" s="291">
        <v>3.7455811701915476E-2</v>
      </c>
      <c r="DG81" s="291">
        <v>4.306151617159526E-2</v>
      </c>
      <c r="DH81" s="291">
        <v>4.517456886424509E-2</v>
      </c>
      <c r="DI81" s="291">
        <v>0.10060982737443336</v>
      </c>
      <c r="DJ81" s="291">
        <v>5.7850929078894886E-2</v>
      </c>
      <c r="DK81" s="291">
        <v>4.62119000508181E-2</v>
      </c>
      <c r="DL81" s="222">
        <v>4.8311967483947837E-2</v>
      </c>
      <c r="DM81" s="221">
        <v>5.4699999999999971E-2</v>
      </c>
      <c r="DN81" s="221">
        <v>4.4699999999999962E-2</v>
      </c>
      <c r="DO81" s="221">
        <v>4.4699999999999962E-2</v>
      </c>
      <c r="DP81" s="221">
        <v>4.4699999999999962E-2</v>
      </c>
      <c r="DQ81" s="221">
        <v>4.4699999999999962E-2</v>
      </c>
      <c r="DR81" s="221">
        <v>4.4699999999999962E-2</v>
      </c>
      <c r="DS81" s="221">
        <v>4.4699999999999962E-2</v>
      </c>
      <c r="DT81" s="221">
        <v>4.4699999999999962E-2</v>
      </c>
      <c r="DU81" s="221">
        <v>4.4699999999999962E-2</v>
      </c>
      <c r="DV81" s="221">
        <v>4.4699999999999962E-2</v>
      </c>
      <c r="DW81" s="221">
        <v>4.4699999999999962E-2</v>
      </c>
      <c r="DX81" s="221">
        <v>4.4699999999999962E-2</v>
      </c>
      <c r="DY81" s="221">
        <v>4.4699999999999962E-2</v>
      </c>
      <c r="DZ81" s="221">
        <v>4.4699999999999962E-2</v>
      </c>
      <c r="EA81" s="221">
        <v>4.4699999999999962E-2</v>
      </c>
      <c r="EB81" s="221">
        <v>4.4699999999999962E-2</v>
      </c>
    </row>
    <row r="82" spans="1:132" x14ac:dyDescent="0.25">
      <c r="A82" s="216" t="s">
        <v>241</v>
      </c>
      <c r="B82" s="216"/>
      <c r="C82" s="216"/>
      <c r="D82" s="216"/>
      <c r="E82" s="216"/>
      <c r="F82" s="203"/>
      <c r="G82" s="203">
        <v>4.3352601156069426E-2</v>
      </c>
      <c r="H82" s="203">
        <v>3.8571428571428701E-2</v>
      </c>
      <c r="I82" s="203">
        <v>7.2237960339943452E-2</v>
      </c>
      <c r="J82" s="203">
        <v>0.10292072322670354</v>
      </c>
      <c r="K82" s="203">
        <v>8.8642659279778213E-2</v>
      </c>
      <c r="L82" s="203">
        <v>9.3535075653369937E-2</v>
      </c>
      <c r="M82" s="203">
        <v>4.8877146631439938E-2</v>
      </c>
      <c r="N82" s="203">
        <v>3.2786885245901676E-2</v>
      </c>
      <c r="O82" s="203">
        <v>3.9440203562341125E-2</v>
      </c>
      <c r="P82" s="203">
        <v>2.7672955974842761E-2</v>
      </c>
      <c r="Q82" s="203">
        <v>4.0302267002518821E-2</v>
      </c>
      <c r="R82" s="203">
        <v>1.098901098901095E-2</v>
      </c>
      <c r="S82" s="203">
        <v>1.7135862913096656E-2</v>
      </c>
      <c r="T82" s="203">
        <v>3.1823745410036741E-2</v>
      </c>
      <c r="U82" s="203">
        <v>3.7530266343825724E-2</v>
      </c>
      <c r="V82" s="203">
        <v>6.1594202898550776E-2</v>
      </c>
      <c r="W82" s="203">
        <v>6.3778580024067555E-2</v>
      </c>
      <c r="X82" s="203">
        <v>4.1518386714116229E-2</v>
      </c>
      <c r="Y82" s="203">
        <v>4.200700116686118E-2</v>
      </c>
      <c r="Z82" s="203">
        <v>2.6166097838452806E-2</v>
      </c>
      <c r="AA82" s="203">
        <v>2.488687782805421E-2</v>
      </c>
      <c r="AB82" s="203">
        <v>3.758542141230059E-2</v>
      </c>
      <c r="AC82" s="203">
        <v>3.1354983202687592E-2</v>
      </c>
      <c r="AD82" s="203">
        <v>4.7671840354767125E-2</v>
      </c>
      <c r="AE82" s="203">
        <v>4.635761589403975E-2</v>
      </c>
      <c r="AF82" s="203">
        <v>3.5126234906695863E-2</v>
      </c>
      <c r="AG82" s="203">
        <v>3.9087947882736174E-2</v>
      </c>
      <c r="AH82" s="203">
        <v>2.7513227513227489E-2</v>
      </c>
      <c r="AI82" s="203">
        <v>2.9535864978902815E-2</v>
      </c>
      <c r="AJ82" s="203">
        <v>4.2417815482502563E-2</v>
      </c>
      <c r="AK82" s="203">
        <v>4.4932079414838011E-2</v>
      </c>
      <c r="AL82" s="203">
        <v>4.1194644696189497E-2</v>
      </c>
      <c r="AM82" s="203">
        <v>4.4057377049180557E-2</v>
      </c>
      <c r="AN82" s="203">
        <v>3.9674465920651159E-2</v>
      </c>
      <c r="AO82" s="203">
        <v>3.2000000000000028E-2</v>
      </c>
      <c r="AP82" s="203">
        <v>2.7695351137487778E-2</v>
      </c>
      <c r="AQ82" s="203">
        <v>2.8459273797840856E-2</v>
      </c>
      <c r="AR82" s="291">
        <v>2.6418786692759433E-2</v>
      </c>
      <c r="AS82" s="291">
        <v>2.8100775193798277E-2</v>
      </c>
      <c r="AT82" s="291">
        <v>2.5024061597689995E-2</v>
      </c>
      <c r="AU82" s="291">
        <v>4.7709923664123188E-3</v>
      </c>
      <c r="AV82" s="291">
        <v>1.6205910390848288E-2</v>
      </c>
      <c r="AW82" s="291">
        <v>2.1677662582469504E-2</v>
      </c>
      <c r="AX82" s="291">
        <v>2.4413145539906145E-2</v>
      </c>
      <c r="AY82" s="291">
        <v>4.4634377967711414E-2</v>
      </c>
      <c r="AZ82" s="291">
        <v>6.3789868667917471E-2</v>
      </c>
      <c r="BA82" s="291">
        <v>6.8265682656826421E-2</v>
      </c>
      <c r="BB82" s="291">
        <v>0.10082493125572878</v>
      </c>
      <c r="BC82" s="291">
        <v>0.11545454545454548</v>
      </c>
      <c r="BD82" s="291">
        <v>9.347442680776008E-2</v>
      </c>
      <c r="BE82" s="291">
        <v>8.1174438687392048E-2</v>
      </c>
      <c r="BF82" s="291">
        <v>6.4113238967527186E-2</v>
      </c>
      <c r="BG82" s="291">
        <v>4.2379788101059468E-2</v>
      </c>
      <c r="BH82" s="291">
        <v>3.4677419354838701E-2</v>
      </c>
      <c r="BI82" s="291">
        <v>3.6741214057508076E-2</v>
      </c>
      <c r="BJ82" s="291">
        <v>3.5993740219092407E-2</v>
      </c>
      <c r="BK82" s="291">
        <v>4.300234558248639E-2</v>
      </c>
      <c r="BL82" s="291">
        <v>4.0530007794232104E-2</v>
      </c>
      <c r="BM82" s="291">
        <v>3.7750385208012105E-2</v>
      </c>
      <c r="BN82" s="291">
        <v>4.3806646525679671E-2</v>
      </c>
      <c r="BO82" s="222">
        <v>3.9730134932533634E-2</v>
      </c>
      <c r="BP82" s="221">
        <v>5.0988883080980818E-2</v>
      </c>
      <c r="BQ82" s="221">
        <v>5.638741963894911E-2</v>
      </c>
      <c r="BR82" s="221">
        <v>4.7787884205166664E-2</v>
      </c>
      <c r="BS82" s="221">
        <v>4.9641201732725682E-2</v>
      </c>
      <c r="BT82" s="221">
        <v>4.9598747904392004E-2</v>
      </c>
      <c r="BU82" s="221">
        <v>4.9091485826312953E-2</v>
      </c>
      <c r="BV82" s="221"/>
      <c r="BW82" s="221"/>
      <c r="BX82" s="221"/>
      <c r="BY82" s="221"/>
      <c r="BZ82" s="221"/>
      <c r="CA82" s="221"/>
      <c r="CB82" s="221"/>
      <c r="CC82" s="221"/>
      <c r="CD82" s="221"/>
      <c r="CE82" s="221"/>
      <c r="CF82" s="221"/>
      <c r="CG82" s="221"/>
      <c r="CH82" s="221"/>
      <c r="CI82" s="221"/>
      <c r="CJ82" s="221"/>
      <c r="CK82" s="221"/>
      <c r="CL82" s="221"/>
      <c r="CM82" s="221"/>
      <c r="CN82" s="221"/>
      <c r="CO82" s="221"/>
      <c r="CP82" s="221"/>
      <c r="CQ82" s="221"/>
      <c r="CR82" s="221"/>
      <c r="CS82" s="221"/>
      <c r="CT82" s="221"/>
      <c r="CU82" s="221"/>
      <c r="CV82" s="276"/>
      <c r="CW82" s="276"/>
      <c r="CX82" s="216"/>
      <c r="CY82" s="216"/>
      <c r="CZ82" s="203">
        <v>4.0302267002518821E-2</v>
      </c>
      <c r="DA82" s="203">
        <v>3.7530266343825724E-2</v>
      </c>
      <c r="DB82" s="203">
        <v>4.200700116686118E-2</v>
      </c>
      <c r="DC82" s="203">
        <v>3.1354983202687592E-2</v>
      </c>
      <c r="DD82" s="203">
        <v>3.9087947882736174E-2</v>
      </c>
      <c r="DE82" s="203">
        <v>4.4932079414838011E-2</v>
      </c>
      <c r="DF82" s="291">
        <v>3.2000000000000028E-2</v>
      </c>
      <c r="DG82" s="291">
        <v>2.8100775193798277E-2</v>
      </c>
      <c r="DH82" s="291">
        <v>2.1677662582469504E-2</v>
      </c>
      <c r="DI82" s="291">
        <v>6.8265682656826421E-2</v>
      </c>
      <c r="DJ82" s="291">
        <v>8.1174438687392048E-2</v>
      </c>
      <c r="DK82" s="291">
        <v>3.6741214057508076E-2</v>
      </c>
      <c r="DL82" s="222">
        <v>3.7750385208012105E-2</v>
      </c>
      <c r="DM82" s="221">
        <v>5.638741963894911E-2</v>
      </c>
      <c r="DN82" s="221">
        <v>4.9091485826312953E-2</v>
      </c>
      <c r="DO82" s="221">
        <v>4.9091485826312953E-2</v>
      </c>
      <c r="DP82" s="221">
        <v>4.9091485826312953E-2</v>
      </c>
      <c r="DQ82" s="221">
        <v>4.9091485826312953E-2</v>
      </c>
      <c r="DR82" s="221">
        <v>4.9091485826312953E-2</v>
      </c>
      <c r="DS82" s="221">
        <v>4.9091485826312953E-2</v>
      </c>
      <c r="DT82" s="221">
        <v>4.9091485826312953E-2</v>
      </c>
      <c r="DU82" s="221">
        <v>4.9091485826312953E-2</v>
      </c>
      <c r="DV82" s="221">
        <v>4.9091485826312953E-2</v>
      </c>
      <c r="DW82" s="221">
        <v>4.9091485826312953E-2</v>
      </c>
      <c r="DX82" s="221">
        <v>4.9091485826312953E-2</v>
      </c>
      <c r="DY82" s="221">
        <v>4.9091485826312953E-2</v>
      </c>
      <c r="DZ82" s="221">
        <v>4.9091485826312953E-2</v>
      </c>
      <c r="EA82" s="221">
        <v>4.9091485826312953E-2</v>
      </c>
      <c r="EB82" s="221">
        <v>4.9091485826312953E-2</v>
      </c>
    </row>
    <row r="83" spans="1:132" x14ac:dyDescent="0.25">
      <c r="A83" s="216" t="s">
        <v>242</v>
      </c>
      <c r="B83" s="216"/>
      <c r="C83" s="216"/>
      <c r="D83" s="216"/>
      <c r="E83" s="216"/>
      <c r="F83" s="203"/>
      <c r="G83" s="203">
        <v>3.6931065241367023E-2</v>
      </c>
      <c r="H83" s="203">
        <v>3.6991114741010023E-2</v>
      </c>
      <c r="I83" s="203">
        <v>4.4015833494724266E-2</v>
      </c>
      <c r="J83" s="203">
        <v>3.0396096323702437E-2</v>
      </c>
      <c r="K83" s="203">
        <v>3.2764335341453954E-2</v>
      </c>
      <c r="L83" s="203">
        <v>3.1367705410181079E-2</v>
      </c>
      <c r="M83" s="203">
        <v>3.8187132161588755E-2</v>
      </c>
      <c r="N83" s="203">
        <v>3.7292254055874219E-2</v>
      </c>
      <c r="O83" s="203">
        <v>4.3352781898863046E-2</v>
      </c>
      <c r="P83" s="203">
        <v>4.771758784823743E-2</v>
      </c>
      <c r="Q83" s="203">
        <v>3.5682148898864119E-2</v>
      </c>
      <c r="R83" s="203">
        <v>4.2522094938852284E-2</v>
      </c>
      <c r="S83" s="203">
        <v>4.0879336136415034E-2</v>
      </c>
      <c r="T83" s="203">
        <v>3.3902700307531175E-2</v>
      </c>
      <c r="U83" s="203">
        <v>3.9741486095010048E-2</v>
      </c>
      <c r="V83" s="203">
        <v>3.7586979193380277E-2</v>
      </c>
      <c r="W83" s="203">
        <v>3.7526709401709324E-2</v>
      </c>
      <c r="X83" s="203">
        <v>4.2175855296880727E-2</v>
      </c>
      <c r="Y83" s="203">
        <v>4.0812891473210433E-2</v>
      </c>
      <c r="Z83" s="203">
        <v>3.1370453585169544E-2</v>
      </c>
      <c r="AA83" s="203">
        <v>2.8707365547146368E-2</v>
      </c>
      <c r="AB83" s="203">
        <v>2.5189172896491918E-2</v>
      </c>
      <c r="AC83" s="203">
        <v>2.1307733773755944E-2</v>
      </c>
      <c r="AD83" s="203">
        <v>2.6010290914028955E-2</v>
      </c>
      <c r="AE83" s="203">
        <v>2.537965013298793E-2</v>
      </c>
      <c r="AF83" s="203">
        <v>2.9689216477270186E-2</v>
      </c>
      <c r="AG83" s="203">
        <v>3.3602555060934236E-2</v>
      </c>
      <c r="AH83" s="203">
        <v>5.3525747970192494E-2</v>
      </c>
      <c r="AI83" s="203">
        <v>6.3136447091487247E-2</v>
      </c>
      <c r="AJ83" s="203">
        <v>6.3478818075272114E-2</v>
      </c>
      <c r="AK83" s="203">
        <v>6.7731070524451598E-2</v>
      </c>
      <c r="AL83" s="203">
        <v>5.0354456438544082E-2</v>
      </c>
      <c r="AM83" s="203">
        <v>4.646938405873402E-2</v>
      </c>
      <c r="AN83" s="203">
        <v>5.0195902948690474E-2</v>
      </c>
      <c r="AO83" s="203">
        <v>4.8305280499506775E-2</v>
      </c>
      <c r="AP83" s="203">
        <v>4.0041329873095499E-2</v>
      </c>
      <c r="AQ83" s="203">
        <v>3.9471102322983898E-2</v>
      </c>
      <c r="AR83" s="291">
        <v>2.9975128075547142E-2</v>
      </c>
      <c r="AS83" s="291">
        <v>2.8285769753445988E-2</v>
      </c>
      <c r="AT83" s="291">
        <v>3.249062584560658E-2</v>
      </c>
      <c r="AU83" s="291">
        <v>3.3340109778410065E-2</v>
      </c>
      <c r="AV83" s="291">
        <v>4.0137769140482282E-2</v>
      </c>
      <c r="AW83" s="291">
        <v>3.1500745747352177E-2</v>
      </c>
      <c r="AX83" s="291">
        <v>4.6668788258859228E-2</v>
      </c>
      <c r="AY83" s="291">
        <v>5.8786056228511629E-2</v>
      </c>
      <c r="AZ83" s="291">
        <v>6.0001479919344236E-2</v>
      </c>
      <c r="BA83" s="291">
        <v>7.3551079426380284E-2</v>
      </c>
      <c r="BB83" s="291">
        <v>7.453677207039644E-2</v>
      </c>
      <c r="BC83" s="291">
        <v>7.9863384593604536E-2</v>
      </c>
      <c r="BD83" s="291">
        <v>8.6997495658851065E-2</v>
      </c>
      <c r="BE83" s="291">
        <v>7.8170286766460872E-2</v>
      </c>
      <c r="BF83" s="291">
        <v>6.8492580663953584E-2</v>
      </c>
      <c r="BG83" s="291">
        <v>5.0555537347186208E-2</v>
      </c>
      <c r="BH83" s="291">
        <v>4.4544878021369305E-2</v>
      </c>
      <c r="BI83" s="291">
        <v>4.6608896408861566E-2</v>
      </c>
      <c r="BJ83" s="291">
        <v>4.4209394885854625E-2</v>
      </c>
      <c r="BK83" s="291">
        <v>4.9760556569485415E-2</v>
      </c>
      <c r="BL83" s="291">
        <v>4.5803873347679103E-2</v>
      </c>
      <c r="BM83" s="291">
        <v>4.2123393743437321E-2</v>
      </c>
      <c r="BN83" s="291">
        <v>3.8011412374594489E-2</v>
      </c>
      <c r="BO83" s="222">
        <v>4.3174287115324672E-2</v>
      </c>
      <c r="BP83" s="221">
        <v>3.4999999999999698E-2</v>
      </c>
      <c r="BQ83" s="221">
        <v>3.499999999999992E-2</v>
      </c>
      <c r="BR83" s="221">
        <v>3.5000000000000142E-2</v>
      </c>
      <c r="BS83" s="221">
        <v>3.499999999999992E-2</v>
      </c>
      <c r="BT83" s="221">
        <v>3.499999999999992E-2</v>
      </c>
      <c r="BU83" s="221">
        <v>3.5000000000000142E-2</v>
      </c>
      <c r="BV83" s="221"/>
      <c r="BW83" s="221"/>
      <c r="BX83" s="221"/>
      <c r="BY83" s="221"/>
      <c r="BZ83" s="221"/>
      <c r="CA83" s="221"/>
      <c r="CB83" s="221"/>
      <c r="CC83" s="221"/>
      <c r="CD83" s="221"/>
      <c r="CE83" s="221"/>
      <c r="CF83" s="221"/>
      <c r="CG83" s="221"/>
      <c r="CH83" s="221"/>
      <c r="CI83" s="221"/>
      <c r="CJ83" s="221"/>
      <c r="CK83" s="221"/>
      <c r="CL83" s="221"/>
      <c r="CM83" s="221"/>
      <c r="CN83" s="221"/>
      <c r="CO83" s="221"/>
      <c r="CP83" s="221"/>
      <c r="CQ83" s="221"/>
      <c r="CR83" s="221"/>
      <c r="CS83" s="221"/>
      <c r="CT83" s="221"/>
      <c r="CU83" s="221"/>
      <c r="CV83" s="276"/>
      <c r="CW83" s="276"/>
      <c r="CX83" s="216"/>
      <c r="CY83" s="216"/>
      <c r="CZ83" s="203">
        <v>3.5682148898864119E-2</v>
      </c>
      <c r="DA83" s="203">
        <v>3.9741486095010048E-2</v>
      </c>
      <c r="DB83" s="203">
        <v>4.0812891473210433E-2</v>
      </c>
      <c r="DC83" s="203">
        <v>2.1307733773755944E-2</v>
      </c>
      <c r="DD83" s="203">
        <v>3.3602555060934236E-2</v>
      </c>
      <c r="DE83" s="203">
        <v>6.7731070524451598E-2</v>
      </c>
      <c r="DF83" s="291">
        <v>4.8305280499506775E-2</v>
      </c>
      <c r="DG83" s="291">
        <v>2.8285769753445988E-2</v>
      </c>
      <c r="DH83" s="291">
        <v>3.1500745747352177E-2</v>
      </c>
      <c r="DI83" s="291">
        <v>7.3551079426380284E-2</v>
      </c>
      <c r="DJ83" s="291">
        <v>7.8170286766460872E-2</v>
      </c>
      <c r="DK83" s="291">
        <v>4.6608896408861566E-2</v>
      </c>
      <c r="DL83" s="222">
        <v>4.2123393743437321E-2</v>
      </c>
      <c r="DM83" s="221">
        <v>3.499999999999992E-2</v>
      </c>
      <c r="DN83" s="221">
        <v>3.5000000000000142E-2</v>
      </c>
      <c r="DO83" s="221">
        <v>3.5000000000000142E-2</v>
      </c>
      <c r="DP83" s="221">
        <v>3.5000000000000142E-2</v>
      </c>
      <c r="DQ83" s="221">
        <v>3.5000000000000142E-2</v>
      </c>
      <c r="DR83" s="221">
        <v>3.5000000000000142E-2</v>
      </c>
      <c r="DS83" s="221">
        <v>3.5000000000000142E-2</v>
      </c>
      <c r="DT83" s="221">
        <v>3.5000000000000142E-2</v>
      </c>
      <c r="DU83" s="221">
        <v>3.5000000000000142E-2</v>
      </c>
      <c r="DV83" s="221">
        <v>3.5000000000000142E-2</v>
      </c>
      <c r="DW83" s="221">
        <v>3.5000000000000142E-2</v>
      </c>
      <c r="DX83" s="221">
        <v>3.5000000000000142E-2</v>
      </c>
      <c r="DY83" s="221">
        <v>3.5000000000000142E-2</v>
      </c>
      <c r="DZ83" s="221">
        <v>3.5000000000000142E-2</v>
      </c>
      <c r="EA83" s="221">
        <v>3.5000000000000142E-2</v>
      </c>
      <c r="EB83" s="221">
        <v>3.5000000000000142E-2</v>
      </c>
    </row>
    <row r="84" spans="1:132" x14ac:dyDescent="0.25">
      <c r="A84" s="216" t="s">
        <v>243</v>
      </c>
      <c r="B84" s="216"/>
      <c r="C84" s="216"/>
      <c r="D84" s="216"/>
      <c r="E84" s="216"/>
      <c r="F84" s="203"/>
      <c r="G84" s="203">
        <v>6.183491515674433E-2</v>
      </c>
      <c r="H84" s="203">
        <v>6.3149031714847093E-2</v>
      </c>
      <c r="I84" s="203">
        <v>6.9235064209938413E-2</v>
      </c>
      <c r="J84" s="203">
        <v>8.1743869209809361E-2</v>
      </c>
      <c r="K84" s="203">
        <v>8.613217768147341E-2</v>
      </c>
      <c r="L84" s="203">
        <v>7.8141499472016873E-2</v>
      </c>
      <c r="M84" s="203">
        <v>8.5900783289817317E-2</v>
      </c>
      <c r="N84" s="203">
        <v>7.4811083123425659E-2</v>
      </c>
      <c r="O84" s="203">
        <v>8.0049875311720697E-2</v>
      </c>
      <c r="P84" s="203">
        <v>8.6434867776689295E-2</v>
      </c>
      <c r="Q84" s="203">
        <v>7.4777590767011182E-2</v>
      </c>
      <c r="R84" s="203">
        <v>8.5305835481602976E-2</v>
      </c>
      <c r="S84" s="203">
        <v>8.2198106672823679E-2</v>
      </c>
      <c r="T84" s="203">
        <v>9.015100292990752E-2</v>
      </c>
      <c r="U84" s="203">
        <v>8.5234899328858971E-2</v>
      </c>
      <c r="V84" s="203">
        <v>9.7387173396674465E-2</v>
      </c>
      <c r="W84" s="203">
        <v>9.0676338809473123E-2</v>
      </c>
      <c r="X84" s="203">
        <v>8.3522844738474156E-2</v>
      </c>
      <c r="Y84" s="203">
        <v>8.2663368377654312E-2</v>
      </c>
      <c r="Z84" s="203">
        <v>7.5364029909484431E-2</v>
      </c>
      <c r="AA84" s="203">
        <v>8.5289514866979665E-2</v>
      </c>
      <c r="AB84" s="203">
        <v>9.1394771990078283E-2</v>
      </c>
      <c r="AC84" s="203">
        <v>9.4440213252094285E-2</v>
      </c>
      <c r="AD84" s="203">
        <v>0.10594693504117103</v>
      </c>
      <c r="AE84" s="203">
        <v>0.10940879596250896</v>
      </c>
      <c r="AF84" s="203">
        <v>8.9160839160839167E-2</v>
      </c>
      <c r="AG84" s="203">
        <v>8.0897703549060562E-2</v>
      </c>
      <c r="AH84" s="203">
        <v>6.7174056915949798E-2</v>
      </c>
      <c r="AI84" s="203">
        <v>5.3127538586514866E-2</v>
      </c>
      <c r="AJ84" s="203">
        <v>5.7463884430176471E-2</v>
      </c>
      <c r="AK84" s="203">
        <v>6.5507806212779629E-2</v>
      </c>
      <c r="AL84" s="203">
        <v>6.6511627906976845E-2</v>
      </c>
      <c r="AM84" s="203">
        <v>8.1147793890774533E-2</v>
      </c>
      <c r="AN84" s="203">
        <v>8.272616879174266E-2</v>
      </c>
      <c r="AO84" s="203">
        <v>7.9607250755286962E-2</v>
      </c>
      <c r="AP84" s="203">
        <v>7.7772932112225579E-2</v>
      </c>
      <c r="AQ84" s="203">
        <v>7.3630136986301276E-2</v>
      </c>
      <c r="AR84" s="291">
        <v>7.7667180709378947E-2</v>
      </c>
      <c r="AS84" s="291">
        <v>8.8008954806212403E-2</v>
      </c>
      <c r="AT84" s="291">
        <v>9.1583490693283087E-2</v>
      </c>
      <c r="AU84" s="291">
        <v>0.10353535353535359</v>
      </c>
      <c r="AV84" s="291">
        <v>9.9258488356966268E-2</v>
      </c>
      <c r="AW84" s="291">
        <v>9.4007201646090444E-2</v>
      </c>
      <c r="AX84" s="291">
        <v>8.3528975657976012E-2</v>
      </c>
      <c r="AY84" s="291">
        <v>7.3346983018186318E-2</v>
      </c>
      <c r="AZ84" s="291">
        <v>7.4082840236686431E-2</v>
      </c>
      <c r="BA84" s="291">
        <v>7.969907135300347E-2</v>
      </c>
      <c r="BB84" s="291">
        <v>9.3739308929182252E-2</v>
      </c>
      <c r="BC84" s="291">
        <v>9.290843806104121E-2</v>
      </c>
      <c r="BD84" s="291">
        <v>9.9493168796826792E-2</v>
      </c>
      <c r="BE84" s="291">
        <v>8.2961350027218383E-2</v>
      </c>
      <c r="BF84" s="291">
        <v>7.3297883432384525E-2</v>
      </c>
      <c r="BG84" s="291">
        <v>5.9753593429157981E-2</v>
      </c>
      <c r="BH84" s="291">
        <v>3.8781441026154884E-2</v>
      </c>
      <c r="BI84" s="291">
        <v>5.107067457524872E-2</v>
      </c>
      <c r="BJ84" s="291">
        <v>3.7983291237614125E-2</v>
      </c>
      <c r="BK84" s="291">
        <v>4.9602790156946464E-2</v>
      </c>
      <c r="BL84" s="291">
        <v>5.3154543700559609E-2</v>
      </c>
      <c r="BM84" s="291">
        <v>5.4901960784313752E-2</v>
      </c>
      <c r="BN84" s="291">
        <v>5.6808610201216636E-2</v>
      </c>
      <c r="BO84" s="222">
        <v>4.5874100055381284E-2</v>
      </c>
      <c r="BP84" s="221">
        <v>5.7022516395541345E-2</v>
      </c>
      <c r="BQ84" s="221">
        <v>5.5271586667731132E-2</v>
      </c>
      <c r="BR84" s="221">
        <v>6.6649067639212634E-2</v>
      </c>
      <c r="BS84" s="221">
        <v>7.9491566808314484E-2</v>
      </c>
      <c r="BT84" s="221">
        <v>7.8752004055807401E-2</v>
      </c>
      <c r="BU84" s="221">
        <v>7.8752004055807401E-2</v>
      </c>
      <c r="BV84" s="221"/>
      <c r="BW84" s="221"/>
      <c r="BX84" s="221"/>
      <c r="BY84" s="221"/>
      <c r="BZ84" s="221"/>
      <c r="CA84" s="221"/>
      <c r="CB84" s="221"/>
      <c r="CC84" s="221"/>
      <c r="CD84" s="221"/>
      <c r="CE84" s="221"/>
      <c r="CF84" s="221"/>
      <c r="CG84" s="221"/>
      <c r="CH84" s="221"/>
      <c r="CI84" s="221"/>
      <c r="CJ84" s="221"/>
      <c r="CK84" s="221"/>
      <c r="CL84" s="221"/>
      <c r="CM84" s="221"/>
      <c r="CN84" s="221"/>
      <c r="CO84" s="221"/>
      <c r="CP84" s="221"/>
      <c r="CQ84" s="221"/>
      <c r="CR84" s="221"/>
      <c r="CS84" s="221"/>
      <c r="CT84" s="221"/>
      <c r="CU84" s="221"/>
      <c r="CV84" s="276"/>
      <c r="CW84" s="276"/>
      <c r="CX84" s="216"/>
      <c r="CY84" s="216"/>
      <c r="CZ84" s="203">
        <v>7.4777590767011182E-2</v>
      </c>
      <c r="DA84" s="203">
        <v>8.5234899328858971E-2</v>
      </c>
      <c r="DB84" s="203">
        <v>8.2663368377654312E-2</v>
      </c>
      <c r="DC84" s="203">
        <v>9.4440213252094285E-2</v>
      </c>
      <c r="DD84" s="203">
        <v>8.0897703549060562E-2</v>
      </c>
      <c r="DE84" s="203">
        <v>6.5507806212779629E-2</v>
      </c>
      <c r="DF84" s="291">
        <v>7.9607250755286962E-2</v>
      </c>
      <c r="DG84" s="291">
        <v>8.8008954806212403E-2</v>
      </c>
      <c r="DH84" s="291">
        <v>9.4007201646090444E-2</v>
      </c>
      <c r="DI84" s="291">
        <v>7.969907135300347E-2</v>
      </c>
      <c r="DJ84" s="291">
        <v>8.2961350027218383E-2</v>
      </c>
      <c r="DK84" s="291">
        <v>5.107067457524872E-2</v>
      </c>
      <c r="DL84" s="222">
        <v>5.4901960784313752E-2</v>
      </c>
      <c r="DM84" s="221">
        <v>5.5271586667731132E-2</v>
      </c>
      <c r="DN84" s="221">
        <v>7.8752004055807401E-2</v>
      </c>
      <c r="DO84" s="221">
        <v>7.8752004055807401E-2</v>
      </c>
      <c r="DP84" s="221">
        <v>7.8752004055807401E-2</v>
      </c>
      <c r="DQ84" s="221">
        <v>7.8752004055807401E-2</v>
      </c>
      <c r="DR84" s="221">
        <v>7.8752004055807401E-2</v>
      </c>
      <c r="DS84" s="221">
        <v>7.8752004055807401E-2</v>
      </c>
      <c r="DT84" s="221">
        <v>7.8752004055807401E-2</v>
      </c>
      <c r="DU84" s="221">
        <v>7.8752004055807401E-2</v>
      </c>
      <c r="DV84" s="221">
        <v>7.8752004055807401E-2</v>
      </c>
      <c r="DW84" s="221">
        <v>7.8752004055807401E-2</v>
      </c>
      <c r="DX84" s="221">
        <v>7.8752004055807401E-2</v>
      </c>
      <c r="DY84" s="221">
        <v>7.8752004055807401E-2</v>
      </c>
      <c r="DZ84" s="221">
        <v>7.8752004055807401E-2</v>
      </c>
      <c r="EA84" s="221">
        <v>7.8752004055807401E-2</v>
      </c>
      <c r="EB84" s="221">
        <v>7.8752004055807401E-2</v>
      </c>
    </row>
    <row r="85" spans="1:132" x14ac:dyDescent="0.25">
      <c r="A85" s="233" t="s">
        <v>244</v>
      </c>
      <c r="B85" s="216"/>
      <c r="C85" s="216"/>
      <c r="D85" s="216"/>
      <c r="E85" s="216"/>
      <c r="F85" s="203"/>
      <c r="G85" s="203">
        <v>1.4997575449696265E-2</v>
      </c>
      <c r="H85" s="203">
        <v>2.1286247688173887E-2</v>
      </c>
      <c r="I85" s="203">
        <v>2.9874412565637387E-2</v>
      </c>
      <c r="J85" s="203">
        <v>3.5953785246828796E-2</v>
      </c>
      <c r="K85" s="203">
        <v>3.1849669559678384E-2</v>
      </c>
      <c r="L85" s="203">
        <v>3.141194291636773E-2</v>
      </c>
      <c r="M85" s="203">
        <v>2.3775256328725458E-2</v>
      </c>
      <c r="N85" s="203">
        <v>1.8985226285179513E-2</v>
      </c>
      <c r="O85" s="203">
        <v>1.8960898658406222E-2</v>
      </c>
      <c r="P85" s="203">
        <v>3.4121401517242855E-2</v>
      </c>
      <c r="Q85" s="203">
        <v>2.8682897059785217E-2</v>
      </c>
      <c r="R85" s="203">
        <v>2.4273436987469754E-2</v>
      </c>
      <c r="S85" s="203">
        <v>2.063115986714692E-2</v>
      </c>
      <c r="T85" s="203">
        <v>3.4170145970591204E-3</v>
      </c>
      <c r="U85" s="203">
        <v>2.521346695764537E-3</v>
      </c>
      <c r="V85" s="203">
        <v>-1.4624564999252687E-3</v>
      </c>
      <c r="W85" s="203">
        <v>8.585965656138228E-4</v>
      </c>
      <c r="X85" s="203">
        <v>-1.5430620736625045E-3</v>
      </c>
      <c r="Y85" s="203">
        <v>-1.0419308479161393E-2</v>
      </c>
      <c r="Z85" s="203">
        <v>-6.6388000983524931E-3</v>
      </c>
      <c r="AA85" s="203">
        <v>5.6131580898322042E-4</v>
      </c>
      <c r="AB85" s="203">
        <v>-8.7930593451569505E-3</v>
      </c>
      <c r="AC85" s="203">
        <v>1.8153471584470005E-4</v>
      </c>
      <c r="AD85" s="203">
        <v>-8.4050796383986492E-3</v>
      </c>
      <c r="AE85" s="203">
        <v>-7.9492770497703313E-3</v>
      </c>
      <c r="AF85" s="203">
        <v>1.7849654297359407E-3</v>
      </c>
      <c r="AG85" s="203">
        <v>1.5683887981380096E-2</v>
      </c>
      <c r="AH85" s="203">
        <v>2.2900183418530728E-2</v>
      </c>
      <c r="AI85" s="203">
        <v>1.5097681465595425E-2</v>
      </c>
      <c r="AJ85" s="203">
        <v>1.7925186497074863E-2</v>
      </c>
      <c r="AK85" s="203">
        <v>1.1121389227599421E-2</v>
      </c>
      <c r="AL85" s="203">
        <v>1.2138059820263392E-2</v>
      </c>
      <c r="AM85" s="203">
        <v>2.2745905947150424E-2</v>
      </c>
      <c r="AN85" s="203">
        <v>2.2597142405230253E-2</v>
      </c>
      <c r="AO85" s="203">
        <v>1.1841147728454127E-2</v>
      </c>
      <c r="AP85" s="203">
        <v>1.3376243539882315E-2</v>
      </c>
      <c r="AQ85" s="203">
        <v>4.285626194733716E-3</v>
      </c>
      <c r="AR85" s="291">
        <v>8.3524098249099232E-4</v>
      </c>
      <c r="AS85" s="291">
        <v>7.8804878299376657E-3</v>
      </c>
      <c r="AT85" s="291">
        <v>-1.7585782412143924E-4</v>
      </c>
      <c r="AU85" s="291">
        <v>-3.4179637532105733E-3</v>
      </c>
      <c r="AV85" s="291">
        <v>-3.6987811537312343E-3</v>
      </c>
      <c r="AW85" s="291">
        <v>-5.3213178926766469E-3</v>
      </c>
      <c r="AX85" s="291">
        <v>1.3419277407606733E-2</v>
      </c>
      <c r="AY85" s="291">
        <v>2.7324536632951757E-2</v>
      </c>
      <c r="AZ85" s="291">
        <v>4.0072388831437378E-2</v>
      </c>
      <c r="BA85" s="291">
        <v>6.5499005882714734E-2</v>
      </c>
      <c r="BB85" s="291">
        <v>9.8183748685540584E-2</v>
      </c>
      <c r="BC85" s="291">
        <v>0.10216300501769182</v>
      </c>
      <c r="BD85" s="291">
        <v>8.8719860800397621E-2</v>
      </c>
      <c r="BE85" s="291">
        <v>5.7076900880103754E-2</v>
      </c>
      <c r="BF85" s="291">
        <v>3.29565104215086E-2</v>
      </c>
      <c r="BG85" s="291">
        <v>1.8926786799314366E-2</v>
      </c>
      <c r="BH85" s="291">
        <v>3.5160459551772494E-2</v>
      </c>
      <c r="BI85" s="291">
        <v>3.101939053130609E-2</v>
      </c>
      <c r="BJ85" s="291">
        <v>3.2067032067031986E-2</v>
      </c>
      <c r="BK85" s="291">
        <v>3.4337896292076842E-2</v>
      </c>
      <c r="BL85" s="291">
        <v>1.4653985954758753E-2</v>
      </c>
      <c r="BM85" s="291">
        <v>2.847107000388327E-2</v>
      </c>
      <c r="BN85" s="291">
        <v>2.2550883373737785E-2</v>
      </c>
      <c r="BO85" s="222">
        <v>2.2846177675283075E-2</v>
      </c>
      <c r="BP85" s="221">
        <v>2.2999999999999909E-2</v>
      </c>
      <c r="BQ85" s="221">
        <v>2.3500000000000298E-2</v>
      </c>
      <c r="BR85" s="221">
        <v>1.9000000000000128E-2</v>
      </c>
      <c r="BS85" s="221">
        <v>1.8999999999999684E-2</v>
      </c>
      <c r="BT85" s="221">
        <v>2.0000000000000018E-2</v>
      </c>
      <c r="BU85" s="221">
        <v>2.0000000000000018E-2</v>
      </c>
      <c r="BV85" s="221"/>
      <c r="BW85" s="221"/>
      <c r="BX85" s="221"/>
      <c r="BY85" s="221"/>
      <c r="BZ85" s="221"/>
      <c r="CA85" s="221"/>
      <c r="CB85" s="221"/>
      <c r="CC85" s="221"/>
      <c r="CD85" s="221"/>
      <c r="CE85" s="221"/>
      <c r="CF85" s="221"/>
      <c r="CG85" s="221"/>
      <c r="CH85" s="221"/>
      <c r="CI85" s="221"/>
      <c r="CJ85" s="221"/>
      <c r="CK85" s="221"/>
      <c r="CL85" s="221"/>
      <c r="CM85" s="221"/>
      <c r="CN85" s="221"/>
      <c r="CO85" s="221"/>
      <c r="CP85" s="221"/>
      <c r="CQ85" s="221"/>
      <c r="CR85" s="221"/>
      <c r="CS85" s="221"/>
      <c r="CT85" s="221"/>
      <c r="CU85" s="221"/>
      <c r="CV85" s="276"/>
      <c r="CW85" s="276"/>
      <c r="CX85" s="216"/>
      <c r="CY85" s="216"/>
      <c r="CZ85" s="203">
        <v>2.8682897059785217E-2</v>
      </c>
      <c r="DA85" s="203">
        <v>2.521346695764537E-3</v>
      </c>
      <c r="DB85" s="203">
        <v>-1.0419308479161393E-2</v>
      </c>
      <c r="DC85" s="203">
        <v>1.8153471584470005E-4</v>
      </c>
      <c r="DD85" s="203">
        <v>1.5683887981380096E-2</v>
      </c>
      <c r="DE85" s="203">
        <v>1.1121389227599421E-2</v>
      </c>
      <c r="DF85" s="291">
        <v>1.1841147728454127E-2</v>
      </c>
      <c r="DG85" s="291">
        <v>7.8804878299376657E-3</v>
      </c>
      <c r="DH85" s="291">
        <v>-5.3213178926766469E-3</v>
      </c>
      <c r="DI85" s="291">
        <v>6.5499005882714734E-2</v>
      </c>
      <c r="DJ85" s="291">
        <v>5.7076900880103754E-2</v>
      </c>
      <c r="DK85" s="291">
        <v>3.101939053130609E-2</v>
      </c>
      <c r="DL85" s="222">
        <v>2.847107000388327E-2</v>
      </c>
      <c r="DM85" s="221">
        <v>2.3500000000000298E-2</v>
      </c>
      <c r="DN85" s="221">
        <v>2.0000000000000018E-2</v>
      </c>
      <c r="DO85" s="221">
        <v>2.0000000000000018E-2</v>
      </c>
      <c r="DP85" s="221">
        <v>2.0000000000000018E-2</v>
      </c>
      <c r="DQ85" s="221">
        <v>2.0000000000000018E-2</v>
      </c>
      <c r="DR85" s="221">
        <v>2.0000000000000018E-2</v>
      </c>
      <c r="DS85" s="221">
        <v>2.0000000000000018E-2</v>
      </c>
      <c r="DT85" s="221">
        <v>2.0000000000000018E-2</v>
      </c>
      <c r="DU85" s="221">
        <v>2.0000000000000018E-2</v>
      </c>
      <c r="DV85" s="221">
        <v>2.0000000000000018E-2</v>
      </c>
      <c r="DW85" s="221">
        <v>2.0000000000000018E-2</v>
      </c>
      <c r="DX85" s="221">
        <v>2.0000000000000018E-2</v>
      </c>
      <c r="DY85" s="221">
        <v>2.0000000000000018E-2</v>
      </c>
      <c r="DZ85" s="221">
        <v>2.0000000000000018E-2</v>
      </c>
      <c r="EA85" s="221">
        <v>2.0000000000000018E-2</v>
      </c>
      <c r="EB85" s="221">
        <v>2.0000000000000018E-2</v>
      </c>
    </row>
    <row r="86" spans="1:132" x14ac:dyDescent="0.25">
      <c r="A86" s="234"/>
      <c r="B86" s="216"/>
      <c r="C86" s="216"/>
      <c r="D86" s="216"/>
      <c r="E86" s="216"/>
      <c r="F86" s="203"/>
      <c r="G86" s="203"/>
      <c r="H86" s="203"/>
      <c r="I86" s="203"/>
      <c r="J86" s="203"/>
      <c r="K86" s="203"/>
      <c r="L86" s="203"/>
      <c r="M86" s="203"/>
      <c r="N86" s="203"/>
      <c r="O86" s="203"/>
      <c r="P86" s="203"/>
      <c r="Q86" s="203"/>
      <c r="R86" s="203"/>
      <c r="S86" s="203"/>
      <c r="T86" s="203"/>
      <c r="U86" s="203"/>
      <c r="V86" s="203"/>
      <c r="W86" s="203"/>
      <c r="X86" s="203"/>
      <c r="Y86" s="203"/>
      <c r="Z86" s="203"/>
      <c r="AA86" s="203"/>
      <c r="AB86" s="203"/>
      <c r="AC86" s="203"/>
      <c r="AD86" s="203"/>
      <c r="AE86" s="203"/>
      <c r="AF86" s="203"/>
      <c r="AG86" s="203"/>
      <c r="AH86" s="203"/>
      <c r="AI86" s="203"/>
      <c r="AJ86" s="203"/>
      <c r="AK86" s="203"/>
      <c r="AL86" s="203"/>
      <c r="AM86" s="203"/>
      <c r="AN86" s="203"/>
      <c r="AO86" s="203"/>
      <c r="AP86" s="203"/>
      <c r="AQ86" s="203"/>
      <c r="AR86" s="291"/>
      <c r="AS86" s="291"/>
      <c r="AT86" s="291"/>
      <c r="AU86" s="291"/>
      <c r="AV86" s="291"/>
      <c r="AW86" s="291"/>
      <c r="AX86" s="291"/>
      <c r="AY86" s="291"/>
      <c r="AZ86" s="291"/>
      <c r="BA86" s="291"/>
      <c r="BB86" s="291"/>
      <c r="BC86" s="291"/>
      <c r="BD86" s="291"/>
      <c r="BE86" s="291"/>
      <c r="BF86" s="291"/>
      <c r="BG86" s="291"/>
      <c r="BH86" s="291"/>
      <c r="BI86" s="291"/>
      <c r="BJ86" s="291"/>
      <c r="BK86" s="291"/>
      <c r="BL86" s="291"/>
      <c r="BM86" s="291"/>
      <c r="BN86" s="291"/>
      <c r="BO86" s="222"/>
      <c r="BP86" s="196"/>
      <c r="BQ86" s="196"/>
      <c r="BR86" s="196"/>
      <c r="BS86" s="196"/>
      <c r="BT86" s="196"/>
      <c r="BU86" s="196"/>
      <c r="BV86" s="196"/>
      <c r="BW86" s="196"/>
      <c r="BX86" s="196"/>
      <c r="BY86" s="196"/>
      <c r="BZ86" s="196"/>
      <c r="CA86" s="196"/>
      <c r="CB86" s="196"/>
      <c r="CC86" s="196"/>
      <c r="CD86" s="196"/>
      <c r="CE86" s="196"/>
      <c r="CF86" s="196"/>
      <c r="CG86" s="196"/>
      <c r="CH86" s="196"/>
      <c r="CI86" s="196"/>
      <c r="CJ86" s="196"/>
      <c r="CK86" s="196"/>
      <c r="CL86" s="196"/>
      <c r="CM86" s="196"/>
      <c r="CN86" s="196"/>
      <c r="CO86" s="196"/>
      <c r="CP86" s="196"/>
      <c r="CQ86" s="196"/>
      <c r="CR86" s="196"/>
      <c r="CS86" s="196"/>
      <c r="CT86" s="196"/>
      <c r="CU86" s="196"/>
      <c r="CV86" s="276"/>
      <c r="CW86" s="276"/>
      <c r="CX86" s="216"/>
      <c r="CY86" s="216"/>
      <c r="CZ86" s="203"/>
      <c r="DA86" s="203"/>
      <c r="DB86" s="203"/>
      <c r="DC86" s="203"/>
      <c r="DD86" s="203"/>
      <c r="DE86" s="203"/>
      <c r="DF86" s="291"/>
      <c r="DG86" s="291"/>
      <c r="DH86" s="291"/>
      <c r="DI86" s="291"/>
      <c r="DJ86" s="291"/>
      <c r="DK86" s="291"/>
      <c r="DL86" s="222"/>
      <c r="DM86" s="221"/>
      <c r="DN86" s="221"/>
      <c r="DO86" s="221"/>
      <c r="DP86" s="221"/>
      <c r="DQ86" s="221"/>
      <c r="DR86" s="221"/>
      <c r="DS86" s="221"/>
      <c r="DT86" s="221"/>
      <c r="DU86" s="221"/>
      <c r="DV86" s="221"/>
      <c r="DW86" s="221"/>
      <c r="DX86" s="221"/>
      <c r="DY86" s="221"/>
      <c r="DZ86" s="221"/>
      <c r="EA86" s="221"/>
      <c r="EB86" s="221"/>
    </row>
    <row r="87" spans="1:132" x14ac:dyDescent="0.25">
      <c r="A87" s="209" t="s">
        <v>245</v>
      </c>
      <c r="B87" s="216"/>
      <c r="C87" s="216"/>
      <c r="D87" s="216"/>
      <c r="E87" s="216"/>
      <c r="F87" s="216"/>
      <c r="G87" s="203">
        <v>5.7928964482240941E-2</v>
      </c>
      <c r="H87" s="203">
        <v>0.10053592695514091</v>
      </c>
      <c r="I87" s="203">
        <v>0.10357741204296844</v>
      </c>
      <c r="J87" s="203">
        <v>7.8799612778315486E-2</v>
      </c>
      <c r="K87" s="203">
        <v>4.4164932854170669E-2</v>
      </c>
      <c r="L87" s="203">
        <v>-1.0370637568761887E-2</v>
      </c>
      <c r="M87" s="203">
        <v>-2.232541525272369E-2</v>
      </c>
      <c r="N87" s="203">
        <v>-1.7677674084709216E-2</v>
      </c>
      <c r="O87" s="203">
        <v>-1.1864867312743388E-2</v>
      </c>
      <c r="P87" s="203">
        <v>-2.7337342810285215E-4</v>
      </c>
      <c r="Q87" s="203">
        <v>-1.3701132626964263E-3</v>
      </c>
      <c r="R87" s="203">
        <v>8.4041289851100043E-3</v>
      </c>
      <c r="S87" s="203">
        <v>1.2098991750687516E-2</v>
      </c>
      <c r="T87" s="203">
        <v>-2.1875854525567062E-3</v>
      </c>
      <c r="U87" s="203">
        <v>-0.13061373822372635</v>
      </c>
      <c r="V87" s="203">
        <v>-0.12138780686656403</v>
      </c>
      <c r="W87" s="203">
        <v>-0.10351385618547371</v>
      </c>
      <c r="X87" s="203">
        <v>-8.5685575956883087E-2</v>
      </c>
      <c r="Y87" s="203">
        <v>5.1236191478169379E-2</v>
      </c>
      <c r="Z87" s="203">
        <v>3.0415506753273647E-2</v>
      </c>
      <c r="AA87" s="203">
        <v>1.0203050813213599E-2</v>
      </c>
      <c r="AB87" s="203">
        <v>-8.6921770406634957E-3</v>
      </c>
      <c r="AC87" s="203">
        <v>-8.0064051240992251E-3</v>
      </c>
      <c r="AD87" s="203">
        <v>-1.0806483890334229E-2</v>
      </c>
      <c r="AE87" s="203">
        <v>-8.799999999999919E-3</v>
      </c>
      <c r="AF87" s="203">
        <v>3.8298730094739053E-3</v>
      </c>
      <c r="AG87" s="203">
        <v>7.5665859564164606E-3</v>
      </c>
      <c r="AH87" s="203">
        <v>1.577989075460251E-2</v>
      </c>
      <c r="AI87" s="203">
        <v>1.7756255044390601E-2</v>
      </c>
      <c r="AJ87" s="203">
        <v>1.6465863453815288E-2</v>
      </c>
      <c r="AK87" s="203">
        <v>2.5833583658756432E-2</v>
      </c>
      <c r="AL87" s="203">
        <v>2.6190001991635015E-2</v>
      </c>
      <c r="AM87" s="203">
        <v>2.1312450436161923E-2</v>
      </c>
      <c r="AN87" s="203">
        <v>2.2125642038719917E-2</v>
      </c>
      <c r="AO87" s="203">
        <v>2.0204978038067312E-2</v>
      </c>
      <c r="AP87" s="203">
        <v>1.4167879670063055E-2</v>
      </c>
      <c r="AQ87" s="203">
        <v>2.4264777249344949E-2</v>
      </c>
      <c r="AR87" s="291">
        <v>2.522226517201398E-2</v>
      </c>
      <c r="AS87" s="291">
        <v>1.5212399540757815E-2</v>
      </c>
      <c r="AT87" s="291">
        <v>1.9041240072720234E-2</v>
      </c>
      <c r="AU87" s="291">
        <v>3.127072870273917E-3</v>
      </c>
      <c r="AV87" s="291">
        <v>3.0163069092279393E-3</v>
      </c>
      <c r="AW87" s="291">
        <v>8.9529733295636849E-3</v>
      </c>
      <c r="AX87" s="291">
        <v>-6.1502347417840331E-2</v>
      </c>
      <c r="AY87" s="291">
        <v>-4.8176837332325695E-2</v>
      </c>
      <c r="AZ87" s="291">
        <v>-4.642420825110416E-2</v>
      </c>
      <c r="BA87" s="291">
        <v>-3.5120493181393653E-2</v>
      </c>
      <c r="BB87" s="291">
        <v>5.7928964482240941E-2</v>
      </c>
      <c r="BC87" s="291">
        <v>0.10053592695514091</v>
      </c>
      <c r="BD87" s="291">
        <v>0.10357741204296844</v>
      </c>
      <c r="BE87" s="291">
        <v>7.8799612778315486E-2</v>
      </c>
      <c r="BF87" s="291">
        <v>4.4164932854170669E-2</v>
      </c>
      <c r="BG87" s="291">
        <v>4.4164932854170669E-2</v>
      </c>
      <c r="BH87" s="291">
        <v>4.4164932854170669E-2</v>
      </c>
      <c r="BI87" s="291">
        <v>4.4164932854170669E-2</v>
      </c>
      <c r="BJ87" s="291">
        <v>4.4164932854170669E-2</v>
      </c>
      <c r="BK87" s="291">
        <v>4.4164932854170669E-2</v>
      </c>
      <c r="BL87" s="291">
        <v>4.4164932854170669E-2</v>
      </c>
      <c r="BM87" s="291">
        <v>4.4164932854170669E-2</v>
      </c>
      <c r="BN87" s="291">
        <v>4.4164932854170669E-2</v>
      </c>
      <c r="BO87" s="222">
        <v>4.4164932854170669E-2</v>
      </c>
      <c r="BP87" s="221">
        <v>4.1695707841097773E-2</v>
      </c>
      <c r="BQ87" s="221">
        <v>4.9818169531179235E-2</v>
      </c>
      <c r="BR87" s="221">
        <v>4.7404908176308602E-2</v>
      </c>
      <c r="BS87" s="221">
        <v>2.8365713906655321E-2</v>
      </c>
      <c r="BT87" s="221">
        <v>2.928910474768287E-2</v>
      </c>
      <c r="BU87" s="221">
        <v>2.8260611703308625E-2</v>
      </c>
      <c r="BV87" s="221"/>
      <c r="BW87" s="221"/>
      <c r="BX87" s="221"/>
      <c r="BY87" s="221"/>
      <c r="BZ87" s="221"/>
      <c r="CA87" s="221"/>
      <c r="CB87" s="221"/>
      <c r="CC87" s="221"/>
      <c r="CD87" s="221"/>
      <c r="CE87" s="221"/>
      <c r="CF87" s="221"/>
      <c r="CG87" s="221"/>
      <c r="CH87" s="221"/>
      <c r="CI87" s="221"/>
      <c r="CJ87" s="221"/>
      <c r="CK87" s="221"/>
      <c r="CL87" s="221"/>
      <c r="CM87" s="221"/>
      <c r="CN87" s="221"/>
      <c r="CO87" s="221"/>
      <c r="CP87" s="221"/>
      <c r="CQ87" s="221"/>
      <c r="CR87" s="221"/>
      <c r="CS87" s="221"/>
      <c r="CT87" s="221"/>
      <c r="CU87" s="221"/>
      <c r="CV87" s="276"/>
      <c r="CW87" s="276"/>
      <c r="CX87" s="216"/>
      <c r="CY87" s="216"/>
      <c r="CZ87" s="203">
        <v>-1.3701132626964263E-3</v>
      </c>
      <c r="DA87" s="203">
        <v>-0.13061373822372635</v>
      </c>
      <c r="DB87" s="203">
        <v>5.1236191478169379E-2</v>
      </c>
      <c r="DC87" s="203">
        <v>-8.0064051240992251E-3</v>
      </c>
      <c r="DD87" s="203">
        <v>7.5665859564164606E-3</v>
      </c>
      <c r="DE87" s="203">
        <v>2.5833583658756432E-2</v>
      </c>
      <c r="DF87" s="291">
        <v>2.0204978038067312E-2</v>
      </c>
      <c r="DG87" s="291">
        <v>1.5212399540757815E-2</v>
      </c>
      <c r="DH87" s="291">
        <v>8.9529733295636849E-3</v>
      </c>
      <c r="DI87" s="291">
        <v>-3.5120493181393653E-2</v>
      </c>
      <c r="DJ87" s="291">
        <v>7.8799612778315486E-2</v>
      </c>
      <c r="DK87" s="291">
        <v>4.4164932854170669E-2</v>
      </c>
      <c r="DL87" s="222">
        <v>4.4164932854170669E-2</v>
      </c>
      <c r="DM87" s="221">
        <v>4.9818169531179235E-2</v>
      </c>
      <c r="DN87" s="221">
        <v>2.8260611703308625E-2</v>
      </c>
      <c r="DO87" s="221">
        <v>2.8260611703308625E-2</v>
      </c>
      <c r="DP87" s="221">
        <v>2.8260611703308625E-2</v>
      </c>
      <c r="DQ87" s="221">
        <v>2.8260611703308625E-2</v>
      </c>
      <c r="DR87" s="221">
        <v>2.8260611703308625E-2</v>
      </c>
      <c r="DS87" s="221">
        <v>2.8260611703308625E-2</v>
      </c>
      <c r="DT87" s="221">
        <v>2.8260611703308625E-2</v>
      </c>
      <c r="DU87" s="221">
        <v>2.8260611703308625E-2</v>
      </c>
      <c r="DV87" s="221">
        <v>2.8260611703308625E-2</v>
      </c>
      <c r="DW87" s="221">
        <v>2.8260611703308625E-2</v>
      </c>
      <c r="DX87" s="221">
        <v>2.8260611703308625E-2</v>
      </c>
      <c r="DY87" s="221">
        <v>2.8260611703308625E-2</v>
      </c>
      <c r="DZ87" s="221">
        <v>2.8260611703308625E-2</v>
      </c>
      <c r="EA87" s="221">
        <v>2.8260611703308625E-2</v>
      </c>
      <c r="EB87" s="221">
        <v>2.8260611703308625E-2</v>
      </c>
    </row>
    <row r="88" spans="1:132" x14ac:dyDescent="0.25">
      <c r="A88" s="209" t="s">
        <v>246</v>
      </c>
      <c r="B88" s="216"/>
      <c r="C88" s="216"/>
      <c r="D88" s="216"/>
      <c r="E88" s="216"/>
      <c r="F88" s="216"/>
      <c r="G88" s="203">
        <v>5.5776892430277059E-3</v>
      </c>
      <c r="H88" s="203">
        <v>1.3837360874360716E-2</v>
      </c>
      <c r="I88" s="203">
        <v>2.1299999999999875E-2</v>
      </c>
      <c r="J88" s="203">
        <v>2.7158291208246643E-2</v>
      </c>
      <c r="K88" s="203">
        <v>6.2698098256735557E-2</v>
      </c>
      <c r="L88" s="203">
        <v>6.2209474829393763E-2</v>
      </c>
      <c r="M88" s="203">
        <v>5.0523842161950494E-2</v>
      </c>
      <c r="N88" s="203">
        <v>4.3713210460291529E-2</v>
      </c>
      <c r="O88" s="203">
        <v>6.058346537421766E-3</v>
      </c>
      <c r="P88" s="203">
        <v>7.8212290502792658E-3</v>
      </c>
      <c r="Q88" s="203">
        <v>7.8292478329760051E-3</v>
      </c>
      <c r="R88" s="203">
        <v>1.275887573964507E-2</v>
      </c>
      <c r="S88" s="203">
        <v>8.9864739670186822E-3</v>
      </c>
      <c r="T88" s="203">
        <v>7.575757575757569E-3</v>
      </c>
      <c r="U88" s="203">
        <v>7.8609081660965252E-3</v>
      </c>
      <c r="V88" s="203">
        <v>4.1080883695452375E-3</v>
      </c>
      <c r="W88" s="203">
        <v>1.1385547699935827E-2</v>
      </c>
      <c r="X88" s="203">
        <v>1.696313955620754E-2</v>
      </c>
      <c r="Y88" s="203">
        <v>4.7715177096714356E-3</v>
      </c>
      <c r="Z88" s="203">
        <v>-8.0916446949722554E-3</v>
      </c>
      <c r="AA88" s="203">
        <v>-8.261461643213952E-3</v>
      </c>
      <c r="AB88" s="203">
        <v>-2.2540798845911092E-2</v>
      </c>
      <c r="AC88" s="203">
        <v>1.0136986301369832E-2</v>
      </c>
      <c r="AD88" s="203">
        <v>1.1182401466544478E-2</v>
      </c>
      <c r="AE88" s="203">
        <v>9.1541559868180133E-3</v>
      </c>
      <c r="AF88" s="203">
        <v>1.0146665436767899E-2</v>
      </c>
      <c r="AG88" s="203">
        <v>-9.3119971069524077E-3</v>
      </c>
      <c r="AH88" s="203">
        <v>5.4387237128354915E-3</v>
      </c>
      <c r="AI88" s="203">
        <v>9.2525399129173014E-3</v>
      </c>
      <c r="AJ88" s="203">
        <v>1.5615012327641287E-2</v>
      </c>
      <c r="AK88" s="203">
        <v>2.0350428910385077E-2</v>
      </c>
      <c r="AL88" s="203">
        <v>9.1056617381897187E-3</v>
      </c>
      <c r="AM88" s="203">
        <v>8.9879561387740114E-3</v>
      </c>
      <c r="AN88" s="203">
        <v>1.384643049811185E-2</v>
      </c>
      <c r="AO88" s="203">
        <v>4.3824344870762033E-3</v>
      </c>
      <c r="AP88" s="203">
        <v>6.7899580094701317E-3</v>
      </c>
      <c r="AQ88" s="203">
        <v>5.25565651166926E-3</v>
      </c>
      <c r="AR88" s="291">
        <v>-6.8286626463285316E-3</v>
      </c>
      <c r="AS88" s="291">
        <v>-8.9047195013236546E-5</v>
      </c>
      <c r="AT88" s="291">
        <v>-5.3243411127872342E-3</v>
      </c>
      <c r="AU88" s="291">
        <v>-2.3039432875497923E-3</v>
      </c>
      <c r="AV88" s="291">
        <v>-3.8396285382622519E-3</v>
      </c>
      <c r="AW88" s="291">
        <v>-8.0149612610214138E-4</v>
      </c>
      <c r="AX88" s="291">
        <v>1.7753590864483915E-2</v>
      </c>
      <c r="AY88" s="291">
        <v>2.5934807709388163E-2</v>
      </c>
      <c r="AZ88" s="291">
        <v>4.9659376120473109E-2</v>
      </c>
      <c r="BA88" s="291">
        <v>6.114081996434928E-2</v>
      </c>
      <c r="BB88" s="291">
        <v>6.6795231416549861E-2</v>
      </c>
      <c r="BC88" s="291">
        <v>7.78287594147693E-2</v>
      </c>
      <c r="BD88" s="291">
        <v>7.5149444918872765E-2</v>
      </c>
      <c r="BE88" s="291">
        <v>7.3156391735259563E-2</v>
      </c>
      <c r="BF88" s="291">
        <v>6.0640920295809364E-2</v>
      </c>
      <c r="BG88" s="291">
        <v>3.7590361445783094E-2</v>
      </c>
      <c r="BH88" s="291">
        <v>2.9944400317712283E-2</v>
      </c>
      <c r="BI88" s="291">
        <v>1.2287704468967764E-2</v>
      </c>
      <c r="BJ88" s="291">
        <v>7.747133560582542E-3</v>
      </c>
      <c r="BK88" s="291">
        <v>1.4785570521752556E-2</v>
      </c>
      <c r="BL88" s="291">
        <v>5.7839130099484048E-3</v>
      </c>
      <c r="BM88" s="291">
        <v>2.8606772846759831E-3</v>
      </c>
      <c r="BN88" s="291">
        <v>1.3837638376381634E-3</v>
      </c>
      <c r="BO88" s="222">
        <v>-1.7545197955601832E-3</v>
      </c>
      <c r="BP88" s="221">
        <v>5.7886769433339591E-3</v>
      </c>
      <c r="BQ88" s="221">
        <v>1.887105114655907E-2</v>
      </c>
      <c r="BR88" s="221">
        <v>2.5348343253770667E-2</v>
      </c>
      <c r="BS88" s="221">
        <v>3.0555983479417126E-2</v>
      </c>
      <c r="BT88" s="221">
        <v>3.1072027584887252E-2</v>
      </c>
      <c r="BU88" s="221">
        <v>2.9409453805224084E-2</v>
      </c>
      <c r="BV88" s="221"/>
      <c r="BW88" s="221"/>
      <c r="BX88" s="221"/>
      <c r="BY88" s="221"/>
      <c r="BZ88" s="221"/>
      <c r="CA88" s="221"/>
      <c r="CB88" s="221"/>
      <c r="CC88" s="221"/>
      <c r="CD88" s="221"/>
      <c r="CE88" s="221"/>
      <c r="CF88" s="221"/>
      <c r="CG88" s="221"/>
      <c r="CH88" s="221"/>
      <c r="CI88" s="221"/>
      <c r="CJ88" s="221"/>
      <c r="CK88" s="221"/>
      <c r="CL88" s="221"/>
      <c r="CM88" s="221"/>
      <c r="CN88" s="221"/>
      <c r="CO88" s="221"/>
      <c r="CP88" s="221"/>
      <c r="CQ88" s="221"/>
      <c r="CR88" s="221"/>
      <c r="CS88" s="221"/>
      <c r="CT88" s="221"/>
      <c r="CU88" s="221"/>
      <c r="CV88" s="276"/>
      <c r="CW88" s="276"/>
      <c r="CX88" s="216"/>
      <c r="CY88" s="216"/>
      <c r="CZ88" s="203">
        <v>7.8292478329760051E-3</v>
      </c>
      <c r="DA88" s="203">
        <v>7.8609081660965252E-3</v>
      </c>
      <c r="DB88" s="203">
        <v>4.7715177096714356E-3</v>
      </c>
      <c r="DC88" s="203">
        <v>1.0136986301369832E-2</v>
      </c>
      <c r="DD88" s="203">
        <v>-9.3119971069524077E-3</v>
      </c>
      <c r="DE88" s="203">
        <v>2.0350428910385077E-2</v>
      </c>
      <c r="DF88" s="291">
        <v>4.3824344870762033E-3</v>
      </c>
      <c r="DG88" s="291">
        <v>-8.9047195013236546E-5</v>
      </c>
      <c r="DH88" s="291">
        <v>-8.0149612610214138E-4</v>
      </c>
      <c r="DI88" s="291">
        <v>6.114081996434928E-2</v>
      </c>
      <c r="DJ88" s="291">
        <v>7.3156391735259563E-2</v>
      </c>
      <c r="DK88" s="291">
        <v>1.2287704468967764E-2</v>
      </c>
      <c r="DL88" s="222">
        <v>2.8606772846759831E-3</v>
      </c>
      <c r="DM88" s="221">
        <v>1.887105114655907E-2</v>
      </c>
      <c r="DN88" s="221">
        <v>2.9409453805224084E-2</v>
      </c>
      <c r="DO88" s="221">
        <v>2.9409453805224084E-2</v>
      </c>
      <c r="DP88" s="221">
        <v>2.9409453805224084E-2</v>
      </c>
      <c r="DQ88" s="221">
        <v>2.9409453805224084E-2</v>
      </c>
      <c r="DR88" s="221">
        <v>2.9409453805224084E-2</v>
      </c>
      <c r="DS88" s="221">
        <v>2.9409453805224084E-2</v>
      </c>
      <c r="DT88" s="221">
        <v>2.9409453805224084E-2</v>
      </c>
      <c r="DU88" s="221">
        <v>2.9409453805224084E-2</v>
      </c>
      <c r="DV88" s="221">
        <v>2.9409453805224084E-2</v>
      </c>
      <c r="DW88" s="221">
        <v>2.9409453805224084E-2</v>
      </c>
      <c r="DX88" s="221">
        <v>2.9409453805224084E-2</v>
      </c>
      <c r="DY88" s="221">
        <v>2.9409453805224084E-2</v>
      </c>
      <c r="DZ88" s="221">
        <v>2.9409453805224084E-2</v>
      </c>
      <c r="EA88" s="221">
        <v>2.9409453805224084E-2</v>
      </c>
      <c r="EB88" s="221">
        <v>2.9409453805224084E-2</v>
      </c>
    </row>
    <row r="89" spans="1:132" x14ac:dyDescent="0.25">
      <c r="A89" s="209" t="s">
        <v>247</v>
      </c>
      <c r="B89" s="216"/>
      <c r="C89" s="216"/>
      <c r="D89" s="216"/>
      <c r="E89" s="216"/>
      <c r="F89" s="216"/>
      <c r="G89" s="203">
        <v>-0.69317491019618682</v>
      </c>
      <c r="H89" s="203">
        <v>-0.69411314148156256</v>
      </c>
      <c r="I89" s="203">
        <v>-0.68926770445077834</v>
      </c>
      <c r="J89" s="203">
        <v>4.878048780487787E-2</v>
      </c>
      <c r="K89" s="203">
        <v>6.4301152737752165E-2</v>
      </c>
      <c r="L89" s="203">
        <v>7.2616705419424221E-2</v>
      </c>
      <c r="M89" s="203">
        <v>6.191568177809148E-2</v>
      </c>
      <c r="N89" s="203">
        <v>4.6683893195521131E-2</v>
      </c>
      <c r="O89" s="203">
        <v>3.4692841428329624E-2</v>
      </c>
      <c r="P89" s="203">
        <v>3.2683008170752093E-2</v>
      </c>
      <c r="Q89" s="203">
        <v>3.4551495016611256E-2</v>
      </c>
      <c r="R89" s="203">
        <v>4.3285055957867025E-2</v>
      </c>
      <c r="S89" s="203">
        <v>4.7922800130847154E-2</v>
      </c>
      <c r="T89" s="203">
        <v>4.2144356531568006E-2</v>
      </c>
      <c r="U89" s="203">
        <v>4.3834296724470256E-2</v>
      </c>
      <c r="V89" s="203">
        <v>3.2497239312194282E-2</v>
      </c>
      <c r="W89" s="203">
        <v>3.137193694396756E-2</v>
      </c>
      <c r="X89" s="203">
        <v>3.4552215680198062E-2</v>
      </c>
      <c r="Y89" s="203">
        <v>2.9533917858791003E-2</v>
      </c>
      <c r="Z89" s="203">
        <v>2.4293353705118426E-2</v>
      </c>
      <c r="AA89" s="203">
        <v>2.375907990314774E-2</v>
      </c>
      <c r="AB89" s="203">
        <v>1.8720982477160364E-2</v>
      </c>
      <c r="AC89" s="203">
        <v>3.0629015389212588E-2</v>
      </c>
      <c r="AD89" s="203">
        <v>4.266109785202854E-2</v>
      </c>
      <c r="AE89" s="203">
        <v>4.434589800443467E-2</v>
      </c>
      <c r="AF89" s="203">
        <v>4.5574830932078925E-2</v>
      </c>
      <c r="AG89" s="203">
        <v>4.2331110466802047E-2</v>
      </c>
      <c r="AH89" s="203">
        <v>3.991416309012874E-2</v>
      </c>
      <c r="AI89" s="203">
        <v>4.3595187544232195E-2</v>
      </c>
      <c r="AJ89" s="203">
        <v>4.3588301462317069E-2</v>
      </c>
      <c r="AK89" s="203">
        <v>5.674547983310152E-2</v>
      </c>
      <c r="AL89" s="203">
        <v>4.1408721970009665E-2</v>
      </c>
      <c r="AM89" s="203">
        <v>3.7976400379764019E-2</v>
      </c>
      <c r="AN89" s="203">
        <v>4.5540285637294398E-2</v>
      </c>
      <c r="AO89" s="203">
        <v>2.3163990523821898E-2</v>
      </c>
      <c r="AP89" s="203">
        <v>4.1743725231175643E-2</v>
      </c>
      <c r="AQ89" s="203">
        <v>4.7955050307069147E-2</v>
      </c>
      <c r="AR89" s="291">
        <v>1.804123711340222E-2</v>
      </c>
      <c r="AS89" s="291">
        <v>3.3959351685104222E-2</v>
      </c>
      <c r="AT89" s="291">
        <v>1.7626172964747555E-2</v>
      </c>
      <c r="AU89" s="291">
        <v>2.394014962593527E-2</v>
      </c>
      <c r="AV89" s="291">
        <v>4.9620253164557093E-2</v>
      </c>
      <c r="AW89" s="291">
        <v>4.8270714107987223E-2</v>
      </c>
      <c r="AX89" s="291">
        <v>5.8442367601245993E-2</v>
      </c>
      <c r="AY89" s="291">
        <v>3.9089137847053035E-2</v>
      </c>
      <c r="AZ89" s="291">
        <v>3.6782440906898195E-2</v>
      </c>
      <c r="BA89" s="291">
        <v>3.0738191312603691E-2</v>
      </c>
      <c r="BB89" s="291">
        <v>4.1676477513538979E-2</v>
      </c>
      <c r="BC89" s="291">
        <v>7.547169811320753E-2</v>
      </c>
      <c r="BD89" s="291">
        <v>9.026404559730139E-2</v>
      </c>
      <c r="BE89" s="291">
        <v>9.2343120322395E-2</v>
      </c>
      <c r="BF89" s="291">
        <v>8.7138336347197143E-2</v>
      </c>
      <c r="BG89" s="291">
        <v>4.936253677672453E-2</v>
      </c>
      <c r="BH89" s="291">
        <v>4.6943347914221611E-2</v>
      </c>
      <c r="BI89" s="291">
        <v>4.1741330241382935E-2</v>
      </c>
      <c r="BJ89" s="291">
        <v>3.2331843226946599E-2</v>
      </c>
      <c r="BK89" s="291">
        <v>3.613707165109048E-2</v>
      </c>
      <c r="BL89" s="291">
        <v>2.1094466523998934E-2</v>
      </c>
      <c r="BM89" s="291">
        <v>1.6998886977638517E-2</v>
      </c>
      <c r="BN89" s="291">
        <v>1.5709969788519684E-2</v>
      </c>
      <c r="BO89" s="222">
        <v>1.7839246341952331E-2</v>
      </c>
      <c r="BP89" s="221">
        <v>2.2216684297197142E-2</v>
      </c>
      <c r="BQ89" s="221">
        <v>3.193683465732633E-2</v>
      </c>
      <c r="BR89" s="221">
        <v>3.7382831741504585E-2</v>
      </c>
      <c r="BS89" s="221">
        <v>4.4873250153609545E-2</v>
      </c>
      <c r="BT89" s="221">
        <v>4.8845803360452411E-2</v>
      </c>
      <c r="BU89" s="221">
        <v>4.5868082679456412E-2</v>
      </c>
      <c r="BV89" s="221"/>
      <c r="BW89" s="221"/>
      <c r="BX89" s="221"/>
      <c r="BY89" s="221"/>
      <c r="BZ89" s="221"/>
      <c r="CA89" s="221"/>
      <c r="CB89" s="221"/>
      <c r="CC89" s="221"/>
      <c r="CD89" s="221"/>
      <c r="CE89" s="221"/>
      <c r="CF89" s="221"/>
      <c r="CG89" s="221"/>
      <c r="CH89" s="221"/>
      <c r="CI89" s="221"/>
      <c r="CJ89" s="221"/>
      <c r="CK89" s="221"/>
      <c r="CL89" s="221"/>
      <c r="CM89" s="221"/>
      <c r="CN89" s="221"/>
      <c r="CO89" s="221"/>
      <c r="CP89" s="221"/>
      <c r="CQ89" s="221"/>
      <c r="CR89" s="221"/>
      <c r="CS89" s="221"/>
      <c r="CT89" s="221"/>
      <c r="CU89" s="221"/>
      <c r="CV89" s="276"/>
      <c r="CW89" s="276"/>
      <c r="CX89" s="216"/>
      <c r="CY89" s="216"/>
      <c r="CZ89" s="203">
        <v>3.4551495016611256E-2</v>
      </c>
      <c r="DA89" s="203">
        <v>4.3834296724470256E-2</v>
      </c>
      <c r="DB89" s="203">
        <v>2.9533917858791003E-2</v>
      </c>
      <c r="DC89" s="203">
        <v>3.0629015389212588E-2</v>
      </c>
      <c r="DD89" s="203">
        <v>4.2331110466802047E-2</v>
      </c>
      <c r="DE89" s="203">
        <v>5.674547983310152E-2</v>
      </c>
      <c r="DF89" s="291">
        <v>2.3163990523821898E-2</v>
      </c>
      <c r="DG89" s="291">
        <v>3.3959351685104222E-2</v>
      </c>
      <c r="DH89" s="291">
        <v>4.8270714107987223E-2</v>
      </c>
      <c r="DI89" s="291">
        <v>3.0738191312603691E-2</v>
      </c>
      <c r="DJ89" s="291">
        <v>9.2343120322395E-2</v>
      </c>
      <c r="DK89" s="291">
        <v>4.1741330241382935E-2</v>
      </c>
      <c r="DL89" s="222">
        <v>1.6998886977638517E-2</v>
      </c>
      <c r="DM89" s="221">
        <v>3.193683465732633E-2</v>
      </c>
      <c r="DN89" s="221">
        <v>4.5868082679456412E-2</v>
      </c>
      <c r="DO89" s="221">
        <v>4.5868082679456412E-2</v>
      </c>
      <c r="DP89" s="221">
        <v>4.5868082679456412E-2</v>
      </c>
      <c r="DQ89" s="221">
        <v>4.5868082679456412E-2</v>
      </c>
      <c r="DR89" s="221">
        <v>4.5868082679456412E-2</v>
      </c>
      <c r="DS89" s="221">
        <v>4.5868082679456412E-2</v>
      </c>
      <c r="DT89" s="221">
        <v>4.5868082679456412E-2</v>
      </c>
      <c r="DU89" s="221">
        <v>4.5868082679456412E-2</v>
      </c>
      <c r="DV89" s="221">
        <v>4.5868082679456412E-2</v>
      </c>
      <c r="DW89" s="221">
        <v>4.5868082679456412E-2</v>
      </c>
      <c r="DX89" s="221">
        <v>4.5868082679456412E-2</v>
      </c>
      <c r="DY89" s="221">
        <v>4.5868082679456412E-2</v>
      </c>
      <c r="DZ89" s="221">
        <v>4.5868082679456412E-2</v>
      </c>
      <c r="EA89" s="221">
        <v>4.5868082679456412E-2</v>
      </c>
      <c r="EB89" s="221">
        <v>4.5868082679456412E-2</v>
      </c>
    </row>
    <row r="90" spans="1:132" x14ac:dyDescent="0.25">
      <c r="A90" s="209" t="s">
        <v>248</v>
      </c>
      <c r="B90" s="216"/>
      <c r="C90" s="216"/>
      <c r="D90" s="216"/>
      <c r="E90" s="216"/>
      <c r="F90" s="216"/>
      <c r="G90" s="203">
        <v>4.2380952380952408E-2</v>
      </c>
      <c r="H90" s="203">
        <v>5.049551675318531E-2</v>
      </c>
      <c r="I90" s="203">
        <v>6.4849624060150379E-2</v>
      </c>
      <c r="J90" s="203">
        <v>6.6050808314087828E-2</v>
      </c>
      <c r="K90" s="203">
        <v>7.7204202832343638E-2</v>
      </c>
      <c r="L90" s="203">
        <v>6.8283917340521194E-2</v>
      </c>
      <c r="M90" s="203">
        <v>5.604589585172115E-2</v>
      </c>
      <c r="N90" s="203">
        <v>5.6759098786828499E-2</v>
      </c>
      <c r="O90" s="203">
        <v>4.7073791348600569E-2</v>
      </c>
      <c r="P90" s="203">
        <v>5.2985702270815782E-2</v>
      </c>
      <c r="Q90" s="203">
        <v>5.3907229419139169E-2</v>
      </c>
      <c r="R90" s="203">
        <v>5.5760557605575967E-2</v>
      </c>
      <c r="S90" s="203">
        <v>5.265289590927491E-2</v>
      </c>
      <c r="T90" s="203">
        <v>4.9520766773162972E-2</v>
      </c>
      <c r="U90" s="203">
        <v>4.9167327517843029E-2</v>
      </c>
      <c r="V90" s="203">
        <v>5.7864077669902869E-2</v>
      </c>
      <c r="W90" s="203">
        <v>6.2331666025394528E-2</v>
      </c>
      <c r="X90" s="203">
        <v>6.126331811263297E-2</v>
      </c>
      <c r="Y90" s="203">
        <v>5.8201058201058142E-2</v>
      </c>
      <c r="Z90" s="203">
        <v>3.7444933920705026E-2</v>
      </c>
      <c r="AA90" s="203">
        <v>3.621876131836288E-2</v>
      </c>
      <c r="AB90" s="203">
        <v>2.7608461814270457E-2</v>
      </c>
      <c r="AC90" s="203">
        <v>2.3571428571428577E-2</v>
      </c>
      <c r="AD90" s="203">
        <v>2.4769992922859085E-2</v>
      </c>
      <c r="AE90" s="203">
        <v>2.446696959105199E-2</v>
      </c>
      <c r="AF90" s="203">
        <v>2.8960223307745725E-2</v>
      </c>
      <c r="AG90" s="203">
        <v>3.3147243545010419E-2</v>
      </c>
      <c r="AH90" s="203">
        <v>3.9364640883977842E-2</v>
      </c>
      <c r="AI90" s="203">
        <v>3.6506311838962802E-2</v>
      </c>
      <c r="AJ90" s="203">
        <v>3.6622583926754881E-2</v>
      </c>
      <c r="AK90" s="203">
        <v>4.7281323877068626E-2</v>
      </c>
      <c r="AL90" s="203">
        <v>4.3521594684385434E-2</v>
      </c>
      <c r="AM90" s="203">
        <v>4.1474654377880116E-2</v>
      </c>
      <c r="AN90" s="203">
        <v>4.383382401046787E-2</v>
      </c>
      <c r="AO90" s="203">
        <v>4.2244437278297298E-2</v>
      </c>
      <c r="AP90" s="203">
        <v>4.1388092964024237E-2</v>
      </c>
      <c r="AQ90" s="203">
        <v>4.8040455120101244E-2</v>
      </c>
      <c r="AR90" s="291">
        <v>4.4186775305546711E-2</v>
      </c>
      <c r="AS90" s="291">
        <v>4.0841584158415767E-2</v>
      </c>
      <c r="AT90" s="291">
        <v>3.8826047080403603E-2</v>
      </c>
      <c r="AU90" s="291">
        <v>2.6537997587454676E-2</v>
      </c>
      <c r="AV90" s="291">
        <v>3.3913565426170411E-2</v>
      </c>
      <c r="AW90" s="291">
        <v>4.0130796670630131E-2</v>
      </c>
      <c r="AX90" s="291">
        <v>3.943496174220118E-2</v>
      </c>
      <c r="AY90" s="291">
        <v>4.6709753231492401E-2</v>
      </c>
      <c r="AZ90" s="291">
        <v>4.615384615384599E-2</v>
      </c>
      <c r="BA90" s="291">
        <v>5.3158045155758948E-2</v>
      </c>
      <c r="BB90" s="291">
        <v>6.9648924122310385E-2</v>
      </c>
      <c r="BC90" s="291">
        <v>0.10216110019646352</v>
      </c>
      <c r="BD90" s="291">
        <v>0.10044395116537186</v>
      </c>
      <c r="BE90" s="291">
        <v>9.7964721845319014E-2</v>
      </c>
      <c r="BF90" s="291">
        <v>9.05240868184225E-2</v>
      </c>
      <c r="BG90" s="291">
        <v>5.6022408963585457E-2</v>
      </c>
      <c r="BH90" s="291">
        <v>6.1270801815431097E-2</v>
      </c>
      <c r="BI90" s="291">
        <v>5.1903114186851118E-2</v>
      </c>
      <c r="BJ90" s="291">
        <v>4.7572815533980739E-2</v>
      </c>
      <c r="BK90" s="291">
        <v>4.8709910778876209E-2</v>
      </c>
      <c r="BL90" s="291">
        <v>4.490377761938702E-2</v>
      </c>
      <c r="BM90" s="291">
        <v>3.8768796992481258E-2</v>
      </c>
      <c r="BN90" s="291">
        <v>4.494902687673763E-2</v>
      </c>
      <c r="BO90" s="222">
        <v>4.6677397102782292E-2</v>
      </c>
      <c r="BP90" s="221">
        <v>4.6040639372428416E-2</v>
      </c>
      <c r="BQ90" s="221">
        <v>5.7059229969281589E-2</v>
      </c>
      <c r="BR90" s="221">
        <v>5.219058198083415E-2</v>
      </c>
      <c r="BS90" s="221">
        <v>5.5863804232914704E-2</v>
      </c>
      <c r="BT90" s="221">
        <v>5.7209813819978583E-2</v>
      </c>
      <c r="BU90" s="221">
        <v>5.6299328520314607E-2</v>
      </c>
      <c r="BV90" s="221"/>
      <c r="BW90" s="221"/>
      <c r="BX90" s="221"/>
      <c r="BY90" s="221"/>
      <c r="BZ90" s="221"/>
      <c r="CA90" s="221"/>
      <c r="CB90" s="221"/>
      <c r="CC90" s="221"/>
      <c r="CD90" s="221"/>
      <c r="CE90" s="221"/>
      <c r="CF90" s="221"/>
      <c r="CG90" s="221"/>
      <c r="CH90" s="221"/>
      <c r="CI90" s="221"/>
      <c r="CJ90" s="221"/>
      <c r="CK90" s="221"/>
      <c r="CL90" s="221"/>
      <c r="CM90" s="221"/>
      <c r="CN90" s="221"/>
      <c r="CO90" s="221"/>
      <c r="CP90" s="221"/>
      <c r="CQ90" s="221"/>
      <c r="CR90" s="221"/>
      <c r="CS90" s="221"/>
      <c r="CT90" s="221"/>
      <c r="CU90" s="221"/>
      <c r="CV90" s="276"/>
      <c r="CW90" s="276"/>
      <c r="CX90" s="216"/>
      <c r="CY90" s="216"/>
      <c r="CZ90" s="203">
        <v>5.3907229419139169E-2</v>
      </c>
      <c r="DA90" s="203">
        <v>4.9167327517843029E-2</v>
      </c>
      <c r="DB90" s="203">
        <v>5.8201058201058142E-2</v>
      </c>
      <c r="DC90" s="203">
        <v>2.3571428571428577E-2</v>
      </c>
      <c r="DD90" s="203">
        <v>3.3147243545010419E-2</v>
      </c>
      <c r="DE90" s="203">
        <v>4.7281323877068626E-2</v>
      </c>
      <c r="DF90" s="291">
        <v>4.2244437278297298E-2</v>
      </c>
      <c r="DG90" s="291">
        <v>4.0841584158415767E-2</v>
      </c>
      <c r="DH90" s="291">
        <v>4.0130796670630131E-2</v>
      </c>
      <c r="DI90" s="291">
        <v>5.3158045155758948E-2</v>
      </c>
      <c r="DJ90" s="291">
        <v>9.7964721845319014E-2</v>
      </c>
      <c r="DK90" s="291">
        <v>5.1903114186851118E-2</v>
      </c>
      <c r="DL90" s="222">
        <v>3.8768796992481258E-2</v>
      </c>
      <c r="DM90" s="221">
        <v>5.7059229969281589E-2</v>
      </c>
      <c r="DN90" s="221">
        <v>5.6299328520314607E-2</v>
      </c>
      <c r="DO90" s="221">
        <v>5.6299328520314607E-2</v>
      </c>
      <c r="DP90" s="221">
        <v>5.6299328520314607E-2</v>
      </c>
      <c r="DQ90" s="221">
        <v>5.6299328520314607E-2</v>
      </c>
      <c r="DR90" s="221">
        <v>5.6299328520314607E-2</v>
      </c>
      <c r="DS90" s="221">
        <v>5.6299328520314607E-2</v>
      </c>
      <c r="DT90" s="221">
        <v>5.6299328520314607E-2</v>
      </c>
      <c r="DU90" s="221">
        <v>5.6299328520314607E-2</v>
      </c>
      <c r="DV90" s="221">
        <v>5.6299328520314607E-2</v>
      </c>
      <c r="DW90" s="221">
        <v>5.6299328520314607E-2</v>
      </c>
      <c r="DX90" s="221">
        <v>5.6299328520314607E-2</v>
      </c>
      <c r="DY90" s="221">
        <v>5.6299328520314607E-2</v>
      </c>
      <c r="DZ90" s="221">
        <v>5.6299328520314607E-2</v>
      </c>
      <c r="EA90" s="221">
        <v>5.6299328520314607E-2</v>
      </c>
      <c r="EB90" s="221">
        <v>5.6299328520314607E-2</v>
      </c>
    </row>
    <row r="91" spans="1:132" x14ac:dyDescent="0.25">
      <c r="A91" s="209" t="s">
        <v>249</v>
      </c>
      <c r="B91" s="216"/>
      <c r="C91" s="216"/>
      <c r="D91" s="216"/>
      <c r="E91" s="216"/>
      <c r="F91" s="216"/>
      <c r="G91" s="203">
        <v>-7.1369523284651515E-2</v>
      </c>
      <c r="H91" s="203">
        <v>-5.1461545738340719E-2</v>
      </c>
      <c r="I91" s="203">
        <v>-4.2865531415149816E-2</v>
      </c>
      <c r="J91" s="203">
        <v>-4.5621342854309188E-2</v>
      </c>
      <c r="K91" s="203">
        <v>-6.7260138476755715E-2</v>
      </c>
      <c r="L91" s="203">
        <v>-4.9865363518500017E-2</v>
      </c>
      <c r="M91" s="203">
        <v>-5.1124744376274123E-4</v>
      </c>
      <c r="N91" s="203">
        <v>1.1742699781772892E-2</v>
      </c>
      <c r="O91" s="203">
        <v>4.1781548250265033E-2</v>
      </c>
      <c r="P91" s="203">
        <v>2.1832686050173189E-2</v>
      </c>
      <c r="Q91" s="203">
        <v>-1.0025575447570323E-2</v>
      </c>
      <c r="R91" s="203">
        <v>-6.1626951520132867E-4</v>
      </c>
      <c r="S91" s="203">
        <v>-6.6164495114006128E-3</v>
      </c>
      <c r="T91" s="203">
        <v>2.5680534155110291E-3</v>
      </c>
      <c r="U91" s="203">
        <v>-2.8934587165444503E-3</v>
      </c>
      <c r="V91" s="203">
        <v>-6.8859198355601947E-3</v>
      </c>
      <c r="W91" s="203">
        <v>-1.5575366328517415E-2</v>
      </c>
      <c r="X91" s="203">
        <v>-2.8688524590163578E-3</v>
      </c>
      <c r="Y91" s="203">
        <v>2.974401492382639E-2</v>
      </c>
      <c r="Z91" s="203">
        <v>5.2882127703611781E-2</v>
      </c>
      <c r="AA91" s="203">
        <v>5.5896741958988194E-2</v>
      </c>
      <c r="AB91" s="203">
        <v>5.1582408549116332E-2</v>
      </c>
      <c r="AC91" s="203">
        <v>3.4621578099838901E-2</v>
      </c>
      <c r="AD91" s="203">
        <v>1.9952820916060654E-2</v>
      </c>
      <c r="AE91" s="203">
        <v>5.6190851735016256E-3</v>
      </c>
      <c r="AF91" s="203">
        <v>-8.3056478405316714E-3</v>
      </c>
      <c r="AG91" s="203">
        <v>-1.0019455252918252E-2</v>
      </c>
      <c r="AH91" s="203">
        <v>-2.2260769008383918E-2</v>
      </c>
      <c r="AI91" s="203">
        <v>-3.0291147926673867E-2</v>
      </c>
      <c r="AJ91" s="203">
        <v>-4.7787959404867464E-2</v>
      </c>
      <c r="AK91" s="203">
        <v>-4.5789525400412701E-2</v>
      </c>
      <c r="AL91" s="203">
        <v>-6.3374728957224402E-2</v>
      </c>
      <c r="AM91" s="203">
        <v>-3.4371209057824537E-2</v>
      </c>
      <c r="AN91" s="203">
        <v>-4.4495033112583737E-3</v>
      </c>
      <c r="AO91" s="203">
        <v>-1.2357120790855713E-3</v>
      </c>
      <c r="AP91" s="203">
        <v>3.9987372408711863E-3</v>
      </c>
      <c r="AQ91" s="203">
        <v>8.4798994974875086E-3</v>
      </c>
      <c r="AR91" s="291">
        <v>3.0142396840246999E-3</v>
      </c>
      <c r="AS91" s="291">
        <v>-1.206309928858651E-2</v>
      </c>
      <c r="AT91" s="291">
        <v>2.3058379624776304E-3</v>
      </c>
      <c r="AU91" s="291">
        <v>2.0450534620575E-2</v>
      </c>
      <c r="AV91" s="291">
        <v>-4.9740932642486912E-3</v>
      </c>
      <c r="AW91" s="291">
        <v>-1.9828845752452473E-2</v>
      </c>
      <c r="AX91" s="291">
        <v>-2.5096726968524385E-2</v>
      </c>
      <c r="AY91" s="291">
        <v>-6.2970498474059E-2</v>
      </c>
      <c r="AZ91" s="291">
        <v>-3.3951260154134411E-2</v>
      </c>
      <c r="BA91" s="291">
        <v>1.1712095400340239E-3</v>
      </c>
      <c r="BB91" s="291">
        <v>1.3944009439021743E-2</v>
      </c>
      <c r="BC91" s="291">
        <v>3.8649440885897279E-2</v>
      </c>
      <c r="BD91" s="291">
        <v>6.2311341095299788E-2</v>
      </c>
      <c r="BE91" s="291">
        <v>6.2107837924066933E-2</v>
      </c>
      <c r="BF91" s="291">
        <v>3.7554215592933371E-2</v>
      </c>
      <c r="BG91" s="291">
        <v>2.8744643043796314E-2</v>
      </c>
      <c r="BH91" s="291">
        <v>3.6533387456869626E-3</v>
      </c>
      <c r="BI91" s="291">
        <v>-3.6046860919194401E-3</v>
      </c>
      <c r="BJ91" s="291">
        <v>1.4172104404567731E-2</v>
      </c>
      <c r="BK91" s="291">
        <v>2.5706157285104725E-2</v>
      </c>
      <c r="BL91" s="291">
        <v>2.5176946410515599E-2</v>
      </c>
      <c r="BM91" s="291">
        <v>2.462064114159368E-2</v>
      </c>
      <c r="BN91" s="291">
        <v>3.3577963204986405E-2</v>
      </c>
      <c r="BO91" s="222">
        <v>-3.7642397226350655E-3</v>
      </c>
      <c r="BP91" s="221">
        <v>1.8315415721470441E-3</v>
      </c>
      <c r="BQ91" s="221">
        <v>6.1931836014124109E-3</v>
      </c>
      <c r="BR91" s="221">
        <v>7.8530451317966321E-3</v>
      </c>
      <c r="BS91" s="221">
        <v>4.0604010000000024E-2</v>
      </c>
      <c r="BT91" s="221">
        <v>4.0604010000000024E-2</v>
      </c>
      <c r="BU91" s="221">
        <v>4.0604010000000024E-2</v>
      </c>
      <c r="BV91" s="221"/>
      <c r="BW91" s="221"/>
      <c r="BX91" s="221"/>
      <c r="BY91" s="221"/>
      <c r="BZ91" s="221"/>
      <c r="CA91" s="221"/>
      <c r="CB91" s="221"/>
      <c r="CC91" s="221"/>
      <c r="CD91" s="221"/>
      <c r="CE91" s="221"/>
      <c r="CF91" s="221"/>
      <c r="CG91" s="221"/>
      <c r="CH91" s="221"/>
      <c r="CI91" s="221"/>
      <c r="CJ91" s="221"/>
      <c r="CK91" s="221"/>
      <c r="CL91" s="221"/>
      <c r="CM91" s="221"/>
      <c r="CN91" s="221"/>
      <c r="CO91" s="221"/>
      <c r="CP91" s="221"/>
      <c r="CQ91" s="221"/>
      <c r="CR91" s="221"/>
      <c r="CS91" s="221"/>
      <c r="CT91" s="221"/>
      <c r="CU91" s="221"/>
      <c r="CV91" s="276"/>
      <c r="CW91" s="276"/>
      <c r="CX91" s="216"/>
      <c r="CY91" s="216"/>
      <c r="CZ91" s="203">
        <v>-1.0025575447570323E-2</v>
      </c>
      <c r="DA91" s="203">
        <v>-2.8934587165444503E-3</v>
      </c>
      <c r="DB91" s="203">
        <v>2.974401492382639E-2</v>
      </c>
      <c r="DC91" s="203">
        <v>3.4621578099838901E-2</v>
      </c>
      <c r="DD91" s="203">
        <v>-1.0019455252918252E-2</v>
      </c>
      <c r="DE91" s="203">
        <v>-4.5789525400412701E-2</v>
      </c>
      <c r="DF91" s="291">
        <v>-1.2357120790855713E-3</v>
      </c>
      <c r="DG91" s="291">
        <v>-1.206309928858651E-2</v>
      </c>
      <c r="DH91" s="291">
        <v>-1.9828845752452473E-2</v>
      </c>
      <c r="DI91" s="291">
        <v>1.1712095400340239E-3</v>
      </c>
      <c r="DJ91" s="291">
        <v>6.2107837924066933E-2</v>
      </c>
      <c r="DK91" s="291">
        <v>-3.6046860919194401E-3</v>
      </c>
      <c r="DL91" s="222">
        <v>2.462064114159368E-2</v>
      </c>
      <c r="DM91" s="221">
        <v>6.1931836014124109E-3</v>
      </c>
      <c r="DN91" s="221">
        <v>4.0604010000000024E-2</v>
      </c>
      <c r="DO91" s="221">
        <v>4.0604010000000024E-2</v>
      </c>
      <c r="DP91" s="221">
        <v>4.0604010000000024E-2</v>
      </c>
      <c r="DQ91" s="221">
        <v>4.0604010000000024E-2</v>
      </c>
      <c r="DR91" s="221">
        <v>4.0604010000000024E-2</v>
      </c>
      <c r="DS91" s="221">
        <v>4.0604010000000024E-2</v>
      </c>
      <c r="DT91" s="221">
        <v>4.0604010000000024E-2</v>
      </c>
      <c r="DU91" s="221">
        <v>4.0604010000000024E-2</v>
      </c>
      <c r="DV91" s="221">
        <v>4.0604010000000024E-2</v>
      </c>
      <c r="DW91" s="221">
        <v>4.0604010000000024E-2</v>
      </c>
      <c r="DX91" s="221">
        <v>4.0604010000000024E-2</v>
      </c>
      <c r="DY91" s="221">
        <v>4.0604010000000024E-2</v>
      </c>
      <c r="DZ91" s="221">
        <v>4.0604010000000024E-2</v>
      </c>
      <c r="EA91" s="221">
        <v>4.0604010000000024E-2</v>
      </c>
      <c r="EB91" s="221">
        <v>4.0604010000000024E-2</v>
      </c>
    </row>
    <row r="92" spans="1:132" x14ac:dyDescent="0.25">
      <c r="A92" s="216" t="s">
        <v>250</v>
      </c>
      <c r="B92" s="216"/>
      <c r="C92" s="216"/>
      <c r="D92" s="216"/>
      <c r="E92" s="216"/>
      <c r="F92" s="216"/>
      <c r="G92" s="203">
        <v>1.2857198817944004E-2</v>
      </c>
      <c r="H92" s="203">
        <v>2.4264619416399347E-2</v>
      </c>
      <c r="I92" s="203">
        <v>2.4479441222983622E-2</v>
      </c>
      <c r="J92" s="203">
        <v>2.7608612416494038E-2</v>
      </c>
      <c r="K92" s="203">
        <v>3.2436317809128923E-2</v>
      </c>
      <c r="L92" s="203">
        <v>3.1522976346286757E-2</v>
      </c>
      <c r="M92" s="203">
        <v>3.907986511648498E-2</v>
      </c>
      <c r="N92" s="203">
        <v>4.4269093059403408E-2</v>
      </c>
      <c r="O92" s="203">
        <v>3.3690454219027277E-2</v>
      </c>
      <c r="P92" s="203">
        <v>2.6273935625314326E-2</v>
      </c>
      <c r="Q92" s="203">
        <v>2.4523157096316917E-2</v>
      </c>
      <c r="R92" s="203">
        <v>1.4905356511258239E-2</v>
      </c>
      <c r="S92" s="203">
        <v>9.9574143868306209E-3</v>
      </c>
      <c r="T92" s="203">
        <v>2.2131773423545997E-2</v>
      </c>
      <c r="U92" s="203">
        <v>2.0525157886671863E-2</v>
      </c>
      <c r="V92" s="203">
        <v>3.2252295427335653E-2</v>
      </c>
      <c r="W92" s="203">
        <v>5.1238651763667153E-2</v>
      </c>
      <c r="X92" s="203">
        <v>4.6641054989751574E-2</v>
      </c>
      <c r="Y92" s="203">
        <v>5.6523589462863955E-2</v>
      </c>
      <c r="Z92" s="203">
        <v>4.3030088147695267E-2</v>
      </c>
      <c r="AA92" s="203">
        <v>3.9933631956229565E-2</v>
      </c>
      <c r="AB92" s="203">
        <v>4.8778096012830119E-2</v>
      </c>
      <c r="AC92" s="203">
        <v>4.0686479528649455E-2</v>
      </c>
      <c r="AD92" s="203">
        <v>4.8299582744109282E-2</v>
      </c>
      <c r="AE92" s="203">
        <v>4.2793568096014312E-2</v>
      </c>
      <c r="AF92" s="203">
        <v>3.4616081105019125E-2</v>
      </c>
      <c r="AG92" s="203">
        <v>2.8049766885987815E-2</v>
      </c>
      <c r="AH92" s="203">
        <v>2.5565191451279556E-2</v>
      </c>
      <c r="AI92" s="203">
        <v>2.353056782052243E-2</v>
      </c>
      <c r="AJ92" s="203">
        <v>1.6491955934000213E-2</v>
      </c>
      <c r="AK92" s="203">
        <v>1.7085180723531712E-2</v>
      </c>
      <c r="AL92" s="203">
        <v>1.8697156309662288E-2</v>
      </c>
      <c r="AM92" s="203">
        <v>1.8514094645845969E-2</v>
      </c>
      <c r="AN92" s="203">
        <v>2.6284485116174983E-2</v>
      </c>
      <c r="AO92" s="203">
        <v>2.864564480967724E-2</v>
      </c>
      <c r="AP92" s="203">
        <v>2.2207603472258031E-2</v>
      </c>
      <c r="AQ92" s="203">
        <v>2.7413980824610107E-2</v>
      </c>
      <c r="AR92" s="291">
        <v>2.5261126311114435E-2</v>
      </c>
      <c r="AS92" s="291">
        <v>2.6995417145672107E-2</v>
      </c>
      <c r="AT92" s="291">
        <v>3.7426865792925756E-2</v>
      </c>
      <c r="AU92" s="291">
        <v>2.8423878179283379E-2</v>
      </c>
      <c r="AV92" s="291">
        <v>2.3506401226730977E-2</v>
      </c>
      <c r="AW92" s="291">
        <v>2.6859470560516963E-2</v>
      </c>
      <c r="AX92" s="291">
        <v>2.7880448123714485E-2</v>
      </c>
      <c r="AY92" s="291">
        <v>3.5314858090312429E-2</v>
      </c>
      <c r="AZ92" s="291">
        <v>4.8088589009626315E-2</v>
      </c>
      <c r="BA92" s="291">
        <v>6.6095224925207141E-2</v>
      </c>
      <c r="BB92" s="291">
        <v>7.9366839747342821E-2</v>
      </c>
      <c r="BC92" s="291">
        <v>0.11366608290925928</v>
      </c>
      <c r="BD92" s="291">
        <v>0.13858710192675794</v>
      </c>
      <c r="BE92" s="291">
        <v>0.13291412486036602</v>
      </c>
      <c r="BF92" s="291">
        <v>0.12127368668553129</v>
      </c>
      <c r="BG92" s="291">
        <v>9.075060983478922E-2</v>
      </c>
      <c r="BH92" s="291">
        <v>5.6608295291379562E-2</v>
      </c>
      <c r="BI92" s="291">
        <v>4.7802140526980397E-2</v>
      </c>
      <c r="BJ92" s="291">
        <v>4.2670963258963468E-2</v>
      </c>
      <c r="BK92" s="291">
        <v>4.1075127710346493E-2</v>
      </c>
      <c r="BL92" s="291">
        <v>4.7320632098377891E-2</v>
      </c>
      <c r="BM92" s="291">
        <v>4.4233713225780624E-2</v>
      </c>
      <c r="BN92" s="291">
        <v>4.8541901658295084E-2</v>
      </c>
      <c r="BO92" s="222">
        <v>4.5119139696570665E-2</v>
      </c>
      <c r="BP92" s="221">
        <v>4.3418859618747918E-2</v>
      </c>
      <c r="BQ92" s="221">
        <v>4.1783641696707452E-2</v>
      </c>
      <c r="BR92" s="221">
        <v>3.8399436521333818E-2</v>
      </c>
      <c r="BS92" s="221">
        <v>3.023719757640686E-2</v>
      </c>
      <c r="BT92" s="221">
        <v>2.9041394277653287E-2</v>
      </c>
      <c r="BU92" s="221">
        <v>3.0174219718064998E-2</v>
      </c>
      <c r="BV92" s="221"/>
      <c r="BW92" s="221"/>
      <c r="BX92" s="221"/>
      <c r="BY92" s="221"/>
      <c r="BZ92" s="221"/>
      <c r="CA92" s="221"/>
      <c r="CB92" s="221"/>
      <c r="CC92" s="221"/>
      <c r="CD92" s="221"/>
      <c r="CE92" s="221"/>
      <c r="CF92" s="221"/>
      <c r="CG92" s="221"/>
      <c r="CH92" s="221"/>
      <c r="CI92" s="221"/>
      <c r="CJ92" s="221"/>
      <c r="CK92" s="221"/>
      <c r="CL92" s="221"/>
      <c r="CM92" s="221"/>
      <c r="CN92" s="221"/>
      <c r="CO92" s="221"/>
      <c r="CP92" s="221"/>
      <c r="CQ92" s="221"/>
      <c r="CR92" s="221"/>
      <c r="CS92" s="221"/>
      <c r="CT92" s="221"/>
      <c r="CU92" s="221"/>
      <c r="CV92" s="276"/>
      <c r="CW92" s="276"/>
      <c r="CX92" s="216"/>
      <c r="CY92" s="216"/>
      <c r="CZ92" s="203">
        <v>2.4523157096316917E-2</v>
      </c>
      <c r="DA92" s="203">
        <v>2.0525157886671863E-2</v>
      </c>
      <c r="DB92" s="203">
        <v>5.6523589462863955E-2</v>
      </c>
      <c r="DC92" s="203">
        <v>4.0686479528649455E-2</v>
      </c>
      <c r="DD92" s="203">
        <v>2.8049766885987815E-2</v>
      </c>
      <c r="DE92" s="203">
        <v>1.7085180723531712E-2</v>
      </c>
      <c r="DF92" s="291">
        <v>2.864564480967724E-2</v>
      </c>
      <c r="DG92" s="291">
        <v>2.6995417145672107E-2</v>
      </c>
      <c r="DH92" s="291">
        <v>2.6859470560516963E-2</v>
      </c>
      <c r="DI92" s="291">
        <v>6.6095224925207141E-2</v>
      </c>
      <c r="DJ92" s="291">
        <v>0.13291412486036602</v>
      </c>
      <c r="DK92" s="291">
        <v>4.7802140526980397E-2</v>
      </c>
      <c r="DL92" s="222">
        <v>4.4233713225780624E-2</v>
      </c>
      <c r="DM92" s="221">
        <v>4.1783641696707452E-2</v>
      </c>
      <c r="DN92" s="221">
        <v>3.0174219718064998E-2</v>
      </c>
      <c r="DO92" s="221">
        <v>3.0499999999999972E-2</v>
      </c>
      <c r="DP92" s="221">
        <v>3.0000000000000027E-2</v>
      </c>
      <c r="DQ92" s="221">
        <v>3.0000000000000027E-2</v>
      </c>
      <c r="DR92" s="221">
        <v>3.0000000000000027E-2</v>
      </c>
      <c r="DS92" s="221">
        <v>3.0000000000000027E-2</v>
      </c>
      <c r="DT92" s="221">
        <v>3.0000000000000027E-2</v>
      </c>
      <c r="DU92" s="221">
        <v>3.0000000000000027E-2</v>
      </c>
      <c r="DV92" s="221">
        <v>3.0000000000000027E-2</v>
      </c>
      <c r="DW92" s="221">
        <v>3.0000000000000027E-2</v>
      </c>
      <c r="DX92" s="221">
        <v>3.0000000000000027E-2</v>
      </c>
      <c r="DY92" s="221">
        <v>3.0000000000000027E-2</v>
      </c>
      <c r="DZ92" s="221">
        <v>3.0000000000000027E-2</v>
      </c>
      <c r="EA92" s="221">
        <v>3.0000000000000027E-2</v>
      </c>
      <c r="EB92" s="221">
        <v>3.0000000000000027E-2</v>
      </c>
    </row>
    <row r="93" spans="1:132" x14ac:dyDescent="0.25">
      <c r="A93" s="216"/>
      <c r="B93" s="216"/>
      <c r="C93" s="216"/>
      <c r="D93" s="216"/>
      <c r="E93" s="216"/>
      <c r="F93" s="216"/>
      <c r="G93" s="203"/>
      <c r="H93" s="203"/>
      <c r="I93" s="203"/>
      <c r="J93" s="203"/>
      <c r="K93" s="203"/>
      <c r="L93" s="203"/>
      <c r="M93" s="203"/>
      <c r="N93" s="203"/>
      <c r="O93" s="203"/>
      <c r="P93" s="203"/>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91"/>
      <c r="AS93" s="291"/>
      <c r="AT93" s="291"/>
      <c r="AU93" s="291"/>
      <c r="AV93" s="291"/>
      <c r="AW93" s="291"/>
      <c r="AX93" s="291"/>
      <c r="AY93" s="291"/>
      <c r="AZ93" s="291"/>
      <c r="BA93" s="291"/>
      <c r="BB93" s="291"/>
      <c r="BC93" s="291"/>
      <c r="BD93" s="291"/>
      <c r="BE93" s="291"/>
      <c r="BF93" s="291"/>
      <c r="BG93" s="291"/>
      <c r="BH93" s="291"/>
      <c r="BI93" s="291"/>
      <c r="BJ93" s="291"/>
      <c r="BK93" s="291"/>
      <c r="BL93" s="291"/>
      <c r="BM93" s="291"/>
      <c r="BN93" s="291"/>
      <c r="BO93" s="222"/>
      <c r="BP93" s="221"/>
      <c r="BQ93" s="221"/>
      <c r="BR93" s="221"/>
      <c r="BS93" s="221"/>
      <c r="BT93" s="221"/>
      <c r="BU93" s="221"/>
      <c r="BV93" s="221"/>
      <c r="BW93" s="221"/>
      <c r="BX93" s="221"/>
      <c r="BY93" s="221"/>
      <c r="BZ93" s="221"/>
      <c r="CA93" s="221"/>
      <c r="CB93" s="221"/>
      <c r="CC93" s="221"/>
      <c r="CD93" s="221"/>
      <c r="CE93" s="221"/>
      <c r="CF93" s="221"/>
      <c r="CG93" s="221"/>
      <c r="CH93" s="221"/>
      <c r="CI93" s="221"/>
      <c r="CJ93" s="221"/>
      <c r="CK93" s="221"/>
      <c r="CL93" s="221"/>
      <c r="CM93" s="221"/>
      <c r="CN93" s="221"/>
      <c r="CO93" s="221"/>
      <c r="CP93" s="221"/>
      <c r="CQ93" s="221"/>
      <c r="CR93" s="221"/>
      <c r="CS93" s="221"/>
      <c r="CT93" s="221"/>
      <c r="CU93" s="221"/>
      <c r="CV93" s="276"/>
      <c r="CW93" s="276"/>
      <c r="CX93" s="216"/>
      <c r="CY93" s="216"/>
      <c r="CZ93" s="203"/>
      <c r="DA93" s="203"/>
      <c r="DB93" s="203"/>
      <c r="DC93" s="203"/>
      <c r="DD93" s="203"/>
      <c r="DE93" s="203"/>
      <c r="DF93" s="291"/>
      <c r="DG93" s="291"/>
      <c r="DH93" s="291"/>
      <c r="DI93" s="291"/>
      <c r="DJ93" s="291"/>
      <c r="DK93" s="291"/>
      <c r="DL93" s="222"/>
      <c r="DM93" s="221"/>
      <c r="DN93" s="221"/>
      <c r="DO93" s="221"/>
      <c r="DP93" s="221"/>
      <c r="DQ93" s="221"/>
      <c r="DR93" s="221"/>
      <c r="DS93" s="221"/>
      <c r="DT93" s="221"/>
      <c r="DU93" s="221"/>
      <c r="DV93" s="221"/>
      <c r="DW93" s="221"/>
      <c r="DX93" s="221"/>
      <c r="DY93" s="221"/>
      <c r="DZ93" s="221"/>
      <c r="EA93" s="221"/>
      <c r="EB93" s="221"/>
    </row>
    <row r="94" spans="1:132" x14ac:dyDescent="0.25">
      <c r="A94" s="216"/>
      <c r="B94" s="216"/>
      <c r="C94" s="216"/>
      <c r="D94" s="216"/>
      <c r="E94" s="216"/>
      <c r="F94" s="216"/>
      <c r="G94" s="216"/>
      <c r="H94" s="216"/>
      <c r="I94" s="216"/>
      <c r="J94" s="216"/>
      <c r="K94" s="216"/>
      <c r="L94" s="216"/>
      <c r="M94" s="216"/>
      <c r="N94" s="216"/>
      <c r="O94" s="216"/>
      <c r="P94" s="216"/>
      <c r="Q94" s="216"/>
      <c r="R94" s="216"/>
      <c r="S94" s="216"/>
      <c r="T94" s="216"/>
      <c r="U94" s="216"/>
      <c r="V94" s="216"/>
      <c r="W94" s="216"/>
      <c r="X94" s="216"/>
      <c r="Y94" s="216"/>
      <c r="Z94" s="216"/>
      <c r="AA94" s="216"/>
      <c r="AB94" s="216"/>
      <c r="AC94" s="216"/>
      <c r="AD94" s="216"/>
      <c r="AE94" s="216"/>
      <c r="AF94" s="216"/>
      <c r="AG94" s="216"/>
      <c r="AH94" s="216"/>
      <c r="AI94" s="216"/>
      <c r="AJ94" s="216"/>
      <c r="AK94" s="216"/>
      <c r="AL94" s="216"/>
      <c r="AM94" s="216"/>
      <c r="AN94" s="216"/>
      <c r="AO94" s="216"/>
      <c r="AP94" s="216"/>
      <c r="AQ94" s="216"/>
      <c r="AR94" s="216"/>
      <c r="AS94" s="216"/>
      <c r="AT94" s="216"/>
      <c r="AU94" s="216"/>
      <c r="AV94" s="216"/>
      <c r="AW94" s="216"/>
      <c r="AX94" s="216"/>
      <c r="AY94" s="216"/>
      <c r="AZ94" s="216"/>
      <c r="BA94" s="216"/>
      <c r="BB94" s="216"/>
      <c r="BC94" s="216"/>
      <c r="BD94" s="216"/>
      <c r="BE94" s="216"/>
      <c r="BF94" s="216"/>
      <c r="BG94" s="216"/>
      <c r="BH94" s="216"/>
      <c r="BI94" s="216"/>
      <c r="BJ94" s="216"/>
      <c r="BK94" s="216"/>
      <c r="BL94" s="216"/>
      <c r="BM94" s="216"/>
      <c r="BN94" s="216"/>
      <c r="BO94" s="277"/>
      <c r="BP94" s="276"/>
      <c r="BQ94" s="276"/>
      <c r="BR94" s="276"/>
      <c r="BS94" s="276"/>
      <c r="BT94" s="276"/>
      <c r="BU94" s="276"/>
      <c r="BV94" s="276"/>
      <c r="BW94" s="276"/>
      <c r="BX94" s="276"/>
      <c r="BY94" s="276"/>
      <c r="BZ94" s="276"/>
      <c r="CA94" s="276"/>
      <c r="CB94" s="276"/>
      <c r="CC94" s="276"/>
      <c r="CD94" s="276"/>
      <c r="CE94" s="276"/>
      <c r="CF94" s="276"/>
      <c r="CG94" s="276"/>
      <c r="CH94" s="276"/>
      <c r="CI94" s="276"/>
      <c r="CJ94" s="276"/>
      <c r="CK94" s="276"/>
      <c r="CL94" s="276"/>
      <c r="CM94" s="276"/>
      <c r="CN94" s="276"/>
      <c r="CO94" s="276"/>
      <c r="CP94" s="276"/>
      <c r="CQ94" s="276"/>
      <c r="CR94" s="276"/>
      <c r="CS94" s="276"/>
      <c r="CT94" s="276"/>
      <c r="CU94" s="276"/>
      <c r="CV94" s="276"/>
      <c r="CW94" s="276"/>
      <c r="CX94" s="216"/>
      <c r="CY94" s="216"/>
      <c r="CZ94" s="216"/>
      <c r="DA94" s="216"/>
      <c r="DB94" s="216"/>
      <c r="DC94" s="216"/>
      <c r="DD94" s="216"/>
      <c r="DE94" s="216"/>
      <c r="DF94" s="216"/>
      <c r="DG94" s="216"/>
      <c r="DH94" s="216"/>
      <c r="DI94" s="216"/>
      <c r="DJ94" s="216"/>
      <c r="DK94" s="216"/>
      <c r="DL94" s="277"/>
      <c r="DM94" s="276"/>
      <c r="DN94" s="276"/>
      <c r="DO94" s="276"/>
      <c r="DP94" s="276"/>
      <c r="DQ94" s="276"/>
      <c r="DR94" s="276"/>
      <c r="DS94" s="276"/>
      <c r="DT94" s="276"/>
      <c r="DU94" s="276"/>
      <c r="DV94" s="276"/>
      <c r="DW94" s="276"/>
      <c r="DX94" s="276"/>
      <c r="DY94" s="276"/>
      <c r="DZ94" s="276"/>
      <c r="EA94" s="276"/>
      <c r="EB94" s="276"/>
    </row>
    <row r="95" spans="1:132" x14ac:dyDescent="0.25">
      <c r="A95" s="216"/>
      <c r="B95" s="216"/>
      <c r="C95" s="216"/>
      <c r="D95" s="216"/>
      <c r="E95" s="216"/>
      <c r="F95" s="216"/>
      <c r="G95" s="216"/>
      <c r="H95" s="216"/>
      <c r="I95" s="216"/>
      <c r="J95" s="216"/>
      <c r="K95" s="216"/>
      <c r="L95" s="216"/>
      <c r="M95" s="216"/>
      <c r="N95" s="216"/>
      <c r="O95" s="216"/>
      <c r="P95" s="216"/>
      <c r="Q95" s="216"/>
      <c r="R95" s="216"/>
      <c r="S95" s="216"/>
      <c r="T95" s="216"/>
      <c r="U95" s="216"/>
      <c r="V95" s="216"/>
      <c r="W95" s="216"/>
      <c r="X95" s="216"/>
      <c r="Y95" s="216"/>
      <c r="Z95" s="216"/>
      <c r="AA95" s="216"/>
      <c r="AB95" s="216"/>
      <c r="AC95" s="216"/>
      <c r="AD95" s="216"/>
      <c r="AE95" s="216"/>
      <c r="AF95" s="216"/>
      <c r="AG95" s="216"/>
      <c r="AH95" s="216"/>
      <c r="AI95" s="216"/>
      <c r="AJ95" s="216"/>
      <c r="AK95" s="216"/>
      <c r="AL95" s="216"/>
      <c r="AM95" s="216"/>
      <c r="AN95" s="216"/>
      <c r="AO95" s="216"/>
      <c r="AP95" s="216"/>
      <c r="AQ95" s="216"/>
      <c r="AR95" s="216"/>
      <c r="AS95" s="216"/>
      <c r="AT95" s="216"/>
      <c r="AU95" s="216"/>
      <c r="AV95" s="216"/>
      <c r="AW95" s="216"/>
      <c r="AX95" s="216"/>
      <c r="AY95" s="216"/>
      <c r="AZ95" s="216"/>
      <c r="BA95" s="216"/>
      <c r="BB95" s="216"/>
      <c r="BC95" s="216"/>
      <c r="BD95" s="216"/>
      <c r="BE95" s="216"/>
      <c r="BF95" s="216"/>
      <c r="BG95" s="216"/>
      <c r="BH95" s="216"/>
      <c r="BI95" s="216"/>
      <c r="BJ95" s="216"/>
      <c r="BK95" s="216"/>
      <c r="BL95" s="216"/>
      <c r="BM95" s="216"/>
      <c r="BN95" s="216"/>
      <c r="BO95" s="277"/>
      <c r="BP95" s="276"/>
      <c r="BQ95" s="276"/>
      <c r="BR95" s="276"/>
      <c r="BS95" s="276"/>
      <c r="BT95" s="276"/>
      <c r="BU95" s="276"/>
      <c r="BV95" s="276"/>
      <c r="BW95" s="276"/>
      <c r="BX95" s="276"/>
      <c r="BY95" s="276"/>
      <c r="BZ95" s="276"/>
      <c r="CA95" s="276"/>
      <c r="CB95" s="276"/>
      <c r="CC95" s="276"/>
      <c r="CD95" s="276"/>
      <c r="CE95" s="276"/>
      <c r="CF95" s="276"/>
      <c r="CG95" s="276"/>
      <c r="CH95" s="276"/>
      <c r="CI95" s="276"/>
      <c r="CJ95" s="276"/>
      <c r="CK95" s="276"/>
      <c r="CL95" s="276"/>
      <c r="CM95" s="276"/>
      <c r="CN95" s="276"/>
      <c r="CO95" s="276"/>
      <c r="CP95" s="276"/>
      <c r="CQ95" s="276"/>
      <c r="CR95" s="276"/>
      <c r="CS95" s="276"/>
      <c r="CT95" s="276"/>
      <c r="CU95" s="276"/>
      <c r="CV95" s="276"/>
      <c r="CW95" s="276"/>
      <c r="CX95" s="216"/>
      <c r="CY95" s="216"/>
      <c r="CZ95" s="216"/>
      <c r="DA95" s="216"/>
      <c r="DB95" s="216"/>
      <c r="DC95" s="216"/>
      <c r="DD95" s="216"/>
      <c r="DE95" s="216"/>
      <c r="DF95" s="216"/>
      <c r="DG95" s="216"/>
      <c r="DH95" s="216"/>
      <c r="DI95" s="216"/>
      <c r="DJ95" s="216"/>
      <c r="DK95" s="216"/>
      <c r="DL95" s="277"/>
      <c r="DM95" s="276"/>
      <c r="DN95" s="276"/>
      <c r="DO95" s="276"/>
      <c r="DP95" s="276"/>
      <c r="DQ95" s="276"/>
      <c r="DR95" s="276"/>
      <c r="DS95" s="276"/>
      <c r="DT95" s="276"/>
      <c r="DU95" s="276"/>
      <c r="DV95" s="276"/>
      <c r="DW95" s="276"/>
      <c r="DX95" s="276"/>
      <c r="DY95" s="276"/>
      <c r="DZ95" s="276"/>
      <c r="EA95" s="276"/>
      <c r="EB95" s="276"/>
    </row>
    <row r="96" spans="1:132" x14ac:dyDescent="0.25">
      <c r="A96" s="216"/>
      <c r="B96" s="216"/>
      <c r="C96" s="216"/>
      <c r="D96" s="216"/>
      <c r="E96" s="216"/>
      <c r="F96" s="216"/>
      <c r="G96" s="216"/>
      <c r="H96" s="216"/>
      <c r="I96" s="216"/>
      <c r="J96" s="216"/>
      <c r="K96" s="216"/>
      <c r="L96" s="216"/>
      <c r="M96" s="216"/>
      <c r="N96" s="216"/>
      <c r="O96" s="216"/>
      <c r="P96" s="216"/>
      <c r="Q96" s="216"/>
      <c r="R96" s="216"/>
      <c r="S96" s="216"/>
      <c r="T96" s="216"/>
      <c r="U96" s="216"/>
      <c r="V96" s="216"/>
      <c r="W96" s="216"/>
      <c r="X96" s="216"/>
      <c r="Y96" s="216"/>
      <c r="Z96" s="216"/>
      <c r="AA96" s="216"/>
      <c r="AB96" s="216"/>
      <c r="AC96" s="216"/>
      <c r="AD96" s="216"/>
      <c r="AE96" s="216"/>
      <c r="AF96" s="216"/>
      <c r="AG96" s="216"/>
      <c r="AH96" s="216"/>
      <c r="AI96" s="216"/>
      <c r="AJ96" s="216"/>
      <c r="AK96" s="216"/>
      <c r="AL96" s="216"/>
      <c r="AM96" s="216"/>
      <c r="AN96" s="216"/>
      <c r="AO96" s="216"/>
      <c r="AP96" s="216"/>
      <c r="AQ96" s="216"/>
      <c r="AR96" s="216"/>
      <c r="AS96" s="216"/>
      <c r="AT96" s="216"/>
      <c r="AU96" s="216"/>
      <c r="AV96" s="216"/>
      <c r="AW96" s="216"/>
      <c r="AX96" s="216"/>
      <c r="AY96" s="216"/>
      <c r="AZ96" s="216"/>
      <c r="BA96" s="216"/>
      <c r="BB96" s="216"/>
      <c r="BC96" s="216"/>
      <c r="BD96" s="216"/>
      <c r="BE96" s="216"/>
      <c r="BF96" s="216"/>
      <c r="BG96" s="216"/>
      <c r="BH96" s="216"/>
      <c r="BI96" s="216"/>
      <c r="BJ96" s="216"/>
      <c r="BK96" s="216"/>
      <c r="BL96" s="216"/>
      <c r="BM96" s="216"/>
      <c r="BN96" s="216"/>
      <c r="BO96" s="277"/>
      <c r="BP96" s="276"/>
      <c r="BQ96" s="276"/>
      <c r="BR96" s="276"/>
      <c r="BS96" s="276"/>
      <c r="BT96" s="276"/>
      <c r="BU96" s="276"/>
      <c r="BV96" s="276"/>
      <c r="BW96" s="276"/>
      <c r="BX96" s="276"/>
      <c r="BY96" s="276"/>
      <c r="BZ96" s="276"/>
      <c r="CA96" s="276"/>
      <c r="CB96" s="276"/>
      <c r="CC96" s="276"/>
      <c r="CD96" s="276"/>
      <c r="CE96" s="276"/>
      <c r="CF96" s="276"/>
      <c r="CG96" s="276"/>
      <c r="CH96" s="276"/>
      <c r="CI96" s="276"/>
      <c r="CJ96" s="276"/>
      <c r="CK96" s="276"/>
      <c r="CL96" s="276"/>
      <c r="CM96" s="276"/>
      <c r="CN96" s="276"/>
      <c r="CO96" s="276"/>
      <c r="CP96" s="276"/>
      <c r="CQ96" s="276"/>
      <c r="CR96" s="276"/>
      <c r="CS96" s="276"/>
      <c r="CT96" s="276"/>
      <c r="CU96" s="276"/>
      <c r="CV96" s="276"/>
      <c r="CW96" s="276"/>
      <c r="CX96" s="216"/>
      <c r="CY96" s="216"/>
      <c r="CZ96" s="216"/>
      <c r="DA96" s="216"/>
      <c r="DB96" s="216"/>
      <c r="DC96" s="216"/>
      <c r="DD96" s="216"/>
      <c r="DE96" s="216"/>
      <c r="DF96" s="216"/>
      <c r="DG96" s="216"/>
      <c r="DH96" s="216"/>
      <c r="DI96" s="216"/>
      <c r="DJ96" s="216"/>
      <c r="DK96" s="216"/>
      <c r="DL96" s="277"/>
      <c r="DM96" s="276"/>
      <c r="DN96" s="276"/>
      <c r="DO96" s="276"/>
      <c r="DP96" s="276"/>
      <c r="DQ96" s="276"/>
      <c r="DR96" s="276"/>
      <c r="DS96" s="276"/>
      <c r="DT96" s="276"/>
      <c r="DU96" s="276"/>
      <c r="DV96" s="276"/>
      <c r="DW96" s="276"/>
      <c r="DX96" s="276"/>
      <c r="DY96" s="276"/>
      <c r="DZ96" s="276"/>
      <c r="EA96" s="276"/>
      <c r="EB96" s="276"/>
    </row>
    <row r="97" spans="1:132" x14ac:dyDescent="0.25">
      <c r="A97" s="216"/>
      <c r="B97" s="216"/>
      <c r="C97" s="216"/>
      <c r="D97" s="216"/>
      <c r="E97" s="216"/>
      <c r="F97" s="216"/>
      <c r="G97" s="216"/>
      <c r="H97" s="216"/>
      <c r="I97" s="216"/>
      <c r="J97" s="216"/>
      <c r="K97" s="216"/>
      <c r="L97" s="216"/>
      <c r="M97" s="216"/>
      <c r="N97" s="216"/>
      <c r="O97" s="216"/>
      <c r="P97" s="216"/>
      <c r="Q97" s="216"/>
      <c r="R97" s="216"/>
      <c r="S97" s="216"/>
      <c r="T97" s="216"/>
      <c r="U97" s="216"/>
      <c r="V97" s="216"/>
      <c r="W97" s="216"/>
      <c r="X97" s="216"/>
      <c r="Y97" s="216"/>
      <c r="Z97" s="216"/>
      <c r="AA97" s="216"/>
      <c r="AB97" s="216"/>
      <c r="AC97" s="216"/>
      <c r="AD97" s="216"/>
      <c r="AE97" s="216"/>
      <c r="AF97" s="216"/>
      <c r="AG97" s="216"/>
      <c r="AH97" s="216"/>
      <c r="AI97" s="216"/>
      <c r="AJ97" s="216"/>
      <c r="AK97" s="216"/>
      <c r="AL97" s="216"/>
      <c r="AM97" s="216"/>
      <c r="AN97" s="216"/>
      <c r="AO97" s="216"/>
      <c r="AP97" s="216"/>
      <c r="AQ97" s="216"/>
      <c r="AR97" s="216"/>
      <c r="AS97" s="216"/>
      <c r="AT97" s="216"/>
      <c r="AU97" s="216"/>
      <c r="AV97" s="216"/>
      <c r="AW97" s="216"/>
      <c r="AX97" s="216"/>
      <c r="AY97" s="216"/>
      <c r="AZ97" s="216"/>
      <c r="BA97" s="216"/>
      <c r="BB97" s="216"/>
      <c r="BC97" s="216"/>
      <c r="BD97" s="216"/>
      <c r="BE97" s="216"/>
      <c r="BF97" s="216"/>
      <c r="BG97" s="216"/>
      <c r="BH97" s="216"/>
      <c r="BI97" s="216"/>
      <c r="BJ97" s="216"/>
      <c r="BK97" s="216"/>
      <c r="BL97" s="216"/>
      <c r="BM97" s="216"/>
      <c r="BN97" s="216"/>
      <c r="BO97" s="277"/>
      <c r="BP97" s="276"/>
      <c r="BQ97" s="276"/>
      <c r="BR97" s="276"/>
      <c r="BS97" s="276"/>
      <c r="BT97" s="276"/>
      <c r="BU97" s="276"/>
      <c r="BV97" s="276"/>
      <c r="BW97" s="276"/>
      <c r="BX97" s="276"/>
      <c r="BY97" s="276"/>
      <c r="BZ97" s="276"/>
      <c r="CA97" s="276"/>
      <c r="CB97" s="276"/>
      <c r="CC97" s="276"/>
      <c r="CD97" s="276"/>
      <c r="CE97" s="276"/>
      <c r="CF97" s="276"/>
      <c r="CG97" s="276"/>
      <c r="CH97" s="276"/>
      <c r="CI97" s="276"/>
      <c r="CJ97" s="276"/>
      <c r="CK97" s="276"/>
      <c r="CL97" s="276"/>
      <c r="CM97" s="276"/>
      <c r="CN97" s="276"/>
      <c r="CO97" s="276"/>
      <c r="CP97" s="276"/>
      <c r="CQ97" s="276"/>
      <c r="CR97" s="276"/>
      <c r="CS97" s="276"/>
      <c r="CT97" s="276"/>
      <c r="CU97" s="276"/>
      <c r="CV97" s="276"/>
      <c r="CW97" s="276"/>
      <c r="CX97" s="216"/>
      <c r="CY97" s="216"/>
      <c r="CZ97" s="216"/>
      <c r="DA97" s="216"/>
      <c r="DB97" s="216"/>
      <c r="DC97" s="216"/>
      <c r="DD97" s="216"/>
      <c r="DE97" s="216"/>
      <c r="DF97" s="216"/>
      <c r="DG97" s="216"/>
      <c r="DH97" s="216"/>
      <c r="DI97" s="216"/>
      <c r="DJ97" s="216"/>
      <c r="DK97" s="216"/>
      <c r="DL97" s="277"/>
      <c r="DM97" s="276"/>
      <c r="DN97" s="276"/>
      <c r="DO97" s="276"/>
      <c r="DP97" s="276"/>
      <c r="DQ97" s="276"/>
      <c r="DR97" s="276"/>
      <c r="DS97" s="276"/>
      <c r="DT97" s="276"/>
      <c r="DU97" s="276"/>
      <c r="DV97" s="276"/>
      <c r="DW97" s="276"/>
      <c r="DX97" s="276"/>
      <c r="DY97" s="276"/>
      <c r="DZ97" s="276"/>
      <c r="EA97" s="276"/>
      <c r="EB97" s="276"/>
    </row>
    <row r="98" spans="1:132" x14ac:dyDescent="0.25">
      <c r="DX98" s="576"/>
      <c r="DY98" s="576"/>
      <c r="DZ98" s="576"/>
      <c r="EA98" s="576"/>
      <c r="EB98" s="576"/>
    </row>
    <row r="99" spans="1:132" x14ac:dyDescent="0.25">
      <c r="DX99" s="576"/>
      <c r="DY99" s="576"/>
      <c r="DZ99" s="576"/>
      <c r="EA99" s="576"/>
      <c r="EB99" s="576"/>
    </row>
    <row r="100" spans="1:132" x14ac:dyDescent="0.25">
      <c r="DX100" s="576"/>
      <c r="DY100" s="576"/>
      <c r="DZ100" s="576"/>
      <c r="EA100" s="576"/>
      <c r="EB100" s="576"/>
    </row>
    <row r="101" spans="1:132" x14ac:dyDescent="0.25">
      <c r="DX101" s="576"/>
      <c r="DY101" s="576"/>
      <c r="DZ101" s="576"/>
      <c r="EA101" s="576"/>
      <c r="EB101" s="576"/>
    </row>
    <row r="102" spans="1:132" x14ac:dyDescent="0.25">
      <c r="DX102" s="576"/>
      <c r="DY102" s="576"/>
      <c r="DZ102" s="576"/>
      <c r="EA102" s="576"/>
      <c r="EB102" s="576"/>
    </row>
    <row r="103" spans="1:132" x14ac:dyDescent="0.25">
      <c r="DX103" s="576"/>
      <c r="DY103" s="576"/>
      <c r="DZ103" s="576"/>
      <c r="EA103" s="576"/>
      <c r="EB103" s="576"/>
    </row>
    <row r="104" spans="1:132" x14ac:dyDescent="0.25">
      <c r="DX104" s="576"/>
      <c r="DY104" s="576"/>
      <c r="DZ104" s="576"/>
      <c r="EA104" s="576"/>
      <c r="EB104" s="576"/>
    </row>
    <row r="105" spans="1:132" x14ac:dyDescent="0.25">
      <c r="DX105" s="576"/>
      <c r="DY105" s="576"/>
      <c r="DZ105" s="576"/>
      <c r="EA105" s="576"/>
      <c r="EB105" s="576"/>
    </row>
    <row r="106" spans="1:132" x14ac:dyDescent="0.25">
      <c r="DX106" s="576"/>
      <c r="DY106" s="576"/>
      <c r="DZ106" s="576"/>
      <c r="EA106" s="576"/>
      <c r="EB106" s="576"/>
    </row>
    <row r="107" spans="1:132" x14ac:dyDescent="0.25">
      <c r="DX107" s="576"/>
      <c r="DY107" s="576"/>
      <c r="DZ107" s="576"/>
      <c r="EA107" s="576"/>
      <c r="EB107" s="576"/>
    </row>
    <row r="108" spans="1:132" x14ac:dyDescent="0.25">
      <c r="DX108" s="576"/>
      <c r="DY108" s="576"/>
      <c r="DZ108" s="576"/>
      <c r="EA108" s="576"/>
      <c r="EB108" s="576"/>
    </row>
    <row r="109" spans="1:132" x14ac:dyDescent="0.25">
      <c r="DX109" s="576"/>
      <c r="DY109" s="576"/>
      <c r="DZ109" s="576"/>
      <c r="EA109" s="576"/>
      <c r="EB109" s="576"/>
    </row>
    <row r="110" spans="1:132" x14ac:dyDescent="0.25">
      <c r="DX110" s="576"/>
      <c r="DY110" s="576"/>
      <c r="DZ110" s="576"/>
      <c r="EA110" s="576"/>
      <c r="EB110" s="576"/>
    </row>
    <row r="111" spans="1:132" x14ac:dyDescent="0.25">
      <c r="DX111" s="576"/>
      <c r="DY111" s="576"/>
      <c r="DZ111" s="576"/>
      <c r="EA111" s="576"/>
      <c r="EB111" s="576"/>
    </row>
    <row r="112" spans="1:132" x14ac:dyDescent="0.25">
      <c r="DX112" s="576"/>
      <c r="DY112" s="576"/>
      <c r="DZ112" s="576"/>
      <c r="EA112" s="576"/>
      <c r="EB112" s="576"/>
    </row>
    <row r="113" spans="128:132" x14ac:dyDescent="0.25">
      <c r="DX113" s="576"/>
      <c r="DY113" s="576"/>
      <c r="DZ113" s="576"/>
      <c r="EA113" s="576"/>
      <c r="EB113" s="576"/>
    </row>
    <row r="114" spans="128:132" x14ac:dyDescent="0.25">
      <c r="DX114" s="576"/>
      <c r="DY114" s="576"/>
      <c r="DZ114" s="576"/>
      <c r="EA114" s="576"/>
      <c r="EB114" s="576"/>
    </row>
    <row r="115" spans="128:132" x14ac:dyDescent="0.25">
      <c r="DX115" s="576"/>
      <c r="DY115" s="576"/>
      <c r="DZ115" s="576"/>
      <c r="EA115" s="576"/>
      <c r="EB115" s="576"/>
    </row>
    <row r="116" spans="128:132" x14ac:dyDescent="0.25">
      <c r="DX116" s="576"/>
      <c r="DY116" s="576"/>
      <c r="DZ116" s="576"/>
      <c r="EA116" s="576"/>
      <c r="EB116" s="576"/>
    </row>
    <row r="117" spans="128:132" x14ac:dyDescent="0.25">
      <c r="DX117" s="576"/>
      <c r="DY117" s="576"/>
      <c r="DZ117" s="576"/>
      <c r="EA117" s="576"/>
      <c r="EB117" s="576"/>
    </row>
    <row r="118" spans="128:132" x14ac:dyDescent="0.25">
      <c r="DX118" s="576"/>
      <c r="DY118" s="576"/>
      <c r="DZ118" s="576"/>
      <c r="EA118" s="576"/>
      <c r="EB118" s="576"/>
    </row>
    <row r="119" spans="128:132" x14ac:dyDescent="0.25">
      <c r="DX119" s="576"/>
      <c r="DY119" s="576"/>
      <c r="DZ119" s="576"/>
      <c r="EA119" s="576"/>
      <c r="EB119" s="576"/>
    </row>
    <row r="120" spans="128:132" x14ac:dyDescent="0.25">
      <c r="DX120" s="576"/>
      <c r="DY120" s="576"/>
      <c r="DZ120" s="576"/>
      <c r="EA120" s="576"/>
      <c r="EB120" s="576"/>
    </row>
    <row r="121" spans="128:132" x14ac:dyDescent="0.25">
      <c r="DX121" s="576"/>
      <c r="DY121" s="576"/>
      <c r="DZ121" s="576"/>
      <c r="EA121" s="576"/>
      <c r="EB121" s="576"/>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75"/>
  <sheetViews>
    <sheetView showGridLines="0" workbookViewId="0">
      <pane xSplit="1" ySplit="4" topLeftCell="AC5" activePane="bottomRight" state="frozen"/>
      <selection pane="topRight" activeCell="B1" sqref="B1"/>
      <selection pane="bottomLeft" activeCell="A5" sqref="A5"/>
      <selection pane="bottomRight" activeCell="AS2" sqref="AS2"/>
    </sheetView>
  </sheetViews>
  <sheetFormatPr defaultColWidth="11.42578125" defaultRowHeight="15" x14ac:dyDescent="0.25"/>
  <cols>
    <col min="1" max="1" width="38.5703125" bestFit="1" customWidth="1"/>
    <col min="2" max="2" width="12.5703125" bestFit="1" customWidth="1"/>
    <col min="24" max="26" width="12.5703125" bestFit="1" customWidth="1"/>
    <col min="27" max="33" width="12.42578125" bestFit="1" customWidth="1"/>
    <col min="34" max="34" width="12.42578125" customWidth="1"/>
    <col min="35" max="35" width="12.42578125" bestFit="1" customWidth="1"/>
    <col min="36" max="36" width="12.42578125" customWidth="1"/>
    <col min="37" max="40" width="11.5703125" bestFit="1" customWidth="1"/>
    <col min="41" max="45" width="12.42578125" bestFit="1" customWidth="1"/>
  </cols>
  <sheetData>
    <row r="1" spans="1:54" s="307" customFormat="1" ht="12.75" x14ac:dyDescent="0.2">
      <c r="A1" s="304" t="s">
        <v>42</v>
      </c>
      <c r="B1" s="305">
        <f>+macro!AP23</f>
        <v>4.4263249854397113E-3</v>
      </c>
      <c r="C1" s="305">
        <f>+macro!AQ23</f>
        <v>-1.7105415748578379E-3</v>
      </c>
      <c r="D1" s="305">
        <f>+macro!AR23</f>
        <v>6.2246488349353424E-3</v>
      </c>
      <c r="E1" s="305">
        <f>+macro!AS23</f>
        <v>1.9164534067075856E-2</v>
      </c>
      <c r="F1" s="305">
        <f>+macro!AT23</f>
        <v>8.5336152698849421E-3</v>
      </c>
      <c r="G1" s="305">
        <f>+macro!AU23</f>
        <v>-8.8919672775600311E-4</v>
      </c>
      <c r="H1" s="305">
        <f>+macro!AV23</f>
        <v>1.2843933560046095E-2</v>
      </c>
      <c r="I1" s="305">
        <f>+macro!AW23</f>
        <v>1.070166675916151E-2</v>
      </c>
      <c r="J1" s="305">
        <f>+macro!AX23</f>
        <v>2.3363930045483317E-2</v>
      </c>
      <c r="K1" s="305">
        <f>+macro!AY23</f>
        <v>1.0677493203605781E-2</v>
      </c>
      <c r="L1" s="305">
        <f>+macro!AZ23</f>
        <v>1.4006618414765803E-2</v>
      </c>
      <c r="M1" s="305">
        <f>+macro!BA23</f>
        <v>2.3621085330843616E-2</v>
      </c>
      <c r="N1" s="305">
        <f>+macro!BB23</f>
        <v>2.4303542810379497E-2</v>
      </c>
      <c r="O1" s="305">
        <f>+macro!BC23</f>
        <v>1.5687547333116836E-2</v>
      </c>
      <c r="P1" s="305">
        <f>+macro!BD23</f>
        <v>2.0705647143653083E-2</v>
      </c>
      <c r="Q1" s="305">
        <f>+macro!BE23</f>
        <v>1.5308538905523639E-2</v>
      </c>
      <c r="R1" s="305">
        <f>+macro!BF23</f>
        <v>1.510934708012468E-2</v>
      </c>
      <c r="S1" s="305">
        <f>+macro!BG23</f>
        <v>-1.3630451206879668E-3</v>
      </c>
      <c r="T1" s="305">
        <f>+macro!BH23</f>
        <v>1.4865771288626872E-2</v>
      </c>
      <c r="U1" s="305">
        <f>+macro!BI23</f>
        <v>1.731478635106054E-2</v>
      </c>
      <c r="V1" s="305">
        <f>+macro!BJ23</f>
        <v>1.2782062807370043E-2</v>
      </c>
      <c r="W1" s="305">
        <f>+macro!BK23</f>
        <v>3.9458471636892867E-3</v>
      </c>
      <c r="X1" s="305">
        <f>+macro!BL23</f>
        <v>1.1040611022779867E-2</v>
      </c>
      <c r="Y1" s="305">
        <f>+macro!BM23</f>
        <v>1.3734567901234618E-2</v>
      </c>
      <c r="Z1" s="305">
        <f>+macro!BN23</f>
        <v>8.7858556423026091E-3</v>
      </c>
      <c r="AA1" s="305">
        <f>+macro!BO23</f>
        <v>8.9392861505737109E-3</v>
      </c>
      <c r="AB1" s="305">
        <f>+macro!BP23</f>
        <v>3.1181225739822516E-3</v>
      </c>
      <c r="AC1" s="305">
        <f>+macro!BQ23</f>
        <v>1.373456790123484E-2</v>
      </c>
      <c r="AD1" s="305">
        <f>+macro!BR23</f>
        <v>8.7858556423026091E-3</v>
      </c>
      <c r="AE1" s="305">
        <f>+macro!BS23</f>
        <v>8.9392861505737109E-3</v>
      </c>
      <c r="AF1" s="305">
        <f>+macro!BT23</f>
        <v>3.1181225739822516E-3</v>
      </c>
      <c r="AG1" s="305">
        <f>+macro!BU23</f>
        <v>1.373456790123484E-2</v>
      </c>
      <c r="AH1" s="306"/>
      <c r="AI1" s="305">
        <v>9.486886717853249E-3</v>
      </c>
      <c r="AJ1" s="306"/>
      <c r="AL1" s="305">
        <f>+macro!DG83</f>
        <v>2.8285769753445988E-2</v>
      </c>
      <c r="AM1" s="305">
        <f>+macro!DH83</f>
        <v>3.1500745747352177E-2</v>
      </c>
      <c r="AN1" s="305">
        <f>+macro!DI83</f>
        <v>7.3551079426380284E-2</v>
      </c>
      <c r="AO1" s="305">
        <f>+macro!DJ83</f>
        <v>7.8170286766460872E-2</v>
      </c>
      <c r="AP1" s="305">
        <f>+macro!DK83</f>
        <v>4.6608896408861566E-2</v>
      </c>
      <c r="AQ1" s="305">
        <f>+macro!DL83</f>
        <v>4.2123393743437321E-2</v>
      </c>
      <c r="AR1" s="305">
        <f>+macro!DM83</f>
        <v>3.499999999999992E-2</v>
      </c>
      <c r="AS1" s="305">
        <f>+macro!DN83</f>
        <v>3.5000000000000142E-2</v>
      </c>
      <c r="AT1" s="305">
        <f>+macro!DO83</f>
        <v>3.5000000000000142E-2</v>
      </c>
      <c r="AU1" s="305">
        <f>+macro!DP83</f>
        <v>3.5000000000000142E-2</v>
      </c>
      <c r="AV1" s="305">
        <f>+macro!DQ83</f>
        <v>3.5000000000000142E-2</v>
      </c>
      <c r="AW1" s="305">
        <f>+macro!DR83</f>
        <v>3.5000000000000142E-2</v>
      </c>
      <c r="AX1" s="305">
        <f>+macro!DS83</f>
        <v>3.5000000000000142E-2</v>
      </c>
      <c r="AY1" s="305">
        <f>+macro!DT83</f>
        <v>3.5000000000000142E-2</v>
      </c>
      <c r="AZ1" s="305">
        <f>+macro!DU83</f>
        <v>3.5000000000000142E-2</v>
      </c>
      <c r="BA1" s="305">
        <f>+macro!DV83</f>
        <v>3.5000000000000142E-2</v>
      </c>
      <c r="BB1" s="305">
        <f>+macro!DW83</f>
        <v>3.5000000000000142E-2</v>
      </c>
    </row>
    <row r="2" spans="1:54" s="311" customFormat="1" ht="12.75" x14ac:dyDescent="0.2">
      <c r="A2" s="308" t="s">
        <v>83</v>
      </c>
      <c r="B2" s="309">
        <f>+macro!AP51</f>
        <v>8.5150000000000003E-2</v>
      </c>
      <c r="C2" s="309">
        <f>+macro!AQ51</f>
        <v>8.488699999999999E-2</v>
      </c>
      <c r="D2" s="309">
        <f>+macro!AR51</f>
        <v>8.0274999999999999E-2</v>
      </c>
      <c r="E2" s="309" t="e">
        <f>+macro!AS51</f>
        <v>#VALUE!</v>
      </c>
      <c r="F2" s="309" t="e">
        <f>+macro!AT51</f>
        <v>#VALUE!</v>
      </c>
      <c r="G2" s="309">
        <f>+macro!AU51</f>
        <v>5.2843000000000001E-2</v>
      </c>
      <c r="H2" s="309">
        <f>+macro!AV51</f>
        <v>4.7500000000000001E-2</v>
      </c>
      <c r="I2" s="309">
        <f>+macro!AW51</f>
        <v>4.2500000000000003E-2</v>
      </c>
      <c r="J2" s="309">
        <f>+macro!AX51</f>
        <v>4.2875000000000003E-2</v>
      </c>
      <c r="K2" s="309">
        <f>+macro!AY51</f>
        <v>4.53E-2</v>
      </c>
      <c r="L2" s="309">
        <f>+macro!AZ51</f>
        <v>4.7500000000000001E-2</v>
      </c>
      <c r="M2" s="309">
        <f>+macro!BA51</f>
        <v>5.7099999999999998E-2</v>
      </c>
      <c r="N2" s="309">
        <f>+macro!BB51</f>
        <v>6.7199999999999996E-2</v>
      </c>
      <c r="O2" s="309">
        <f>+macro!BC51</f>
        <v>8.0299999999999996E-2</v>
      </c>
      <c r="P2" s="309">
        <f>+macro!BD51</f>
        <v>9.5000000000000001E-2</v>
      </c>
      <c r="Q2" s="309">
        <f>+macro!BE51</f>
        <v>0.105</v>
      </c>
      <c r="R2" s="309">
        <f>+macro!BF51</f>
        <v>0.115</v>
      </c>
      <c r="S2" s="309">
        <f>+macro!BG51</f>
        <v>0.115</v>
      </c>
      <c r="T2" s="309">
        <f>+macro!BH51</f>
        <v>0.11502800000000001</v>
      </c>
      <c r="U2" s="309">
        <f>+macro!BI51</f>
        <v>0.11502499999999999</v>
      </c>
      <c r="V2" s="309">
        <f>+macro!BJ51</f>
        <v>0.112485</v>
      </c>
      <c r="W2" s="309">
        <f>+macro!BK51</f>
        <v>0.112445</v>
      </c>
      <c r="X2" s="309">
        <f>+macro!BL51</f>
        <v>0.1074</v>
      </c>
      <c r="Y2" s="309">
        <f>+macro!BM51</f>
        <v>0.10244999999999999</v>
      </c>
      <c r="Z2" s="309">
        <f>+macro!BN51</f>
        <v>9.2704000000000009E-2</v>
      </c>
      <c r="AA2" s="309">
        <f>+macro!BO51</f>
        <v>9.2704000000000009E-2</v>
      </c>
      <c r="AB2" s="309">
        <f>+macro!BP51</f>
        <v>7.7499999999999999E-2</v>
      </c>
      <c r="AC2" s="309">
        <f>+macro!BQ51</f>
        <v>7.4999999999999997E-2</v>
      </c>
      <c r="AD2" s="309">
        <f>+macro!BR51</f>
        <v>7.2999999999999995E-2</v>
      </c>
      <c r="AE2" s="309">
        <f>+macro!BS51</f>
        <v>7.0999999999999994E-2</v>
      </c>
      <c r="AF2" s="309">
        <f>+macro!BT51</f>
        <v>7.0499999999999993E-2</v>
      </c>
      <c r="AG2" s="309">
        <f>+macro!BU51</f>
        <v>6.8000000000000005E-2</v>
      </c>
      <c r="AH2" s="310"/>
      <c r="AI2" s="309">
        <v>9.4499999999999987E-2</v>
      </c>
      <c r="AJ2" s="310"/>
      <c r="AL2" s="312" t="e">
        <f>+macro!DG51</f>
        <v>#VALUE!</v>
      </c>
      <c r="AM2" s="312">
        <f>+macro!DH51</f>
        <v>4.2500000000000003E-2</v>
      </c>
      <c r="AN2" s="312">
        <f>+macro!DI51</f>
        <v>5.7099999999999998E-2</v>
      </c>
      <c r="AO2" s="312">
        <f>+macro!DJ51</f>
        <v>0.105</v>
      </c>
      <c r="AP2" s="312">
        <f>+macro!DK51</f>
        <v>0.11502499999999999</v>
      </c>
      <c r="AQ2" s="312">
        <f>+macro!DL51</f>
        <v>0.10244999999999999</v>
      </c>
      <c r="AR2" s="312">
        <f>+macro!DM51</f>
        <v>7.4999999999999997E-2</v>
      </c>
      <c r="AS2" s="312">
        <f>+macro!DN51</f>
        <v>6.8000000000000005E-2</v>
      </c>
      <c r="AT2" s="312">
        <f>+macro!DO51</f>
        <v>6.8000000000000005E-2</v>
      </c>
      <c r="AU2" s="312">
        <f>+macro!DP51</f>
        <v>6.8000000000000005E-2</v>
      </c>
      <c r="AV2" s="312">
        <f>+macro!DQ51</f>
        <v>6.8000000000000005E-2</v>
      </c>
      <c r="AW2" s="312">
        <f>+macro!DR51</f>
        <v>6.8000000000000005E-2</v>
      </c>
      <c r="AX2" s="312">
        <f>+macro!DS51</f>
        <v>6.8000000000000005E-2</v>
      </c>
      <c r="AY2" s="312">
        <f>+macro!DT51</f>
        <v>6.8000000000000005E-2</v>
      </c>
      <c r="AZ2" s="312">
        <f>+macro!DU51</f>
        <v>6.8000000000000005E-2</v>
      </c>
      <c r="BA2" s="312">
        <f>+macro!DV51</f>
        <v>6.8000000000000005E-2</v>
      </c>
      <c r="BB2" s="312">
        <f>+macro!DW51</f>
        <v>6.8000000000000005E-2</v>
      </c>
    </row>
    <row r="3" spans="1:54" s="313" customFormat="1" ht="11.25" x14ac:dyDescent="0.2">
      <c r="AL3" s="314">
        <v>43830</v>
      </c>
      <c r="AM3" s="314">
        <f t="shared" ref="AM3:AS3" si="0">+EOMONTH(AL3,12)</f>
        <v>44196</v>
      </c>
      <c r="AN3" s="314">
        <f t="shared" si="0"/>
        <v>44561</v>
      </c>
      <c r="AO3" s="314">
        <f t="shared" si="0"/>
        <v>44926</v>
      </c>
      <c r="AP3" s="314">
        <f t="shared" si="0"/>
        <v>45291</v>
      </c>
      <c r="AQ3" s="314">
        <f t="shared" si="0"/>
        <v>45657</v>
      </c>
      <c r="AR3" s="314">
        <f t="shared" si="0"/>
        <v>46022</v>
      </c>
      <c r="AS3" s="314">
        <f t="shared" si="0"/>
        <v>46387</v>
      </c>
      <c r="AT3" s="315"/>
      <c r="AU3" s="315"/>
      <c r="AV3" s="315"/>
      <c r="AW3" s="315"/>
      <c r="AX3" s="315"/>
      <c r="AY3" s="315"/>
      <c r="AZ3" s="315"/>
      <c r="BA3" s="315"/>
      <c r="BB3" s="315"/>
    </row>
    <row r="4" spans="1:54" x14ac:dyDescent="0.25">
      <c r="A4" s="138" t="s">
        <v>167</v>
      </c>
      <c r="B4" s="139">
        <v>43555</v>
      </c>
      <c r="C4" s="139">
        <f>+EOMONTH(B4,3)</f>
        <v>43646</v>
      </c>
      <c r="D4" s="139">
        <f t="shared" ref="D4:AG4" si="1">+EOMONTH(C4,3)</f>
        <v>43738</v>
      </c>
      <c r="E4" s="139">
        <f t="shared" si="1"/>
        <v>43830</v>
      </c>
      <c r="F4" s="139">
        <f t="shared" si="1"/>
        <v>43921</v>
      </c>
      <c r="G4" s="139">
        <f t="shared" si="1"/>
        <v>44012</v>
      </c>
      <c r="H4" s="139">
        <f t="shared" si="1"/>
        <v>44104</v>
      </c>
      <c r="I4" s="139">
        <f t="shared" si="1"/>
        <v>44196</v>
      </c>
      <c r="J4" s="139">
        <f t="shared" si="1"/>
        <v>44286</v>
      </c>
      <c r="K4" s="139">
        <f t="shared" si="1"/>
        <v>44377</v>
      </c>
      <c r="L4" s="139">
        <f t="shared" si="1"/>
        <v>44469</v>
      </c>
      <c r="M4" s="139">
        <f t="shared" si="1"/>
        <v>44561</v>
      </c>
      <c r="N4" s="139">
        <f t="shared" si="1"/>
        <v>44651</v>
      </c>
      <c r="O4" s="139">
        <f t="shared" si="1"/>
        <v>44742</v>
      </c>
      <c r="P4" s="139">
        <f t="shared" si="1"/>
        <v>44834</v>
      </c>
      <c r="Q4" s="139">
        <f t="shared" si="1"/>
        <v>44926</v>
      </c>
      <c r="R4" s="139">
        <f t="shared" si="1"/>
        <v>45016</v>
      </c>
      <c r="S4" s="139">
        <f t="shared" si="1"/>
        <v>45107</v>
      </c>
      <c r="T4" s="139">
        <f t="shared" si="1"/>
        <v>45199</v>
      </c>
      <c r="U4" s="139">
        <f t="shared" si="1"/>
        <v>45291</v>
      </c>
      <c r="V4" s="139">
        <f t="shared" si="1"/>
        <v>45382</v>
      </c>
      <c r="W4" s="139">
        <f t="shared" si="1"/>
        <v>45473</v>
      </c>
      <c r="X4" s="139">
        <f t="shared" si="1"/>
        <v>45565</v>
      </c>
      <c r="Y4" s="139">
        <f t="shared" si="1"/>
        <v>45657</v>
      </c>
      <c r="Z4" s="139">
        <f t="shared" si="1"/>
        <v>45747</v>
      </c>
      <c r="AA4" s="139">
        <f t="shared" ref="AA4" si="2">+EOMONTH(Z4,3)</f>
        <v>45838</v>
      </c>
      <c r="AB4" s="139">
        <f t="shared" ref="AB4" si="3">+EOMONTH(AA4,3)</f>
        <v>45930</v>
      </c>
      <c r="AC4" s="140">
        <f t="shared" si="1"/>
        <v>46022</v>
      </c>
      <c r="AD4" s="140">
        <f t="shared" si="1"/>
        <v>46112</v>
      </c>
      <c r="AE4" s="140">
        <f t="shared" si="1"/>
        <v>46203</v>
      </c>
      <c r="AF4" s="140">
        <f t="shared" si="1"/>
        <v>46295</v>
      </c>
      <c r="AG4" s="140">
        <f t="shared" si="1"/>
        <v>46387</v>
      </c>
      <c r="AH4" s="158"/>
      <c r="AI4" s="140">
        <v>45747</v>
      </c>
      <c r="AJ4" s="158"/>
      <c r="AL4" s="125">
        <v>2019</v>
      </c>
      <c r="AM4" s="125">
        <f t="shared" ref="AM4:BB4" si="4">+AL4+1</f>
        <v>2020</v>
      </c>
      <c r="AN4" s="125">
        <f t="shared" si="4"/>
        <v>2021</v>
      </c>
      <c r="AO4" s="125">
        <f t="shared" si="4"/>
        <v>2022</v>
      </c>
      <c r="AP4" s="125">
        <f t="shared" si="4"/>
        <v>2023</v>
      </c>
      <c r="AQ4" s="125">
        <f t="shared" si="4"/>
        <v>2024</v>
      </c>
      <c r="AR4" s="125">
        <f t="shared" si="4"/>
        <v>2025</v>
      </c>
      <c r="AS4" s="125">
        <f t="shared" si="4"/>
        <v>2026</v>
      </c>
      <c r="AT4" s="125">
        <f t="shared" si="4"/>
        <v>2027</v>
      </c>
      <c r="AU4" s="125">
        <f t="shared" si="4"/>
        <v>2028</v>
      </c>
      <c r="AV4" s="125">
        <f t="shared" si="4"/>
        <v>2029</v>
      </c>
      <c r="AW4" s="125">
        <f t="shared" si="4"/>
        <v>2030</v>
      </c>
      <c r="AX4" s="125">
        <f t="shared" si="4"/>
        <v>2031</v>
      </c>
      <c r="AY4" s="125">
        <f t="shared" si="4"/>
        <v>2032</v>
      </c>
      <c r="AZ4" s="125">
        <f t="shared" si="4"/>
        <v>2033</v>
      </c>
      <c r="BA4" s="125">
        <f t="shared" si="4"/>
        <v>2034</v>
      </c>
      <c r="BB4" s="125">
        <f t="shared" si="4"/>
        <v>2035</v>
      </c>
    </row>
    <row r="5" spans="1:54" s="5" customFormat="1" x14ac:dyDescent="0.25">
      <c r="A5" s="5" t="s">
        <v>168</v>
      </c>
      <c r="B5" s="181">
        <f>+B6+B7</f>
        <v>1876</v>
      </c>
      <c r="C5" s="181">
        <f t="shared" ref="C5:BB5" si="5">+C6+C7</f>
        <v>1905</v>
      </c>
      <c r="D5" s="181">
        <f t="shared" si="5"/>
        <v>1986</v>
      </c>
      <c r="E5" s="181">
        <f t="shared" si="5"/>
        <v>1934</v>
      </c>
      <c r="F5" s="181">
        <f t="shared" si="5"/>
        <v>1963</v>
      </c>
      <c r="G5" s="181">
        <f t="shared" si="5"/>
        <v>1856</v>
      </c>
      <c r="H5" s="181">
        <f t="shared" si="5"/>
        <v>1818</v>
      </c>
      <c r="I5" s="181">
        <f t="shared" si="5"/>
        <v>1875</v>
      </c>
      <c r="J5" s="181">
        <f t="shared" si="5"/>
        <v>1818</v>
      </c>
      <c r="K5" s="181">
        <f t="shared" si="5"/>
        <v>1841</v>
      </c>
      <c r="L5" s="181">
        <f t="shared" si="5"/>
        <v>1887</v>
      </c>
      <c r="M5" s="181">
        <f t="shared" si="5"/>
        <v>2022</v>
      </c>
      <c r="N5" s="181">
        <f t="shared" si="5"/>
        <v>2090</v>
      </c>
      <c r="O5" s="181">
        <f t="shared" si="5"/>
        <v>2256</v>
      </c>
      <c r="P5" s="181">
        <f t="shared" si="5"/>
        <v>2522</v>
      </c>
      <c r="Q5" s="181">
        <f t="shared" si="5"/>
        <v>3493</v>
      </c>
      <c r="R5" s="181">
        <f t="shared" si="5"/>
        <v>2821</v>
      </c>
      <c r="S5" s="181">
        <f t="shared" si="5"/>
        <v>2930</v>
      </c>
      <c r="T5" s="181">
        <f t="shared" si="5"/>
        <v>3258</v>
      </c>
      <c r="U5" s="181">
        <f t="shared" si="5"/>
        <v>3377</v>
      </c>
      <c r="V5" s="181">
        <f t="shared" si="5"/>
        <v>3433</v>
      </c>
      <c r="W5" s="181">
        <f t="shared" si="5"/>
        <v>3524</v>
      </c>
      <c r="X5" s="181">
        <f t="shared" si="5"/>
        <v>3652</v>
      </c>
      <c r="Y5" s="181">
        <f t="shared" ref="Y5:Z5" si="6">+Y6+Y7</f>
        <v>3768</v>
      </c>
      <c r="Z5" s="181">
        <f t="shared" si="6"/>
        <v>3723</v>
      </c>
      <c r="AA5" s="181">
        <f t="shared" ref="AA5:AB5" si="7">+AA6+AA7</f>
        <v>3815</v>
      </c>
      <c r="AB5" s="181">
        <f t="shared" si="7"/>
        <v>3905</v>
      </c>
      <c r="AC5" s="181">
        <f t="shared" si="5"/>
        <v>4022</v>
      </c>
      <c r="AD5" s="181">
        <f t="shared" si="5"/>
        <v>4011.9907074512885</v>
      </c>
      <c r="AE5" s="181">
        <f t="shared" si="5"/>
        <v>3833.5224649684242</v>
      </c>
      <c r="AF5" s="181">
        <f t="shared" si="5"/>
        <v>3919.5087120697476</v>
      </c>
      <c r="AG5" s="181">
        <f t="shared" si="5"/>
        <v>4027.237953267012</v>
      </c>
      <c r="AH5" s="445"/>
      <c r="AI5" s="181">
        <v>3878.9534534567592</v>
      </c>
      <c r="AJ5" s="445"/>
      <c r="AK5" s="181"/>
      <c r="AL5" s="181">
        <f t="shared" si="5"/>
        <v>0</v>
      </c>
      <c r="AM5" s="181">
        <f t="shared" si="5"/>
        <v>7512</v>
      </c>
      <c r="AN5" s="181">
        <f t="shared" si="5"/>
        <v>7568</v>
      </c>
      <c r="AO5" s="181">
        <f t="shared" si="5"/>
        <v>10361</v>
      </c>
      <c r="AP5" s="181">
        <f t="shared" si="5"/>
        <v>12386</v>
      </c>
      <c r="AQ5" s="181">
        <f t="shared" si="5"/>
        <v>14377</v>
      </c>
      <c r="AR5" s="181">
        <f t="shared" si="5"/>
        <v>15465</v>
      </c>
      <c r="AS5" s="181">
        <f t="shared" si="5"/>
        <v>15792.259837756474</v>
      </c>
      <c r="AT5" s="181">
        <f t="shared" si="5"/>
        <v>16840.707497223277</v>
      </c>
      <c r="AU5" s="181">
        <f t="shared" si="5"/>
        <v>18299.335592860538</v>
      </c>
      <c r="AV5" s="181">
        <f t="shared" si="5"/>
        <v>19547.388961657376</v>
      </c>
      <c r="AW5" s="181">
        <f t="shared" si="5"/>
        <v>20885.029446184311</v>
      </c>
      <c r="AX5" s="181">
        <f t="shared" si="5"/>
        <v>22325.93781679092</v>
      </c>
      <c r="AY5" s="181">
        <f t="shared" si="5"/>
        <v>23687.243950586591</v>
      </c>
      <c r="AZ5" s="181">
        <f t="shared" si="5"/>
        <v>24951.936897671691</v>
      </c>
      <c r="BA5" s="181">
        <f t="shared" si="5"/>
        <v>26294.749423402027</v>
      </c>
      <c r="BB5" s="181">
        <f t="shared" si="5"/>
        <v>27721.717202049134</v>
      </c>
    </row>
    <row r="6" spans="1:54" s="4" customFormat="1" x14ac:dyDescent="0.25">
      <c r="A6" s="4" t="s">
        <v>169</v>
      </c>
      <c r="B6" s="182">
        <f>+FAT!B79</f>
        <v>4106</v>
      </c>
      <c r="C6" s="182">
        <f>+FAT!C79</f>
        <v>4298</v>
      </c>
      <c r="D6" s="182">
        <f>+FAT!D79</f>
        <v>4337</v>
      </c>
      <c r="E6" s="182">
        <f>+FAT!E79</f>
        <v>4286</v>
      </c>
      <c r="F6" s="182">
        <f>+FAT!F79</f>
        <v>4207</v>
      </c>
      <c r="G6" s="182">
        <f>+FAT!G79</f>
        <v>3924</v>
      </c>
      <c r="H6" s="182">
        <f>+FAT!H79</f>
        <v>3608</v>
      </c>
      <c r="I6" s="182">
        <f>+FAT!I79</f>
        <v>3512</v>
      </c>
      <c r="J6" s="182">
        <f>+FAT!J79</f>
        <v>3235</v>
      </c>
      <c r="K6" s="182">
        <f>+FAT!K79</f>
        <v>3135</v>
      </c>
      <c r="L6" s="182">
        <f>+FAT!L79</f>
        <v>3414</v>
      </c>
      <c r="M6" s="182">
        <f>+FAT!M79</f>
        <v>3778</v>
      </c>
      <c r="N6" s="182">
        <f>+FAT!N79</f>
        <v>4059</v>
      </c>
      <c r="O6" s="182">
        <f>+FAT!O79</f>
        <v>4660</v>
      </c>
      <c r="P6" s="182">
        <f>+FAT!P79</f>
        <v>5428</v>
      </c>
      <c r="Q6" s="182">
        <f>+FAT!Q79</f>
        <v>6869</v>
      </c>
      <c r="R6" s="182">
        <f>+FAT!R79</f>
        <v>6530</v>
      </c>
      <c r="S6" s="182">
        <f>+FAT!S79</f>
        <v>7094</v>
      </c>
      <c r="T6" s="182">
        <f>+FAT!T79</f>
        <v>7630</v>
      </c>
      <c r="U6" s="182">
        <f>+FAT!U79</f>
        <v>7481</v>
      </c>
      <c r="V6" s="182">
        <f>+FAT!V79</f>
        <v>7212</v>
      </c>
      <c r="W6" s="182">
        <f>+FAT!W79</f>
        <v>7362</v>
      </c>
      <c r="X6" s="182">
        <f>+FAT!X79</f>
        <v>7702</v>
      </c>
      <c r="Y6" s="182">
        <f>+FAT!Y79</f>
        <v>7932</v>
      </c>
      <c r="Z6" s="182">
        <f>+FAT!Z79</f>
        <v>7634</v>
      </c>
      <c r="AA6" s="182">
        <f>+FAT!AA79</f>
        <v>7742</v>
      </c>
      <c r="AB6" s="182">
        <f>+FAT!AB79</f>
        <v>7533</v>
      </c>
      <c r="AC6" s="182">
        <f>+FAT!AC79</f>
        <v>7565</v>
      </c>
      <c r="AD6" s="182">
        <f>+FAT!AD79</f>
        <v>7636.3679365257176</v>
      </c>
      <c r="AE6" s="182">
        <f>+FAT!AE79</f>
        <v>7650.2514638200864</v>
      </c>
      <c r="AF6" s="182">
        <f>+FAT!AF79</f>
        <v>7820.7848493030215</v>
      </c>
      <c r="AG6" s="182">
        <f>+FAT!AG79</f>
        <v>7930.9865061065275</v>
      </c>
      <c r="AH6" s="446"/>
      <c r="AI6" s="182">
        <v>7709.7723014950534</v>
      </c>
      <c r="AJ6" s="446"/>
      <c r="AK6" s="182"/>
      <c r="AL6" s="182">
        <f>+FAT!AL79</f>
        <v>0</v>
      </c>
      <c r="AM6" s="182">
        <f>+FAT!AM79</f>
        <v>15251</v>
      </c>
      <c r="AN6" s="182">
        <f>+FAT!AN79</f>
        <v>13562</v>
      </c>
      <c r="AO6" s="182">
        <f>+FAT!AO79</f>
        <v>21016</v>
      </c>
      <c r="AP6" s="182">
        <f>+FAT!AP79</f>
        <v>28735</v>
      </c>
      <c r="AQ6" s="182">
        <f>+FAT!AQ79</f>
        <v>30208</v>
      </c>
      <c r="AR6" s="182">
        <f>+FAT!AR79</f>
        <v>30474</v>
      </c>
      <c r="AS6" s="182">
        <f>+FAT!AS79</f>
        <v>31038.390755755354</v>
      </c>
      <c r="AT6" s="182">
        <f>+FAT!AT79</f>
        <v>33186.519050750918</v>
      </c>
      <c r="AU6" s="182">
        <f>+FAT!AU79</f>
        <v>35788.768837828677</v>
      </c>
      <c r="AV6" s="182">
        <f>+FAT!AV79</f>
        <v>38065.696525444509</v>
      </c>
      <c r="AW6" s="182">
        <f>+FAT!AW79</f>
        <v>40497.838280387732</v>
      </c>
      <c r="AX6" s="182">
        <f>+FAT!AX79</f>
        <v>43107.575940510869</v>
      </c>
      <c r="AY6" s="182">
        <f>+FAT!AY79</f>
        <v>45602.964831663361</v>
      </c>
      <c r="AZ6" s="182">
        <f>+FAT!AZ79</f>
        <v>47957.34369781235</v>
      </c>
      <c r="BA6" s="182">
        <f>+FAT!BA79</f>
        <v>50450.733227159551</v>
      </c>
      <c r="BB6" s="182">
        <f>+FAT!BB79</f>
        <v>53093.37740323547</v>
      </c>
    </row>
    <row r="7" spans="1:54" s="4" customFormat="1" x14ac:dyDescent="0.25">
      <c r="A7" s="4" t="s">
        <v>170</v>
      </c>
      <c r="B7" s="182">
        <f>+FAT!B127</f>
        <v>-2230</v>
      </c>
      <c r="C7" s="182">
        <f>+FAT!C127</f>
        <v>-2393</v>
      </c>
      <c r="D7" s="182">
        <f>+FAT!D127</f>
        <v>-2351</v>
      </c>
      <c r="E7" s="182">
        <f>+FAT!E127</f>
        <v>-2352</v>
      </c>
      <c r="F7" s="182">
        <f>+FAT!F127</f>
        <v>-2244</v>
      </c>
      <c r="G7" s="182">
        <f>+FAT!G127</f>
        <v>-2068</v>
      </c>
      <c r="H7" s="182">
        <f>+FAT!H127</f>
        <v>-1790</v>
      </c>
      <c r="I7" s="182">
        <f>+FAT!I127</f>
        <v>-1637</v>
      </c>
      <c r="J7" s="182">
        <f>+FAT!J127</f>
        <v>-1417</v>
      </c>
      <c r="K7" s="182">
        <f>+FAT!K127</f>
        <v>-1294</v>
      </c>
      <c r="L7" s="182">
        <f>+FAT!L127</f>
        <v>-1527</v>
      </c>
      <c r="M7" s="182">
        <f>+FAT!M127</f>
        <v>-1756</v>
      </c>
      <c r="N7" s="182">
        <f>+FAT!N127</f>
        <v>-1969</v>
      </c>
      <c r="O7" s="182">
        <f>+FAT!O127</f>
        <v>-2404</v>
      </c>
      <c r="P7" s="182">
        <f>+FAT!P127</f>
        <v>-2906</v>
      </c>
      <c r="Q7" s="182">
        <f>+FAT!Q127</f>
        <v>-3376</v>
      </c>
      <c r="R7" s="182">
        <f>+FAT!R127</f>
        <v>-3709</v>
      </c>
      <c r="S7" s="182">
        <f>+FAT!S127</f>
        <v>-4164</v>
      </c>
      <c r="T7" s="182">
        <f>+FAT!T127</f>
        <v>-4372</v>
      </c>
      <c r="U7" s="182">
        <f>+FAT!U127</f>
        <v>-4104</v>
      </c>
      <c r="V7" s="182">
        <f>+FAT!V127</f>
        <v>-3779</v>
      </c>
      <c r="W7" s="182">
        <f>+FAT!W127</f>
        <v>-3838</v>
      </c>
      <c r="X7" s="182">
        <f>+FAT!X127</f>
        <v>-4050</v>
      </c>
      <c r="Y7" s="182">
        <f>+FAT!Y127</f>
        <v>-4164</v>
      </c>
      <c r="Z7" s="182">
        <f>+FAT!Z127</f>
        <v>-3911</v>
      </c>
      <c r="AA7" s="182">
        <f>+FAT!AA127</f>
        <v>-3927</v>
      </c>
      <c r="AB7" s="182">
        <f>+FAT!AB127</f>
        <v>-3628</v>
      </c>
      <c r="AC7" s="182">
        <f>+FAT!AC127</f>
        <v>-3543</v>
      </c>
      <c r="AD7" s="182">
        <f>+FAT!AD127</f>
        <v>-3624.3772290744291</v>
      </c>
      <c r="AE7" s="182">
        <f>+FAT!AE127</f>
        <v>-3816.7289988516623</v>
      </c>
      <c r="AF7" s="182">
        <f>+FAT!AF127</f>
        <v>-3901.2761372332739</v>
      </c>
      <c r="AG7" s="182">
        <f>+FAT!AG127</f>
        <v>-3903.7485528395155</v>
      </c>
      <c r="AH7" s="446"/>
      <c r="AI7" s="182">
        <v>-3830.8188480382942</v>
      </c>
      <c r="AJ7" s="446"/>
      <c r="AK7" s="182"/>
      <c r="AL7" s="182">
        <f>+FAT!AL127</f>
        <v>0</v>
      </c>
      <c r="AM7" s="182">
        <f>+FAT!AM127</f>
        <v>-7739</v>
      </c>
      <c r="AN7" s="182">
        <f>+FAT!AN127</f>
        <v>-5994</v>
      </c>
      <c r="AO7" s="182">
        <f>+FAT!AO127</f>
        <v>-10655</v>
      </c>
      <c r="AP7" s="182">
        <f>+FAT!AP127</f>
        <v>-16349</v>
      </c>
      <c r="AQ7" s="182">
        <f>+FAT!AQ127</f>
        <v>-15831</v>
      </c>
      <c r="AR7" s="182">
        <f>+FAT!AR127</f>
        <v>-15009</v>
      </c>
      <c r="AS7" s="182">
        <f>+FAT!AS127</f>
        <v>-15246.13091799888</v>
      </c>
      <c r="AT7" s="182">
        <f>+FAT!AT127</f>
        <v>-16345.811553527641</v>
      </c>
      <c r="AU7" s="182">
        <f>+FAT!AU127</f>
        <v>-17489.433244968139</v>
      </c>
      <c r="AV7" s="182">
        <f>+FAT!AV127</f>
        <v>-18518.307563787133</v>
      </c>
      <c r="AW7" s="182">
        <f>+FAT!AW127</f>
        <v>-19612.808834203421</v>
      </c>
      <c r="AX7" s="182">
        <f>+FAT!AX127</f>
        <v>-20781.638123719949</v>
      </c>
      <c r="AY7" s="182">
        <f>+FAT!AY127</f>
        <v>-21915.72088107677</v>
      </c>
      <c r="AZ7" s="182">
        <f>+FAT!AZ127</f>
        <v>-23005.406800140659</v>
      </c>
      <c r="BA7" s="182">
        <f>+FAT!BA127</f>
        <v>-24155.983803757525</v>
      </c>
      <c r="BB7" s="182">
        <f>+FAT!BB127</f>
        <v>-25371.660201186336</v>
      </c>
    </row>
    <row r="8" spans="1:54" s="4" customFormat="1" x14ac:dyDescent="0.25">
      <c r="B8" s="182"/>
      <c r="C8" s="182"/>
      <c r="D8" s="182"/>
      <c r="E8" s="182"/>
      <c r="F8" s="182"/>
      <c r="G8" s="182"/>
      <c r="H8" s="182"/>
      <c r="I8" s="182"/>
      <c r="J8" s="182"/>
      <c r="K8" s="182"/>
      <c r="L8" s="182"/>
      <c r="M8" s="182"/>
      <c r="N8" s="182"/>
      <c r="O8" s="182"/>
      <c r="P8" s="182"/>
      <c r="Q8" s="182"/>
      <c r="R8" s="182"/>
      <c r="S8" s="182"/>
      <c r="T8" s="182"/>
      <c r="U8" s="182"/>
      <c r="V8" s="182"/>
      <c r="W8" s="182"/>
      <c r="X8" s="182"/>
      <c r="Y8" s="182"/>
      <c r="Z8" s="182"/>
      <c r="AA8" s="182"/>
      <c r="AB8" s="182"/>
      <c r="AC8" s="182"/>
      <c r="AD8" s="182"/>
      <c r="AE8" s="182"/>
      <c r="AF8" s="182"/>
      <c r="AG8" s="182"/>
      <c r="AH8" s="446"/>
      <c r="AI8" s="182"/>
      <c r="AJ8" s="446"/>
      <c r="AK8" s="182"/>
      <c r="AL8" s="182"/>
      <c r="AM8" s="182"/>
      <c r="AN8" s="182"/>
      <c r="AO8" s="182"/>
      <c r="AP8" s="182"/>
      <c r="AQ8" s="182"/>
      <c r="AR8" s="182"/>
      <c r="AS8" s="182"/>
      <c r="AT8" s="182"/>
      <c r="AU8" s="182"/>
      <c r="AV8" s="182"/>
      <c r="AW8" s="182"/>
      <c r="AX8" s="182"/>
      <c r="AY8" s="182"/>
      <c r="AZ8" s="182"/>
      <c r="BA8" s="182"/>
      <c r="BB8" s="182"/>
    </row>
    <row r="9" spans="1:54" s="4" customFormat="1" x14ac:dyDescent="0.25">
      <c r="A9" s="4" t="s">
        <v>171</v>
      </c>
      <c r="B9" s="182">
        <f>+FAT!B160</f>
        <v>-154</v>
      </c>
      <c r="C9" s="182">
        <f>+FAT!C160</f>
        <v>-218</v>
      </c>
      <c r="D9" s="182">
        <f>+FAT!D160</f>
        <v>-130</v>
      </c>
      <c r="E9" s="182">
        <f>+FAT!E160</f>
        <v>-229</v>
      </c>
      <c r="F9" s="182">
        <f>+FAT!F160</f>
        <v>-175</v>
      </c>
      <c r="G9" s="182">
        <f>+FAT!G160</f>
        <v>-157</v>
      </c>
      <c r="H9" s="182">
        <f>+FAT!H160</f>
        <v>-260</v>
      </c>
      <c r="I9" s="182">
        <f>+FAT!I160</f>
        <v>-472</v>
      </c>
      <c r="J9" s="182">
        <f>+FAT!J160</f>
        <v>-237</v>
      </c>
      <c r="K9" s="182">
        <f>+FAT!K160</f>
        <v>-118</v>
      </c>
      <c r="L9" s="182">
        <f>+FAT!L160</f>
        <v>-238</v>
      </c>
      <c r="M9" s="182">
        <f>+FAT!M160</f>
        <v>-260</v>
      </c>
      <c r="N9" s="182">
        <f>+FAT!N160</f>
        <v>49</v>
      </c>
      <c r="O9" s="182">
        <f>+FAT!O160</f>
        <v>-66</v>
      </c>
      <c r="P9" s="182">
        <f>+FAT!P160</f>
        <v>-207</v>
      </c>
      <c r="Q9" s="182">
        <f>+FAT!Q160</f>
        <v>-220</v>
      </c>
      <c r="R9" s="182">
        <f>+FAT!R160</f>
        <v>-290</v>
      </c>
      <c r="S9" s="182">
        <f>+FAT!S160</f>
        <v>-339</v>
      </c>
      <c r="T9" s="182">
        <f>+FAT!T160</f>
        <v>-336</v>
      </c>
      <c r="U9" s="182">
        <f>+FAT!U160</f>
        <v>-305</v>
      </c>
      <c r="V9" s="182">
        <f>+FAT!V160</f>
        <v>-375</v>
      </c>
      <c r="W9" s="182">
        <f>+FAT!W160</f>
        <v>-410</v>
      </c>
      <c r="X9" s="182">
        <f>+FAT!X160</f>
        <v>-419</v>
      </c>
      <c r="Y9" s="182">
        <f>+FAT!Y160</f>
        <v>-444</v>
      </c>
      <c r="Z9" s="182">
        <f>+FAT!Z160</f>
        <v>-413</v>
      </c>
      <c r="AA9" s="182">
        <f>+FAT!AA160</f>
        <v>-415</v>
      </c>
      <c r="AB9" s="182">
        <f>+FAT!AB160</f>
        <v>-458</v>
      </c>
      <c r="AC9" s="182">
        <f>+FAT!AC160</f>
        <v>-471</v>
      </c>
      <c r="AD9" s="182">
        <f>+FAT!AD160</f>
        <v>-475.42917162065766</v>
      </c>
      <c r="AE9" s="182">
        <f>+FAT!AE160</f>
        <v>-482.52162014689037</v>
      </c>
      <c r="AF9" s="182">
        <f>+FAT!AF160</f>
        <v>-489.34253329622351</v>
      </c>
      <c r="AG9" s="182">
        <f>+FAT!AG160</f>
        <v>-512.26148183056284</v>
      </c>
      <c r="AH9" s="446"/>
      <c r="AI9" s="182">
        <v>-392.58101433186056</v>
      </c>
      <c r="AJ9" s="446"/>
      <c r="AK9" s="182"/>
      <c r="AL9" s="182">
        <f>+FAT!AL160</f>
        <v>0</v>
      </c>
      <c r="AM9" s="182">
        <f>+FAT!AM160</f>
        <v>-1064</v>
      </c>
      <c r="AN9" s="182">
        <f>+FAT!AN160</f>
        <v>-853</v>
      </c>
      <c r="AO9" s="182">
        <f>+FAT!AO160</f>
        <v>-444</v>
      </c>
      <c r="AP9" s="182">
        <f>+FAT!AP160</f>
        <v>-1270</v>
      </c>
      <c r="AQ9" s="182">
        <f>+FAT!AQ160</f>
        <v>-1648</v>
      </c>
      <c r="AR9" s="182">
        <f>+FAT!AR160</f>
        <v>-1757</v>
      </c>
      <c r="AS9" s="182">
        <f>+FAT!AS160</f>
        <v>-1959.5548068943344</v>
      </c>
      <c r="AT9" s="182">
        <f>+FAT!AT160</f>
        <v>-2014.9948405811872</v>
      </c>
      <c r="AU9" s="182">
        <f>+FAT!AU160</f>
        <v>-2207.6622227424964</v>
      </c>
      <c r="AV9" s="182">
        <f>+FAT!AV160</f>
        <v>-2344.9408809064807</v>
      </c>
      <c r="AW9" s="182">
        <f>+FAT!AW160</f>
        <v>-2491.1185192622697</v>
      </c>
      <c r="AX9" s="182">
        <f>+FAT!AX160</f>
        <v>-2646.7953026915684</v>
      </c>
      <c r="AY9" s="182">
        <f>+FAT!AY160</f>
        <v>-2812.6140285760025</v>
      </c>
      <c r="AZ9" s="182">
        <f>+FAT!AZ160</f>
        <v>-2951.1611167357892</v>
      </c>
      <c r="BA9" s="182">
        <f>+FAT!BA160</f>
        <v>-3097.2760457166701</v>
      </c>
      <c r="BB9" s="182">
        <f>+FAT!BB160</f>
        <v>-3251.4326905409844</v>
      </c>
    </row>
    <row r="10" spans="1:54" s="4" customFormat="1" x14ac:dyDescent="0.25">
      <c r="B10" s="182"/>
      <c r="C10" s="182"/>
      <c r="D10" s="182"/>
      <c r="E10" s="182"/>
      <c r="F10" s="182"/>
      <c r="G10" s="182"/>
      <c r="H10" s="182"/>
      <c r="I10" s="182"/>
      <c r="J10" s="182"/>
      <c r="K10" s="182"/>
      <c r="L10" s="182"/>
      <c r="M10" s="182"/>
      <c r="N10" s="182"/>
      <c r="O10" s="182"/>
      <c r="P10" s="182"/>
      <c r="Q10" s="182"/>
      <c r="R10" s="182"/>
      <c r="S10" s="182"/>
      <c r="T10" s="182"/>
      <c r="U10" s="182"/>
      <c r="V10" s="182"/>
      <c r="W10" s="182"/>
      <c r="X10" s="182"/>
      <c r="Y10" s="182"/>
      <c r="Z10" s="182"/>
      <c r="AA10" s="182"/>
      <c r="AB10" s="182"/>
      <c r="AC10" s="182"/>
      <c r="AD10" s="182"/>
      <c r="AE10" s="182"/>
      <c r="AF10" s="182"/>
      <c r="AG10" s="182"/>
      <c r="AH10" s="446"/>
      <c r="AI10" s="182"/>
      <c r="AJ10" s="446"/>
      <c r="AK10" s="182"/>
      <c r="AL10" s="182"/>
      <c r="AM10" s="182"/>
      <c r="AN10" s="182"/>
      <c r="AO10" s="182"/>
      <c r="AP10" s="182"/>
      <c r="AQ10" s="182"/>
      <c r="AR10" s="182"/>
      <c r="AS10" s="182"/>
      <c r="AT10" s="182"/>
      <c r="AU10" s="182"/>
      <c r="AV10" s="182"/>
      <c r="AW10" s="182"/>
      <c r="AX10" s="182"/>
      <c r="AY10" s="182"/>
      <c r="AZ10" s="182"/>
      <c r="BA10" s="182"/>
      <c r="BB10" s="182"/>
    </row>
    <row r="11" spans="1:54" s="4" customFormat="1" x14ac:dyDescent="0.25">
      <c r="A11" s="4" t="s">
        <v>172</v>
      </c>
      <c r="B11" s="182">
        <f>+FAT!B164</f>
        <v>521</v>
      </c>
      <c r="C11" s="182">
        <f>+FAT!C164</f>
        <v>590</v>
      </c>
      <c r="D11" s="182">
        <f>+FAT!D164</f>
        <v>679</v>
      </c>
      <c r="E11" s="182">
        <f>+FAT!E164</f>
        <v>679</v>
      </c>
      <c r="F11" s="182">
        <f>+FAT!F164</f>
        <v>673</v>
      </c>
      <c r="G11" s="182">
        <f>+FAT!G164</f>
        <v>625</v>
      </c>
      <c r="H11" s="182">
        <f>+FAT!H164</f>
        <v>652</v>
      </c>
      <c r="I11" s="182">
        <f>+FAT!I164</f>
        <v>699</v>
      </c>
      <c r="J11" s="182">
        <f>+FAT!J164</f>
        <v>709</v>
      </c>
      <c r="K11" s="182">
        <f>+FAT!K164</f>
        <v>803</v>
      </c>
      <c r="L11" s="182">
        <f>+FAT!L164</f>
        <v>717</v>
      </c>
      <c r="M11" s="182">
        <f>+FAT!M164</f>
        <v>863</v>
      </c>
      <c r="N11" s="182">
        <f>+FAT!N164</f>
        <v>850</v>
      </c>
      <c r="O11" s="182">
        <f>+FAT!O164</f>
        <v>905</v>
      </c>
      <c r="P11" s="182">
        <f>+FAT!P164</f>
        <v>902</v>
      </c>
      <c r="Q11" s="182">
        <f>+FAT!Q164</f>
        <v>194</v>
      </c>
      <c r="R11" s="182">
        <f>+FAT!R164</f>
        <v>553</v>
      </c>
      <c r="S11" s="182">
        <f>+FAT!S164</f>
        <v>656</v>
      </c>
      <c r="T11" s="182">
        <f>+FAT!T164</f>
        <v>604</v>
      </c>
      <c r="U11" s="182">
        <f>+FAT!U164</f>
        <v>800</v>
      </c>
      <c r="V11" s="182">
        <f>+FAT!V164</f>
        <v>655</v>
      </c>
      <c r="W11" s="182">
        <f>+FAT!W164</f>
        <v>810</v>
      </c>
      <c r="X11" s="182">
        <f>+FAT!X164</f>
        <v>706</v>
      </c>
      <c r="Y11" s="182">
        <f>+FAT!Y164</f>
        <v>870</v>
      </c>
      <c r="Z11" s="182">
        <f>+FAT!Z164</f>
        <v>732</v>
      </c>
      <c r="AA11" s="182">
        <f>+FAT!AA164</f>
        <v>779</v>
      </c>
      <c r="AB11" s="182">
        <f>+FAT!AB164</f>
        <v>605</v>
      </c>
      <c r="AC11" s="182">
        <f>+FAT!AC164</f>
        <v>1115</v>
      </c>
      <c r="AD11" s="182">
        <f>+FAT!AD164</f>
        <v>876.78041732361498</v>
      </c>
      <c r="AE11" s="182">
        <f>+FAT!AE164</f>
        <v>860.43567889518044</v>
      </c>
      <c r="AF11" s="182">
        <f>+FAT!AF164</f>
        <v>907.33057271882581</v>
      </c>
      <c r="AG11" s="182">
        <f>+FAT!AG164</f>
        <v>918.46209067297082</v>
      </c>
      <c r="AH11" s="446"/>
      <c r="AI11" s="182">
        <v>737.63404277239806</v>
      </c>
      <c r="AJ11" s="446"/>
      <c r="AK11" s="182"/>
      <c r="AL11" s="182">
        <f>+FAT!AL164</f>
        <v>0</v>
      </c>
      <c r="AM11" s="182">
        <f>+FAT!AM164</f>
        <v>2649</v>
      </c>
      <c r="AN11" s="182">
        <f>+FAT!AN164</f>
        <v>3092</v>
      </c>
      <c r="AO11" s="182">
        <f>+FAT!AO164</f>
        <v>2851</v>
      </c>
      <c r="AP11" s="182">
        <f>+FAT!AP164</f>
        <v>2613</v>
      </c>
      <c r="AQ11" s="182">
        <f>+FAT!AQ164</f>
        <v>3041</v>
      </c>
      <c r="AR11" s="182">
        <f>+FAT!AR164</f>
        <v>3231</v>
      </c>
      <c r="AS11" s="182">
        <f>+FAT!AS164</f>
        <v>3563.0087596105923</v>
      </c>
      <c r="AT11" s="182">
        <f>+FAT!AT164</f>
        <v>3869.2194626501841</v>
      </c>
      <c r="AU11" s="182">
        <f>+FAT!AU164</f>
        <v>4099.2171368616864</v>
      </c>
      <c r="AV11" s="182">
        <f>+FAT!AV164</f>
        <v>4303.9385596467409</v>
      </c>
      <c r="AW11" s="182">
        <f>+FAT!AW164</f>
        <v>4546.31232803276</v>
      </c>
      <c r="AX11" s="182">
        <f>+FAT!AX164</f>
        <v>4796.6892312470982</v>
      </c>
      <c r="AY11" s="182">
        <f>+FAT!AY164</f>
        <v>5032.9686308351174</v>
      </c>
      <c r="AZ11" s="182">
        <f>+FAT!AZ164</f>
        <v>5283.1972875695901</v>
      </c>
      <c r="BA11" s="182">
        <f>+FAT!BA164</f>
        <v>5552.7368093195555</v>
      </c>
      <c r="BB11" s="182">
        <f>+FAT!BB164</f>
        <v>5841.1514708315553</v>
      </c>
    </row>
    <row r="12" spans="1:54" s="4" customFormat="1" x14ac:dyDescent="0.25">
      <c r="A12" s="4" t="s">
        <v>16</v>
      </c>
      <c r="B12" s="182">
        <f>+FAT!B183</f>
        <v>-926</v>
      </c>
      <c r="C12" s="182">
        <f>+FAT!C183</f>
        <v>-972</v>
      </c>
      <c r="D12" s="182">
        <f>+FAT!D183</f>
        <v>-989</v>
      </c>
      <c r="E12" s="182">
        <f>+FAT!E183</f>
        <v>-997</v>
      </c>
      <c r="F12" s="182">
        <f>+FAT!F183</f>
        <v>-1046</v>
      </c>
      <c r="G12" s="182">
        <f>+FAT!G183</f>
        <v>-1047</v>
      </c>
      <c r="H12" s="182">
        <f>+FAT!H183</f>
        <v>-1002</v>
      </c>
      <c r="I12" s="182">
        <f>+FAT!I183</f>
        <v>-1222</v>
      </c>
      <c r="J12" s="182">
        <f>+FAT!J183</f>
        <v>-1076</v>
      </c>
      <c r="K12" s="182">
        <f>+FAT!K183</f>
        <v>-1021</v>
      </c>
      <c r="L12" s="182">
        <f>+FAT!L183</f>
        <v>-1070</v>
      </c>
      <c r="M12" s="182">
        <f>+FAT!M183</f>
        <v>-1250</v>
      </c>
      <c r="N12" s="182">
        <f>+FAT!N183</f>
        <v>-1261</v>
      </c>
      <c r="O12" s="182">
        <f>+FAT!O183</f>
        <v>-1316</v>
      </c>
      <c r="P12" s="182">
        <f>+FAT!P183</f>
        <v>-1305.5</v>
      </c>
      <c r="Q12" s="182">
        <f>+FAT!Q183</f>
        <v>-1487</v>
      </c>
      <c r="R12" s="182">
        <f>+FAT!R183</f>
        <v>-1499</v>
      </c>
      <c r="S12" s="182">
        <f>+FAT!S183</f>
        <v>-1521</v>
      </c>
      <c r="T12" s="182">
        <f>+FAT!T183</f>
        <v>-1455</v>
      </c>
      <c r="U12" s="182">
        <f>+FAT!U183</f>
        <v>-1664</v>
      </c>
      <c r="V12" s="182">
        <f>+FAT!V183</f>
        <v>-1563</v>
      </c>
      <c r="W12" s="182">
        <f>+FAT!W183</f>
        <v>-1732</v>
      </c>
      <c r="X12" s="182">
        <f>+FAT!X183</f>
        <v>-1733</v>
      </c>
      <c r="Y12" s="182">
        <f>+FAT!Y183</f>
        <v>-1882</v>
      </c>
      <c r="Z12" s="182">
        <f>+FAT!Z183</f>
        <v>-1825.5</v>
      </c>
      <c r="AA12" s="182">
        <f>+FAT!AA183</f>
        <v>-1931</v>
      </c>
      <c r="AB12" s="182">
        <f>+FAT!AB183</f>
        <v>-1947</v>
      </c>
      <c r="AC12" s="182">
        <f>+FAT!AC183</f>
        <v>-2193</v>
      </c>
      <c r="AD12" s="182">
        <f>+FAT!AD183</f>
        <v>-2023.9867193981656</v>
      </c>
      <c r="AE12" s="182">
        <f>+FAT!AE183</f>
        <v>-2113.7212846170637</v>
      </c>
      <c r="AF12" s="182">
        <f>+FAT!AF183</f>
        <v>-2167.4406562486138</v>
      </c>
      <c r="AG12" s="182">
        <f>+FAT!AG183</f>
        <v>-2273.5515791514495</v>
      </c>
      <c r="AH12" s="446"/>
      <c r="AI12" s="182">
        <v>-1756.8300225010221</v>
      </c>
      <c r="AJ12" s="446"/>
      <c r="AK12" s="182"/>
      <c r="AL12" s="182">
        <f>+FAT!AL183</f>
        <v>0</v>
      </c>
      <c r="AM12" s="182">
        <f>+FAT!AM183</f>
        <v>-4747</v>
      </c>
      <c r="AN12" s="182">
        <f>+FAT!AN183</f>
        <v>-4857</v>
      </c>
      <c r="AO12" s="182">
        <f>+FAT!AO183</f>
        <v>-5369.5</v>
      </c>
      <c r="AP12" s="182">
        <f>+FAT!AP183</f>
        <v>-6139</v>
      </c>
      <c r="AQ12" s="182">
        <f>+FAT!AQ183</f>
        <v>-6910</v>
      </c>
      <c r="AR12" s="182">
        <f>+FAT!AR183</f>
        <v>-7896.5</v>
      </c>
      <c r="AS12" s="182">
        <f>+FAT!AS183</f>
        <v>-8578.7002394152933</v>
      </c>
      <c r="AT12" s="182">
        <f>+FAT!AT183</f>
        <v>-8698.0680995633284</v>
      </c>
      <c r="AU12" s="182">
        <f>+FAT!AU183</f>
        <v>-8997.8107970412002</v>
      </c>
      <c r="AV12" s="182">
        <f>+FAT!AV183</f>
        <v>-9287.660503833964</v>
      </c>
      <c r="AW12" s="182">
        <f>+FAT!AW183</f>
        <v>-9596.2175652608857</v>
      </c>
      <c r="AX12" s="182">
        <f>+FAT!AX183</f>
        <v>-9913.4512894397885</v>
      </c>
      <c r="AY12" s="182">
        <f>+FAT!AY183</f>
        <v>-10239.986457529965</v>
      </c>
      <c r="AZ12" s="182">
        <f>+FAT!AZ183</f>
        <v>-10573.922417060268</v>
      </c>
      <c r="BA12" s="182">
        <f>+FAT!BA183</f>
        <v>-10920.989774803456</v>
      </c>
      <c r="BB12" s="182">
        <f>+FAT!BB183</f>
        <v>-11281.059741852043</v>
      </c>
    </row>
    <row r="13" spans="1:54" s="4" customFormat="1" x14ac:dyDescent="0.25">
      <c r="B13" s="182"/>
      <c r="C13" s="182"/>
      <c r="D13" s="182"/>
      <c r="E13" s="182"/>
      <c r="F13" s="182"/>
      <c r="G13" s="182"/>
      <c r="H13" s="182"/>
      <c r="I13" s="182"/>
      <c r="J13" s="182"/>
      <c r="K13" s="182"/>
      <c r="L13" s="182"/>
      <c r="M13" s="182"/>
      <c r="N13" s="182"/>
      <c r="O13" s="182"/>
      <c r="P13" s="182"/>
      <c r="Q13" s="182"/>
      <c r="R13" s="182"/>
      <c r="S13" s="182"/>
      <c r="T13" s="182"/>
      <c r="U13" s="182"/>
      <c r="V13" s="182"/>
      <c r="W13" s="182"/>
      <c r="X13" s="182"/>
      <c r="Y13" s="182"/>
      <c r="Z13" s="182"/>
      <c r="AA13" s="182"/>
      <c r="AB13" s="182"/>
      <c r="AC13" s="182"/>
      <c r="AD13" s="182"/>
      <c r="AE13" s="182"/>
      <c r="AF13" s="182"/>
      <c r="AG13" s="182"/>
      <c r="AH13" s="446"/>
      <c r="AI13" s="182"/>
      <c r="AJ13" s="446"/>
      <c r="AK13" s="182"/>
      <c r="AL13" s="182"/>
      <c r="AM13" s="182"/>
      <c r="AN13" s="182"/>
      <c r="AO13" s="182"/>
      <c r="AP13" s="182"/>
      <c r="AQ13" s="182"/>
      <c r="AR13" s="182"/>
      <c r="AS13" s="182"/>
      <c r="AT13" s="182"/>
      <c r="AU13" s="182"/>
      <c r="AV13" s="182"/>
      <c r="AW13" s="182"/>
      <c r="AX13" s="182"/>
      <c r="AY13" s="182"/>
      <c r="AZ13" s="182"/>
      <c r="BA13" s="182"/>
      <c r="BB13" s="182"/>
    </row>
    <row r="14" spans="1:54" s="5" customFormat="1" x14ac:dyDescent="0.25">
      <c r="A14" s="5" t="s">
        <v>20</v>
      </c>
      <c r="B14" s="181">
        <f>+FAT!B210</f>
        <v>1317</v>
      </c>
      <c r="C14" s="181">
        <f>+FAT!C210</f>
        <v>1305</v>
      </c>
      <c r="D14" s="181">
        <f>+FAT!D210</f>
        <v>1546</v>
      </c>
      <c r="E14" s="181">
        <f>+FAT!E210</f>
        <v>1387</v>
      </c>
      <c r="F14" s="181">
        <f>+FAT!F210</f>
        <v>1415</v>
      </c>
      <c r="G14" s="181">
        <f>+FAT!G210</f>
        <v>1277</v>
      </c>
      <c r="H14" s="181">
        <f>+FAT!H210</f>
        <v>1208</v>
      </c>
      <c r="I14" s="181">
        <f>+FAT!I210</f>
        <v>880</v>
      </c>
      <c r="J14" s="181">
        <f>+FAT!J210</f>
        <v>1214</v>
      </c>
      <c r="K14" s="181">
        <f>+FAT!K210</f>
        <v>1505</v>
      </c>
      <c r="L14" s="181">
        <f>+FAT!L210</f>
        <v>1296</v>
      </c>
      <c r="M14" s="181">
        <f>+FAT!M210</f>
        <v>1375</v>
      </c>
      <c r="N14" s="181">
        <f>+FAT!N210</f>
        <v>1728</v>
      </c>
      <c r="O14" s="181">
        <f>+FAT!O210</f>
        <v>1779</v>
      </c>
      <c r="P14" s="181">
        <f>+FAT!P210</f>
        <v>1911.5</v>
      </c>
      <c r="Q14" s="181">
        <f>+FAT!Q210</f>
        <v>1980</v>
      </c>
      <c r="R14" s="181">
        <f>+FAT!R210</f>
        <v>1585</v>
      </c>
      <c r="S14" s="181">
        <f>+FAT!S210</f>
        <v>1726</v>
      </c>
      <c r="T14" s="181">
        <f>+FAT!T210</f>
        <v>2071</v>
      </c>
      <c r="U14" s="181">
        <f>+FAT!U210</f>
        <v>2208</v>
      </c>
      <c r="V14" s="181">
        <f>+FAT!V210</f>
        <v>2150</v>
      </c>
      <c r="W14" s="181">
        <f>+FAT!W210</f>
        <v>2192</v>
      </c>
      <c r="X14" s="181">
        <f>+FAT!X210</f>
        <v>2206</v>
      </c>
      <c r="Y14" s="181">
        <f>+FAT!Y210</f>
        <v>2312</v>
      </c>
      <c r="Z14" s="181">
        <f>+FAT!Z210</f>
        <v>2216.5</v>
      </c>
      <c r="AA14" s="181">
        <f>+FAT!AA210</f>
        <v>2248</v>
      </c>
      <c r="AB14" s="181">
        <f>+FAT!AB210</f>
        <v>2105</v>
      </c>
      <c r="AC14" s="181">
        <f>+FAT!AC210</f>
        <v>2473</v>
      </c>
      <c r="AD14" s="181">
        <f>+FAT!AD210</f>
        <v>2389.3552337560805</v>
      </c>
      <c r="AE14" s="181">
        <f>+FAT!AE210</f>
        <v>2097.7152390996512</v>
      </c>
      <c r="AF14" s="181">
        <f>+FAT!AF210</f>
        <v>2170.0560952437363</v>
      </c>
      <c r="AG14" s="181">
        <f>+FAT!AG210</f>
        <v>2159.8869829579703</v>
      </c>
      <c r="AH14" s="445"/>
      <c r="AI14" s="181">
        <v>2467.1764593962748</v>
      </c>
      <c r="AJ14" s="445"/>
      <c r="AK14" s="181"/>
      <c r="AL14" s="181">
        <f>+FAT!AL210</f>
        <v>0</v>
      </c>
      <c r="AM14" s="181">
        <f>+FAT!AM210</f>
        <v>4780</v>
      </c>
      <c r="AN14" s="181">
        <f>+FAT!AN210</f>
        <v>5390</v>
      </c>
      <c r="AO14" s="181">
        <f>+FAT!AO210</f>
        <v>7398.5</v>
      </c>
      <c r="AP14" s="181">
        <f>+FAT!AP210</f>
        <v>7590</v>
      </c>
      <c r="AQ14" s="181">
        <f>+FAT!AQ210</f>
        <v>8860</v>
      </c>
      <c r="AR14" s="181">
        <f>+FAT!AR210</f>
        <v>9042.5</v>
      </c>
      <c r="AS14" s="181">
        <f>+FAT!AS210</f>
        <v>8817.0135510574382</v>
      </c>
      <c r="AT14" s="181">
        <f>+FAT!AT210</f>
        <v>9996.8640197289442</v>
      </c>
      <c r="AU14" s="181">
        <f>+FAT!AU210</f>
        <v>11193.079709938529</v>
      </c>
      <c r="AV14" s="181">
        <f>+FAT!AV210</f>
        <v>12218.726136563671</v>
      </c>
      <c r="AW14" s="181">
        <f>+FAT!AW210</f>
        <v>13344.005689693917</v>
      </c>
      <c r="AX14" s="181">
        <f>+FAT!AX210</f>
        <v>14562.380455906663</v>
      </c>
      <c r="AY14" s="181">
        <f>+FAT!AY210</f>
        <v>15667.612095315744</v>
      </c>
      <c r="AZ14" s="181">
        <f>+FAT!AZ210</f>
        <v>16710.050651445225</v>
      </c>
      <c r="BA14" s="181">
        <f>+FAT!BA210</f>
        <v>17829.220412201455</v>
      </c>
      <c r="BB14" s="181">
        <f>+FAT!BB210</f>
        <v>19030.376240487662</v>
      </c>
    </row>
    <row r="15" spans="1:54" s="4" customFormat="1" x14ac:dyDescent="0.25">
      <c r="B15" s="182"/>
      <c r="C15" s="182"/>
      <c r="D15" s="182"/>
      <c r="E15" s="182"/>
      <c r="F15" s="182"/>
      <c r="G15" s="182"/>
      <c r="H15" s="182"/>
      <c r="I15" s="182"/>
      <c r="J15" s="182"/>
      <c r="K15" s="182"/>
      <c r="L15" s="182"/>
      <c r="M15" s="182"/>
      <c r="N15" s="182"/>
      <c r="O15" s="182"/>
      <c r="P15" s="182"/>
      <c r="Q15" s="182"/>
      <c r="R15" s="182"/>
      <c r="S15" s="182"/>
      <c r="T15" s="182"/>
      <c r="U15" s="182"/>
      <c r="V15" s="182"/>
      <c r="W15" s="182"/>
      <c r="X15" s="182"/>
      <c r="Y15" s="182"/>
      <c r="Z15" s="182"/>
      <c r="AA15" s="182"/>
      <c r="AB15" s="182"/>
      <c r="AC15" s="182"/>
      <c r="AD15" s="182"/>
      <c r="AE15" s="182"/>
      <c r="AF15" s="182"/>
      <c r="AG15" s="182"/>
      <c r="AH15" s="446"/>
      <c r="AI15" s="182"/>
      <c r="AJ15" s="446"/>
      <c r="AK15" s="182"/>
      <c r="AL15" s="182"/>
      <c r="AM15" s="182"/>
      <c r="AN15" s="182"/>
      <c r="AO15" s="182"/>
      <c r="AP15" s="182"/>
      <c r="AQ15" s="182"/>
      <c r="AR15" s="182"/>
      <c r="AS15" s="182"/>
      <c r="AT15" s="182"/>
      <c r="AU15" s="182"/>
      <c r="AV15" s="182"/>
      <c r="AW15" s="182"/>
      <c r="AX15" s="182"/>
      <c r="AY15" s="182"/>
      <c r="AZ15" s="182"/>
      <c r="BA15" s="182"/>
      <c r="BB15" s="182"/>
    </row>
    <row r="16" spans="1:54" s="4" customFormat="1" x14ac:dyDescent="0.25">
      <c r="A16" s="4" t="s">
        <v>23</v>
      </c>
      <c r="B16" s="182">
        <f>+FAT!B212</f>
        <v>-336</v>
      </c>
      <c r="C16" s="182">
        <f>+FAT!C212</f>
        <v>-326</v>
      </c>
      <c r="D16" s="182">
        <f>+FAT!D212</f>
        <v>-404</v>
      </c>
      <c r="E16" s="182">
        <f>+FAT!E212</f>
        <v>-364</v>
      </c>
      <c r="F16" s="182">
        <f>+FAT!F212</f>
        <v>-353</v>
      </c>
      <c r="G16" s="182">
        <f>+FAT!G212</f>
        <v>-305</v>
      </c>
      <c r="H16" s="182">
        <f>+FAT!H212</f>
        <v>-294</v>
      </c>
      <c r="I16" s="182">
        <f>+FAT!I212</f>
        <v>-228</v>
      </c>
      <c r="J16" s="182">
        <f>+FAT!J212</f>
        <v>-305</v>
      </c>
      <c r="K16" s="182">
        <f>+FAT!K212</f>
        <v>-376</v>
      </c>
      <c r="L16" s="182">
        <f>+FAT!L212</f>
        <v>-286</v>
      </c>
      <c r="M16" s="182">
        <f>+FAT!M212</f>
        <v>-239</v>
      </c>
      <c r="N16" s="182">
        <f>+FAT!N212</f>
        <v>-410</v>
      </c>
      <c r="O16" s="182">
        <f>+FAT!O212</f>
        <v>-382</v>
      </c>
      <c r="P16" s="182">
        <f>+FAT!P212</f>
        <v>-388</v>
      </c>
      <c r="Q16" s="182">
        <f>+FAT!Q212</f>
        <v>-391</v>
      </c>
      <c r="R16" s="182">
        <f>+FAT!R212</f>
        <v>-399</v>
      </c>
      <c r="S16" s="182">
        <f>+FAT!S212</f>
        <v>-425</v>
      </c>
      <c r="T16" s="182">
        <f>+FAT!T212</f>
        <v>-507</v>
      </c>
      <c r="U16" s="182">
        <f>+FAT!U212</f>
        <v>-587</v>
      </c>
      <c r="V16" s="182">
        <f>+FAT!V212</f>
        <v>-521</v>
      </c>
      <c r="W16" s="182">
        <f>+FAT!W212</f>
        <v>-582</v>
      </c>
      <c r="X16" s="182">
        <f>+FAT!X212</f>
        <v>-590</v>
      </c>
      <c r="Y16" s="182">
        <f>+FAT!Y212</f>
        <v>-617</v>
      </c>
      <c r="Z16" s="182">
        <f>+FAT!Z212</f>
        <v>-580</v>
      </c>
      <c r="AA16" s="182">
        <f>+FAT!AA212</f>
        <v>-609</v>
      </c>
      <c r="AB16" s="182">
        <f>+FAT!AB212</f>
        <v>-575</v>
      </c>
      <c r="AC16" s="182">
        <f>+FAT!AC212</f>
        <v>-661</v>
      </c>
      <c r="AD16" s="182">
        <f>+FAT!AD212</f>
        <v>-657.07268928292217</v>
      </c>
      <c r="AE16" s="182">
        <f>+FAT!AE212</f>
        <v>-576.87169075240411</v>
      </c>
      <c r="AF16" s="182">
        <f>+FAT!AF212</f>
        <v>-596.76542619202758</v>
      </c>
      <c r="AG16" s="182">
        <f>+FAT!AG212</f>
        <v>-593.96892031344191</v>
      </c>
      <c r="AH16" s="446"/>
      <c r="AI16" s="182">
        <v>-652.98151402535041</v>
      </c>
      <c r="AJ16" s="446"/>
      <c r="AK16" s="182"/>
      <c r="AL16" s="182">
        <f>+FAT!AL212</f>
        <v>0</v>
      </c>
      <c r="AM16" s="182">
        <f>+FAT!AM212</f>
        <v>-1180</v>
      </c>
      <c r="AN16" s="182">
        <f>+FAT!AN212</f>
        <v>-1206</v>
      </c>
      <c r="AO16" s="182">
        <f>+FAT!AO212</f>
        <v>-1571</v>
      </c>
      <c r="AP16" s="182">
        <f>+FAT!AP212</f>
        <v>-1918</v>
      </c>
      <c r="AQ16" s="182">
        <f>+FAT!AQ212</f>
        <v>-2310</v>
      </c>
      <c r="AR16" s="182">
        <f>+FAT!AR212</f>
        <v>-2425</v>
      </c>
      <c r="AS16" s="182">
        <f>+FAT!AS212</f>
        <v>-2424.6787265407957</v>
      </c>
      <c r="AT16" s="182">
        <f>+FAT!AT212</f>
        <v>-2749.1376054254597</v>
      </c>
      <c r="AU16" s="182">
        <f>+FAT!AU212</f>
        <v>-3078.0969202330957</v>
      </c>
      <c r="AV16" s="182">
        <f>+FAT!AV212</f>
        <v>-3360.1496875550097</v>
      </c>
      <c r="AW16" s="182">
        <f>+FAT!AW212</f>
        <v>-3669.6015646658275</v>
      </c>
      <c r="AX16" s="182">
        <f>+FAT!AX212</f>
        <v>-4004.6546253743327</v>
      </c>
      <c r="AY16" s="182">
        <f>+FAT!AY212</f>
        <v>-4308.5933262118297</v>
      </c>
      <c r="AZ16" s="182">
        <f>+FAT!AZ212</f>
        <v>-4595.263929147437</v>
      </c>
      <c r="BA16" s="182">
        <f>+FAT!BA212</f>
        <v>-4903.0356133554005</v>
      </c>
      <c r="BB16" s="182">
        <f>+FAT!BB212</f>
        <v>-5233.3534661341073</v>
      </c>
    </row>
    <row r="17" spans="1:54" s="4" customFormat="1" x14ac:dyDescent="0.25">
      <c r="B17" s="182"/>
      <c r="C17" s="182"/>
      <c r="D17" s="182"/>
      <c r="E17" s="182"/>
      <c r="F17" s="182"/>
      <c r="G17" s="182"/>
      <c r="H17" s="182"/>
      <c r="I17" s="182"/>
      <c r="J17" s="182"/>
      <c r="K17" s="182"/>
      <c r="L17" s="182"/>
      <c r="M17" s="182"/>
      <c r="N17" s="182"/>
      <c r="O17" s="182"/>
      <c r="P17" s="182"/>
      <c r="Q17" s="182"/>
      <c r="R17" s="182"/>
      <c r="S17" s="182"/>
      <c r="T17" s="182"/>
      <c r="U17" s="182"/>
      <c r="V17" s="182"/>
      <c r="W17" s="182"/>
      <c r="X17" s="182"/>
      <c r="Y17" s="182"/>
      <c r="Z17" s="182"/>
      <c r="AA17" s="182"/>
      <c r="AB17" s="182"/>
      <c r="AC17" s="182"/>
      <c r="AD17" s="182"/>
      <c r="AE17" s="182"/>
      <c r="AF17" s="182"/>
      <c r="AG17" s="182"/>
      <c r="AH17" s="446"/>
      <c r="AI17" s="182"/>
      <c r="AJ17" s="446"/>
      <c r="AK17" s="182"/>
      <c r="AL17" s="182"/>
      <c r="AM17" s="182"/>
      <c r="AN17" s="182"/>
      <c r="AO17" s="182"/>
      <c r="AP17" s="182"/>
      <c r="AQ17" s="182"/>
      <c r="AR17" s="182"/>
      <c r="AS17" s="182"/>
      <c r="AT17" s="182"/>
      <c r="AU17" s="182"/>
      <c r="AV17" s="182"/>
      <c r="AW17" s="182"/>
      <c r="AX17" s="182"/>
      <c r="AY17" s="182"/>
      <c r="AZ17" s="182"/>
      <c r="BA17" s="182"/>
      <c r="BB17" s="182"/>
    </row>
    <row r="18" spans="1:54" s="4" customFormat="1" x14ac:dyDescent="0.25">
      <c r="A18" s="4" t="s">
        <v>173</v>
      </c>
      <c r="B18" s="182">
        <f>+FAT!B215</f>
        <v>-1</v>
      </c>
      <c r="C18" s="182">
        <f>+FAT!C215</f>
        <v>10</v>
      </c>
      <c r="D18" s="182">
        <f>+FAT!D215</f>
        <v>2</v>
      </c>
      <c r="E18" s="182">
        <f>+FAT!E215</f>
        <v>0</v>
      </c>
      <c r="F18" s="182">
        <f>+FAT!F215</f>
        <v>2</v>
      </c>
      <c r="G18" s="182">
        <f>+FAT!G215</f>
        <v>2</v>
      </c>
      <c r="H18" s="182">
        <f>+FAT!H215</f>
        <v>18</v>
      </c>
      <c r="I18" s="182">
        <f>+FAT!I215</f>
        <v>-3</v>
      </c>
      <c r="J18" s="182">
        <f>+FAT!J215</f>
        <v>11</v>
      </c>
      <c r="K18" s="182">
        <f>+FAT!K215</f>
        <v>3</v>
      </c>
      <c r="L18" s="182">
        <f>+FAT!L215</f>
        <v>1</v>
      </c>
      <c r="M18" s="182">
        <f>+FAT!M215</f>
        <v>3</v>
      </c>
      <c r="N18" s="182">
        <f>+FAT!N215</f>
        <v>2</v>
      </c>
      <c r="O18" s="182">
        <f>+FAT!O215</f>
        <v>-1</v>
      </c>
      <c r="P18" s="182">
        <f>+FAT!P215</f>
        <v>-4</v>
      </c>
      <c r="Q18" s="182">
        <f>+FAT!Q215</f>
        <v>-4</v>
      </c>
      <c r="R18" s="182">
        <f>+FAT!R215</f>
        <v>1</v>
      </c>
      <c r="S18" s="182">
        <f>+FAT!S215</f>
        <v>0</v>
      </c>
      <c r="T18" s="182">
        <f>+FAT!T215</f>
        <v>-1</v>
      </c>
      <c r="U18" s="182">
        <f>+FAT!U215</f>
        <v>1</v>
      </c>
      <c r="V18" s="182">
        <f>+FAT!V215</f>
        <v>-14</v>
      </c>
      <c r="W18" s="182">
        <f>+FAT!W215</f>
        <v>-1</v>
      </c>
      <c r="X18" s="182">
        <f>+FAT!X215</f>
        <v>-13</v>
      </c>
      <c r="Y18" s="182">
        <f>+FAT!Y215</f>
        <v>-3</v>
      </c>
      <c r="Z18" s="182">
        <f>+FAT!Z215</f>
        <v>-5</v>
      </c>
      <c r="AA18" s="182">
        <f>+FAT!AA215</f>
        <v>0</v>
      </c>
      <c r="AB18" s="182">
        <f>+FAT!AB215</f>
        <v>0</v>
      </c>
      <c r="AC18" s="182">
        <f>+FAT!AC215</f>
        <v>5</v>
      </c>
      <c r="AD18" s="182">
        <f>+FAT!AD215</f>
        <v>0</v>
      </c>
      <c r="AE18" s="182">
        <f>+FAT!AE215</f>
        <v>0</v>
      </c>
      <c r="AF18" s="182">
        <f>+FAT!AF215</f>
        <v>0</v>
      </c>
      <c r="AG18" s="182">
        <f>+FAT!AG215</f>
        <v>0</v>
      </c>
      <c r="AH18" s="446"/>
      <c r="AI18" s="182">
        <v>0</v>
      </c>
      <c r="AJ18" s="446"/>
      <c r="AK18" s="182"/>
      <c r="AL18" s="182">
        <f>+FAT!AL215</f>
        <v>0</v>
      </c>
      <c r="AM18" s="182">
        <f>+FAT!AM215</f>
        <v>19</v>
      </c>
      <c r="AN18" s="182">
        <f>+FAT!AN215</f>
        <v>18</v>
      </c>
      <c r="AO18" s="182">
        <f>+FAT!AO215</f>
        <v>-7</v>
      </c>
      <c r="AP18" s="182">
        <f>+FAT!AP215</f>
        <v>1</v>
      </c>
      <c r="AQ18" s="182">
        <f>+FAT!AQ215</f>
        <v>-31</v>
      </c>
      <c r="AR18" s="182">
        <f>+FAT!AR215</f>
        <v>0</v>
      </c>
      <c r="AS18" s="182">
        <f>+FAT!AS215</f>
        <v>0</v>
      </c>
      <c r="AT18" s="182">
        <f>+FAT!AT215</f>
        <v>0</v>
      </c>
      <c r="AU18" s="182">
        <f>+FAT!AU215</f>
        <v>0</v>
      </c>
      <c r="AV18" s="182">
        <f>+FAT!AV215</f>
        <v>0</v>
      </c>
      <c r="AW18" s="182">
        <f>+FAT!AW215</f>
        <v>0</v>
      </c>
      <c r="AX18" s="182">
        <f>+FAT!AX215</f>
        <v>0</v>
      </c>
      <c r="AY18" s="182">
        <f>+FAT!AY215</f>
        <v>0</v>
      </c>
      <c r="AZ18" s="182">
        <f>+FAT!AZ215</f>
        <v>0</v>
      </c>
      <c r="BA18" s="182">
        <f>+FAT!BA215</f>
        <v>0</v>
      </c>
      <c r="BB18" s="182">
        <f>+FAT!BB215</f>
        <v>0</v>
      </c>
    </row>
    <row r="19" spans="1:54" s="4" customFormat="1" x14ac:dyDescent="0.25">
      <c r="B19" s="182"/>
      <c r="C19" s="182"/>
      <c r="D19" s="182"/>
      <c r="E19" s="182"/>
      <c r="F19" s="182"/>
      <c r="G19" s="182"/>
      <c r="H19" s="182"/>
      <c r="I19" s="182"/>
      <c r="J19" s="182"/>
      <c r="K19" s="182"/>
      <c r="L19" s="182"/>
      <c r="M19" s="182"/>
      <c r="N19" s="182"/>
      <c r="O19" s="182"/>
      <c r="P19" s="182"/>
      <c r="Q19" s="182"/>
      <c r="R19" s="182"/>
      <c r="S19" s="182"/>
      <c r="T19" s="182"/>
      <c r="U19" s="182"/>
      <c r="V19" s="182"/>
      <c r="W19" s="182"/>
      <c r="X19" s="182"/>
      <c r="Y19" s="182"/>
      <c r="Z19" s="182"/>
      <c r="AA19" s="182"/>
      <c r="AB19" s="182"/>
      <c r="AC19" s="182"/>
      <c r="AD19" s="182"/>
      <c r="AE19" s="182"/>
      <c r="AF19" s="182"/>
      <c r="AG19" s="182"/>
      <c r="AH19" s="446"/>
      <c r="AI19" s="182"/>
      <c r="AJ19" s="446"/>
      <c r="AK19" s="182"/>
      <c r="AL19" s="182"/>
      <c r="AM19" s="182"/>
      <c r="AN19" s="182"/>
      <c r="AO19" s="182"/>
      <c r="AP19" s="182"/>
      <c r="AQ19" s="182"/>
      <c r="AR19" s="182"/>
      <c r="AS19" s="182"/>
      <c r="AT19" s="182"/>
      <c r="AU19" s="182"/>
      <c r="AV19" s="182"/>
      <c r="AW19" s="182"/>
      <c r="AX19" s="182"/>
      <c r="AY19" s="182"/>
      <c r="AZ19" s="182"/>
      <c r="BA19" s="182"/>
      <c r="BB19" s="182"/>
    </row>
    <row r="20" spans="1:54" s="5" customFormat="1" x14ac:dyDescent="0.25">
      <c r="A20" s="5" t="s">
        <v>27</v>
      </c>
      <c r="B20" s="181">
        <f>+FAT!B217</f>
        <v>980</v>
      </c>
      <c r="C20" s="181">
        <f>+FAT!C217</f>
        <v>989</v>
      </c>
      <c r="D20" s="181">
        <f>+FAT!D217</f>
        <v>1144</v>
      </c>
      <c r="E20" s="181">
        <f>+FAT!E217</f>
        <v>1023</v>
      </c>
      <c r="F20" s="181">
        <f>+FAT!F217</f>
        <v>1064</v>
      </c>
      <c r="G20" s="181">
        <f>+FAT!G217</f>
        <v>974</v>
      </c>
      <c r="H20" s="181">
        <f>+FAT!H217</f>
        <v>932</v>
      </c>
      <c r="I20" s="181">
        <f>+FAT!I217</f>
        <v>649</v>
      </c>
      <c r="J20" s="181">
        <f>+FAT!J217</f>
        <v>920</v>
      </c>
      <c r="K20" s="181">
        <f>+FAT!K217</f>
        <v>1132</v>
      </c>
      <c r="L20" s="181">
        <f>+FAT!L217</f>
        <v>1011</v>
      </c>
      <c r="M20" s="181">
        <f>+FAT!M217</f>
        <v>1139</v>
      </c>
      <c r="N20" s="181">
        <f>+FAT!N217</f>
        <v>1320</v>
      </c>
      <c r="O20" s="181">
        <f>+FAT!O217</f>
        <v>1396</v>
      </c>
      <c r="P20" s="181">
        <f>+FAT!P217</f>
        <v>1519.5</v>
      </c>
      <c r="Q20" s="181">
        <f>+FAT!Q217</f>
        <v>1585</v>
      </c>
      <c r="R20" s="181">
        <f>+FAT!R217</f>
        <v>1187</v>
      </c>
      <c r="S20" s="181">
        <f>+FAT!S217</f>
        <v>1301</v>
      </c>
      <c r="T20" s="181">
        <f>+FAT!T217</f>
        <v>1563</v>
      </c>
      <c r="U20" s="181">
        <f>+FAT!U217</f>
        <v>1622</v>
      </c>
      <c r="V20" s="181">
        <f>+FAT!V217</f>
        <v>1615</v>
      </c>
      <c r="W20" s="181">
        <f>+FAT!W217</f>
        <v>1609</v>
      </c>
      <c r="X20" s="181">
        <f>+FAT!X217</f>
        <v>1603</v>
      </c>
      <c r="Y20" s="181">
        <f>+FAT!Y217</f>
        <v>1692</v>
      </c>
      <c r="Z20" s="181">
        <f>+FAT!Z217</f>
        <v>1631.5</v>
      </c>
      <c r="AA20" s="181">
        <f>+FAT!AA217</f>
        <v>1639</v>
      </c>
      <c r="AB20" s="181">
        <f>+FAT!AB217</f>
        <v>1530</v>
      </c>
      <c r="AC20" s="181">
        <f>+FAT!AC217</f>
        <v>1817</v>
      </c>
      <c r="AD20" s="181">
        <f>+FAT!AD217</f>
        <v>1732.2825444731584</v>
      </c>
      <c r="AE20" s="181">
        <f>+FAT!AE217</f>
        <v>1520.8435483472472</v>
      </c>
      <c r="AF20" s="181">
        <f>+FAT!AF217</f>
        <v>1573.2906690517088</v>
      </c>
      <c r="AG20" s="181">
        <f>+FAT!AG217</f>
        <v>1565.9180626445284</v>
      </c>
      <c r="AH20" s="445"/>
      <c r="AI20" s="181">
        <v>1814.1949453709244</v>
      </c>
      <c r="AJ20" s="445"/>
      <c r="AK20" s="181"/>
      <c r="AL20" s="181">
        <f>+FAT!AL217</f>
        <v>0</v>
      </c>
      <c r="AM20" s="181">
        <f>+FAT!AM217</f>
        <v>3619</v>
      </c>
      <c r="AN20" s="181">
        <f>+FAT!AN217</f>
        <v>4202</v>
      </c>
      <c r="AO20" s="181">
        <f>+FAT!AO217</f>
        <v>5820.5</v>
      </c>
      <c r="AP20" s="181">
        <f>+FAT!AP217</f>
        <v>5673</v>
      </c>
      <c r="AQ20" s="181">
        <f>+FAT!AQ217</f>
        <v>6519</v>
      </c>
      <c r="AR20" s="181">
        <f>+FAT!AR217</f>
        <v>6617.5</v>
      </c>
      <c r="AS20" s="181">
        <f>+FAT!AS217</f>
        <v>6392.3348245166435</v>
      </c>
      <c r="AT20" s="181">
        <f>+FAT!AT217</f>
        <v>7247.7264143034845</v>
      </c>
      <c r="AU20" s="181">
        <f>+FAT!AU217</f>
        <v>8114.9827897054329</v>
      </c>
      <c r="AV20" s="181">
        <f>+FAT!AV217</f>
        <v>8858.5764490086622</v>
      </c>
      <c r="AW20" s="181">
        <f>+FAT!AW217</f>
        <v>9674.4041250280898</v>
      </c>
      <c r="AX20" s="181">
        <f>+FAT!AX217</f>
        <v>10557.72583053233</v>
      </c>
      <c r="AY20" s="181">
        <f>+FAT!AY217</f>
        <v>11359.018769103914</v>
      </c>
      <c r="AZ20" s="181">
        <f>+FAT!AZ217</f>
        <v>12114.786722297787</v>
      </c>
      <c r="BA20" s="181">
        <f>+FAT!BA217</f>
        <v>12926.184798846054</v>
      </c>
      <c r="BB20" s="181">
        <f>+FAT!BB217</f>
        <v>13797.022774353554</v>
      </c>
    </row>
    <row r="21" spans="1:54" s="5" customFormat="1" x14ac:dyDescent="0.25">
      <c r="A21" s="6" t="s">
        <v>174</v>
      </c>
      <c r="B21" s="7">
        <f>+B20/(B5+B11)</f>
        <v>0.40884438881935753</v>
      </c>
      <c r="C21" s="7">
        <f t="shared" ref="C21:AG21" si="8">+C20/(C5+C11)</f>
        <v>0.39639278557114227</v>
      </c>
      <c r="D21" s="7">
        <f t="shared" si="8"/>
        <v>0.42926829268292682</v>
      </c>
      <c r="E21" s="7">
        <f t="shared" si="8"/>
        <v>0.39150401836969001</v>
      </c>
      <c r="F21" s="7">
        <f t="shared" si="8"/>
        <v>0.40364188163884673</v>
      </c>
      <c r="G21" s="7">
        <f t="shared" si="8"/>
        <v>0.39258363563079401</v>
      </c>
      <c r="H21" s="7">
        <f t="shared" si="8"/>
        <v>0.37732793522267205</v>
      </c>
      <c r="I21" s="7">
        <f t="shared" si="8"/>
        <v>0.25213675213675213</v>
      </c>
      <c r="J21" s="7">
        <f t="shared" si="8"/>
        <v>0.36406806489908983</v>
      </c>
      <c r="K21" s="7">
        <f t="shared" si="8"/>
        <v>0.42813918305597581</v>
      </c>
      <c r="L21" s="7">
        <f t="shared" si="8"/>
        <v>0.38824884792626729</v>
      </c>
      <c r="M21" s="7">
        <f t="shared" si="8"/>
        <v>0.39480069324090122</v>
      </c>
      <c r="N21" s="7">
        <f t="shared" si="8"/>
        <v>0.44897959183673469</v>
      </c>
      <c r="O21" s="7">
        <f t="shared" si="8"/>
        <v>0.44163239481176841</v>
      </c>
      <c r="P21" s="7">
        <f t="shared" si="8"/>
        <v>0.44377920560747663</v>
      </c>
      <c r="Q21" s="7">
        <f t="shared" si="8"/>
        <v>0.42988879848114997</v>
      </c>
      <c r="R21" s="7">
        <f t="shared" si="8"/>
        <v>0.35180794309425018</v>
      </c>
      <c r="S21" s="7">
        <f t="shared" si="8"/>
        <v>0.36279977691020637</v>
      </c>
      <c r="T21" s="7">
        <f t="shared" si="8"/>
        <v>0.40471258415328842</v>
      </c>
      <c r="U21" s="7">
        <f t="shared" si="8"/>
        <v>0.38831697390471631</v>
      </c>
      <c r="V21" s="7">
        <f t="shared" si="8"/>
        <v>0.39505870841487278</v>
      </c>
      <c r="W21" s="7">
        <f t="shared" si="8"/>
        <v>0.37125057683433316</v>
      </c>
      <c r="X21" s="7">
        <f t="shared" si="8"/>
        <v>0.36782927948600275</v>
      </c>
      <c r="Y21" s="7">
        <f t="shared" ref="Y21:Z21" si="9">+Y20/(Y5+Y11)</f>
        <v>0.36481241914618368</v>
      </c>
      <c r="Z21" s="7">
        <f t="shared" si="9"/>
        <v>0.36621773288439957</v>
      </c>
      <c r="AA21" s="7">
        <f t="shared" ref="AA21:AB21" si="10">+AA20/(AA5+AA11)</f>
        <v>0.35676969960818461</v>
      </c>
      <c r="AB21" s="7">
        <f t="shared" si="10"/>
        <v>0.3392461197339246</v>
      </c>
      <c r="AC21" s="7">
        <f t="shared" si="8"/>
        <v>0.35370839011095973</v>
      </c>
      <c r="AD21" s="7">
        <f t="shared" si="8"/>
        <v>0.35433905582006953</v>
      </c>
      <c r="AE21" s="7">
        <f t="shared" si="8"/>
        <v>0.32400023641783865</v>
      </c>
      <c r="AF21" s="7">
        <f t="shared" si="8"/>
        <v>0.32594635458649263</v>
      </c>
      <c r="AG21" s="7">
        <f t="shared" si="8"/>
        <v>0.31662212603517353</v>
      </c>
      <c r="AH21" s="447"/>
      <c r="AI21" s="7">
        <v>0.39297315319004877</v>
      </c>
      <c r="AJ21" s="447"/>
      <c r="AK21" s="181"/>
      <c r="AL21" s="181"/>
      <c r="AM21" s="7">
        <f t="shared" ref="AM21" si="11">+AM20/(AM5+AM11)</f>
        <v>0.35616573171931898</v>
      </c>
      <c r="AN21" s="7">
        <f t="shared" ref="AN21" si="12">+AN20/(AN5+AN11)</f>
        <v>0.39418386491557222</v>
      </c>
      <c r="AO21" s="7">
        <f t="shared" ref="AO21" si="13">+AO20/(AO5+AO11)</f>
        <v>0.44054647290342114</v>
      </c>
      <c r="AP21" s="7">
        <f t="shared" ref="AP21" si="14">+AP20/(AP5+AP11)</f>
        <v>0.37822521501433432</v>
      </c>
      <c r="AQ21" s="7">
        <f t="shared" ref="AQ21" si="15">+AQ20/(AQ5+AQ11)</f>
        <v>0.37426799862211507</v>
      </c>
      <c r="AR21" s="7">
        <f t="shared" ref="AR21" si="16">+AR20/(AR5+AR11)</f>
        <v>0.35395271715875054</v>
      </c>
      <c r="AS21" s="7">
        <f t="shared" ref="AS21" si="17">+AS20/(AS5+AS11)</f>
        <v>0.33026329716686054</v>
      </c>
      <c r="AT21" s="7">
        <f t="shared" ref="AT21" si="18">+AT20/(AT5+AT11)</f>
        <v>0.34996388100963965</v>
      </c>
      <c r="AU21" s="7">
        <f t="shared" ref="AU21" si="19">+AU20/(AU5+AU11)</f>
        <v>0.3622994256649934</v>
      </c>
      <c r="AV21" s="7">
        <f t="shared" ref="AV21" si="20">+AV20/(AV5+AV11)</f>
        <v>0.37140810888182807</v>
      </c>
      <c r="AW21" s="7">
        <f t="shared" ref="AW21" si="21">+AW20/(AW5+AW11)</f>
        <v>0.38041265030051391</v>
      </c>
      <c r="AX21" s="7">
        <f t="shared" ref="AX21" si="22">+AX20/(AX5+AX11)</f>
        <v>0.38925896860333997</v>
      </c>
      <c r="AY21" s="7">
        <f t="shared" ref="AY21" si="23">+AY20/(AY5+AY11)</f>
        <v>0.39550608258560527</v>
      </c>
      <c r="AZ21" s="7">
        <f t="shared" ref="AZ21" si="24">+AZ20/(AZ5+AZ11)</f>
        <v>0.40068572701130578</v>
      </c>
      <c r="BA21" s="7">
        <f t="shared" ref="BA21" si="25">+BA20/(BA5+BA11)</f>
        <v>0.40587771054800215</v>
      </c>
      <c r="BB21" s="7">
        <f t="shared" ref="BB21" si="26">+BB20/(BB5+BB11)</f>
        <v>0.41107996187172635</v>
      </c>
    </row>
    <row r="22" spans="1:54" x14ac:dyDescent="0.25">
      <c r="A22" s="4" t="s">
        <v>2</v>
      </c>
      <c r="F22" s="1">
        <f t="shared" ref="F22:AF22" si="27">+F20/B20-1</f>
        <v>8.5714285714285632E-2</v>
      </c>
      <c r="G22" s="1">
        <f t="shared" si="27"/>
        <v>-1.5166835187057637E-2</v>
      </c>
      <c r="H22" s="1">
        <f t="shared" si="27"/>
        <v>-0.18531468531468531</v>
      </c>
      <c r="I22" s="1">
        <f t="shared" si="27"/>
        <v>-0.36559139784946237</v>
      </c>
      <c r="J22" s="1">
        <f t="shared" si="27"/>
        <v>-0.13533834586466165</v>
      </c>
      <c r="K22" s="1">
        <f t="shared" si="27"/>
        <v>0.16221765913757702</v>
      </c>
      <c r="L22" s="1">
        <f t="shared" si="27"/>
        <v>8.476394849785418E-2</v>
      </c>
      <c r="M22" s="1">
        <f t="shared" si="27"/>
        <v>0.75500770416024654</v>
      </c>
      <c r="N22" s="1">
        <f t="shared" si="27"/>
        <v>0.43478260869565211</v>
      </c>
      <c r="O22" s="1">
        <f t="shared" si="27"/>
        <v>0.23321554770318031</v>
      </c>
      <c r="P22" s="1">
        <f t="shared" si="27"/>
        <v>0.5029673590504451</v>
      </c>
      <c r="Q22" s="1">
        <f t="shared" si="27"/>
        <v>0.3915715539947322</v>
      </c>
      <c r="R22" s="1">
        <f t="shared" si="27"/>
        <v>-0.10075757575757571</v>
      </c>
      <c r="S22" s="1">
        <f t="shared" si="27"/>
        <v>-6.8051575931232122E-2</v>
      </c>
      <c r="T22" s="1">
        <f t="shared" si="27"/>
        <v>2.8627838104639647E-2</v>
      </c>
      <c r="U22" s="1">
        <f t="shared" si="27"/>
        <v>2.3343848580441584E-2</v>
      </c>
      <c r="V22" s="1">
        <f t="shared" si="27"/>
        <v>0.36057287278854244</v>
      </c>
      <c r="W22" s="1">
        <f t="shared" si="27"/>
        <v>0.23674096848578019</v>
      </c>
      <c r="X22" s="1">
        <f t="shared" si="27"/>
        <v>2.5591810620601452E-2</v>
      </c>
      <c r="Y22" s="1">
        <f t="shared" si="27"/>
        <v>4.3156596794081459E-2</v>
      </c>
      <c r="Z22" s="1">
        <f t="shared" si="27"/>
        <v>1.021671826625381E-2</v>
      </c>
      <c r="AA22" s="1">
        <f t="shared" ref="AA22" si="28">+AA20/W20-1</f>
        <v>1.864512119328765E-2</v>
      </c>
      <c r="AB22" s="1">
        <f t="shared" ref="AB22" si="29">+AB20/X20-1</f>
        <v>-4.5539613225202724E-2</v>
      </c>
      <c r="AC22" s="1">
        <f t="shared" si="27"/>
        <v>7.3877068557919534E-2</v>
      </c>
      <c r="AD22" s="1">
        <f t="shared" si="27"/>
        <v>6.177293562559516E-2</v>
      </c>
      <c r="AE22" s="1">
        <f t="shared" si="27"/>
        <v>-7.2090574528830276E-2</v>
      </c>
      <c r="AF22" s="1">
        <f t="shared" si="27"/>
        <v>2.8294554935757388E-2</v>
      </c>
      <c r="AG22" s="1">
        <f>+AG20/AC20-1</f>
        <v>-0.13818488572122822</v>
      </c>
      <c r="AH22" s="448"/>
      <c r="AI22" s="1">
        <v>0.12823068741972921</v>
      </c>
      <c r="AJ22" s="448"/>
      <c r="AN22" s="1">
        <f>+AN20/AM20-1</f>
        <v>0.16109422492401215</v>
      </c>
      <c r="AO22" s="1">
        <f t="shared" ref="AO22:BB22" si="30">+AO20/AN20-1</f>
        <v>0.38517372679676343</v>
      </c>
      <c r="AP22" s="1">
        <f t="shared" si="30"/>
        <v>-2.5341465509835959E-2</v>
      </c>
      <c r="AQ22" s="1">
        <f t="shared" si="30"/>
        <v>0.14912744579587511</v>
      </c>
      <c r="AR22" s="1">
        <f t="shared" si="30"/>
        <v>1.5109679398680687E-2</v>
      </c>
      <c r="AS22" s="1">
        <f t="shared" si="30"/>
        <v>-3.4025715977840099E-2</v>
      </c>
      <c r="AT22" s="1">
        <f t="shared" si="30"/>
        <v>0.13381520418895154</v>
      </c>
      <c r="AU22" s="1">
        <f t="shared" si="30"/>
        <v>0.11965909387672347</v>
      </c>
      <c r="AV22" s="1">
        <f t="shared" si="30"/>
        <v>9.1632191783147521E-2</v>
      </c>
      <c r="AW22" s="1">
        <f t="shared" si="30"/>
        <v>9.2094670144289958E-2</v>
      </c>
      <c r="AX22" s="1">
        <f t="shared" si="30"/>
        <v>9.1305024484045427E-2</v>
      </c>
      <c r="AY22" s="1">
        <f t="shared" si="30"/>
        <v>7.5896357931013014E-2</v>
      </c>
      <c r="AZ22" s="1">
        <f t="shared" si="30"/>
        <v>6.6534616110463185E-2</v>
      </c>
      <c r="BA22" s="1">
        <f t="shared" si="30"/>
        <v>6.6975844903224946E-2</v>
      </c>
      <c r="BB22" s="1">
        <f t="shared" si="30"/>
        <v>6.7370070060056797E-2</v>
      </c>
    </row>
    <row r="26" spans="1:54" x14ac:dyDescent="0.25">
      <c r="A26" s="151" t="s">
        <v>175</v>
      </c>
      <c r="B26" s="139">
        <v>43555</v>
      </c>
      <c r="C26" s="139">
        <f>+EOMONTH(B26,3)</f>
        <v>43646</v>
      </c>
      <c r="D26" s="139">
        <f t="shared" ref="D26:AG26" si="31">+EOMONTH(C26,3)</f>
        <v>43738</v>
      </c>
      <c r="E26" s="139">
        <f t="shared" si="31"/>
        <v>43830</v>
      </c>
      <c r="F26" s="139">
        <f t="shared" si="31"/>
        <v>43921</v>
      </c>
      <c r="G26" s="139">
        <f t="shared" si="31"/>
        <v>44012</v>
      </c>
      <c r="H26" s="139">
        <f t="shared" si="31"/>
        <v>44104</v>
      </c>
      <c r="I26" s="139">
        <f t="shared" si="31"/>
        <v>44196</v>
      </c>
      <c r="J26" s="139">
        <f t="shared" si="31"/>
        <v>44286</v>
      </c>
      <c r="K26" s="139">
        <f t="shared" si="31"/>
        <v>44377</v>
      </c>
      <c r="L26" s="139">
        <f t="shared" si="31"/>
        <v>44469</v>
      </c>
      <c r="M26" s="139">
        <f t="shared" si="31"/>
        <v>44561</v>
      </c>
      <c r="N26" s="139">
        <f t="shared" si="31"/>
        <v>44651</v>
      </c>
      <c r="O26" s="139">
        <f t="shared" si="31"/>
        <v>44742</v>
      </c>
      <c r="P26" s="139">
        <f t="shared" si="31"/>
        <v>44834</v>
      </c>
      <c r="Q26" s="139">
        <f t="shared" si="31"/>
        <v>44926</v>
      </c>
      <c r="R26" s="139">
        <f t="shared" si="31"/>
        <v>45016</v>
      </c>
      <c r="S26" s="139">
        <f t="shared" si="31"/>
        <v>45107</v>
      </c>
      <c r="T26" s="139">
        <f t="shared" si="31"/>
        <v>45199</v>
      </c>
      <c r="U26" s="139">
        <f t="shared" si="31"/>
        <v>45291</v>
      </c>
      <c r="V26" s="139">
        <f t="shared" si="31"/>
        <v>45382</v>
      </c>
      <c r="W26" s="139">
        <f t="shared" si="31"/>
        <v>45473</v>
      </c>
      <c r="X26" s="139">
        <f t="shared" si="31"/>
        <v>45565</v>
      </c>
      <c r="Y26" s="139">
        <f t="shared" si="31"/>
        <v>45657</v>
      </c>
      <c r="Z26" s="139">
        <f t="shared" si="31"/>
        <v>45747</v>
      </c>
      <c r="AA26" s="140">
        <f t="shared" si="31"/>
        <v>45838</v>
      </c>
      <c r="AB26" s="140">
        <f t="shared" si="31"/>
        <v>45930</v>
      </c>
      <c r="AC26" s="140">
        <f t="shared" si="31"/>
        <v>46022</v>
      </c>
      <c r="AD26" s="140">
        <f t="shared" si="31"/>
        <v>46112</v>
      </c>
      <c r="AE26" s="140">
        <f t="shared" si="31"/>
        <v>46203</v>
      </c>
      <c r="AF26" s="140">
        <f t="shared" si="31"/>
        <v>46295</v>
      </c>
      <c r="AG26" s="140">
        <f t="shared" si="31"/>
        <v>46387</v>
      </c>
      <c r="AH26" s="158"/>
      <c r="AI26" s="140">
        <v>45747</v>
      </c>
      <c r="AJ26" s="158"/>
    </row>
    <row r="27" spans="1:54" x14ac:dyDescent="0.25">
      <c r="A27" s="157"/>
      <c r="B27" s="158"/>
      <c r="C27" s="158"/>
      <c r="D27" s="158"/>
      <c r="E27" s="158"/>
      <c r="F27" s="158"/>
      <c r="G27" s="158"/>
      <c r="H27" s="158"/>
      <c r="I27" s="158"/>
      <c r="J27" s="158"/>
      <c r="K27" s="158"/>
      <c r="L27" s="158"/>
      <c r="M27" s="158"/>
      <c r="N27" s="158"/>
      <c r="O27" s="158"/>
      <c r="P27" s="158"/>
      <c r="Q27" s="158"/>
      <c r="R27" s="158"/>
      <c r="S27" s="158"/>
      <c r="T27" s="158"/>
      <c r="U27" s="158"/>
      <c r="V27" s="158"/>
      <c r="W27" s="158"/>
      <c r="X27" s="158"/>
      <c r="Y27" s="158"/>
      <c r="Z27" s="158"/>
      <c r="AA27" s="158"/>
      <c r="AB27" s="158"/>
      <c r="AC27" s="158"/>
      <c r="AD27" s="158"/>
      <c r="AE27" s="158"/>
      <c r="AF27" s="158"/>
      <c r="AG27" s="158"/>
      <c r="AH27" s="158"/>
      <c r="AI27" s="158"/>
      <c r="AJ27" s="158"/>
    </row>
    <row r="28" spans="1:54" s="163" customFormat="1" x14ac:dyDescent="0.25">
      <c r="A28" s="150" t="s">
        <v>176</v>
      </c>
      <c r="B28" s="155">
        <f t="shared" ref="B28:AG28" si="32">B29+B30+B31+B32+B33+B41-B42+B43+B44+B45+B46+B47+B48+B49</f>
        <v>136892</v>
      </c>
      <c r="C28" s="155">
        <f t="shared" si="32"/>
        <v>138717</v>
      </c>
      <c r="D28" s="155">
        <f t="shared" si="32"/>
        <v>139159</v>
      </c>
      <c r="E28" s="155">
        <f t="shared" si="32"/>
        <v>141901</v>
      </c>
      <c r="F28" s="155">
        <f t="shared" si="32"/>
        <v>148721</v>
      </c>
      <c r="G28" s="155">
        <f t="shared" si="32"/>
        <v>146972</v>
      </c>
      <c r="H28" s="155">
        <f t="shared" si="32"/>
        <v>147319</v>
      </c>
      <c r="I28" s="155">
        <f t="shared" si="32"/>
        <v>149948</v>
      </c>
      <c r="J28" s="155">
        <f t="shared" si="32"/>
        <v>154401</v>
      </c>
      <c r="K28" s="155">
        <f t="shared" si="32"/>
        <v>160571</v>
      </c>
      <c r="L28" s="155">
        <f t="shared" si="32"/>
        <v>164851</v>
      </c>
      <c r="M28" s="155">
        <f t="shared" si="32"/>
        <v>167536</v>
      </c>
      <c r="N28" s="155">
        <f t="shared" si="32"/>
        <v>178349</v>
      </c>
      <c r="O28" s="155">
        <f t="shared" si="32"/>
        <v>180916</v>
      </c>
      <c r="P28" s="155">
        <f t="shared" si="32"/>
        <v>197566</v>
      </c>
      <c r="Q28" s="155">
        <f t="shared" si="32"/>
        <v>219993</v>
      </c>
      <c r="R28" s="155">
        <f t="shared" si="32"/>
        <v>229983</v>
      </c>
      <c r="S28" s="155">
        <f t="shared" si="32"/>
        <v>231130</v>
      </c>
      <c r="T28" s="155">
        <f t="shared" si="32"/>
        <v>235507</v>
      </c>
      <c r="U28" s="155">
        <f t="shared" si="32"/>
        <v>227427</v>
      </c>
      <c r="V28" s="155">
        <f t="shared" si="32"/>
        <v>224196</v>
      </c>
      <c r="W28" s="155">
        <f t="shared" si="32"/>
        <v>232125</v>
      </c>
      <c r="X28" s="155">
        <f t="shared" si="32"/>
        <v>243898</v>
      </c>
      <c r="Y28" s="508">
        <v>248010</v>
      </c>
      <c r="Z28" s="508">
        <v>255651</v>
      </c>
      <c r="AA28" s="156">
        <f t="shared" si="32"/>
        <v>250107.98018178353</v>
      </c>
      <c r="AB28" s="156">
        <f t="shared" si="32"/>
        <v>260467.28256042799</v>
      </c>
      <c r="AC28" s="156">
        <f t="shared" si="32"/>
        <v>270094.90800763143</v>
      </c>
      <c r="AD28" s="156">
        <f t="shared" si="32"/>
        <v>270364.34981493774</v>
      </c>
      <c r="AE28" s="156">
        <f t="shared" si="32"/>
        <v>272865.34437233867</v>
      </c>
      <c r="AF28" s="156">
        <f t="shared" si="32"/>
        <v>283469.71146060718</v>
      </c>
      <c r="AG28" s="156">
        <f t="shared" si="32"/>
        <v>285963.25507117884</v>
      </c>
      <c r="AH28" s="449"/>
      <c r="AI28" s="156">
        <v>251575.06624919185</v>
      </c>
      <c r="AJ28" s="449"/>
      <c r="AK28" s="162"/>
      <c r="AL28" s="156">
        <f>+SUMIFS($B28:AF28,$B$4:AF$4,"="&amp;AL$3)</f>
        <v>141901</v>
      </c>
      <c r="AM28" s="156">
        <f>+SUMIFS($B28:AG28,$B$4:AG$4,"="&amp;AM$3)</f>
        <v>149948</v>
      </c>
      <c r="AN28" s="156">
        <f>+SUMIFS($B28:AG28,$B$4:AG$4,"="&amp;AN$3)</f>
        <v>167536</v>
      </c>
      <c r="AO28" s="156">
        <f>+SUMIFS($B28:AG28,$B$4:AG$4,"="&amp;AO$3)</f>
        <v>219993</v>
      </c>
      <c r="AP28" s="156">
        <f>+SUMIFS($B28:AG28,$B$4:AG$4,"="&amp;AP$3)</f>
        <v>227427</v>
      </c>
      <c r="AQ28" s="156">
        <f>+SUMIFS($B28:AG28,$B$4:AG$4,"="&amp;AQ$3)</f>
        <v>248010</v>
      </c>
      <c r="AR28" s="156">
        <f>+SUMIFS($B28:AG28,$B$4:AG$4,"="&amp;AR$3)</f>
        <v>270094.90800763143</v>
      </c>
      <c r="AS28" s="156">
        <f>+SUMIFS($B28:AK28,$B$4:AK$4,"="&amp;AS$3)</f>
        <v>285963.25507117884</v>
      </c>
      <c r="AT28" s="156">
        <f t="shared" ref="AT28:BB28" si="33">AT29+AT30+AT31+AT32+AT33+AT41-AT42+AT43+AT44+AT45+AT46+AT47+AT48+AT49</f>
        <v>311639.12125580647</v>
      </c>
      <c r="AU28" s="156">
        <f t="shared" si="33"/>
        <v>332954.04637959605</v>
      </c>
      <c r="AV28" s="156">
        <f t="shared" si="33"/>
        <v>355699.00638624595</v>
      </c>
      <c r="AW28" s="156">
        <f t="shared" si="33"/>
        <v>380156.17147253355</v>
      </c>
      <c r="AX28" s="156">
        <f t="shared" si="33"/>
        <v>406485.56310319388</v>
      </c>
      <c r="AY28" s="156">
        <f t="shared" si="33"/>
        <v>430775.82502889878</v>
      </c>
      <c r="AZ28" s="156">
        <f t="shared" si="33"/>
        <v>456481.10242438497</v>
      </c>
      <c r="BA28" s="156">
        <f t="shared" si="33"/>
        <v>483746.92831164796</v>
      </c>
      <c r="BB28" s="156">
        <f t="shared" si="33"/>
        <v>512673.5900286822</v>
      </c>
    </row>
    <row r="29" spans="1:54" x14ac:dyDescent="0.25">
      <c r="A29" t="s">
        <v>177</v>
      </c>
      <c r="B29" s="496">
        <v>7803</v>
      </c>
      <c r="C29" s="496">
        <v>5272</v>
      </c>
      <c r="D29" s="496">
        <v>7506</v>
      </c>
      <c r="E29" s="496">
        <v>9132</v>
      </c>
      <c r="F29" s="496">
        <v>10129</v>
      </c>
      <c r="G29" s="496">
        <v>9807</v>
      </c>
      <c r="H29" s="496">
        <v>10419</v>
      </c>
      <c r="I29" s="496">
        <v>11648</v>
      </c>
      <c r="J29" s="496">
        <v>11917</v>
      </c>
      <c r="K29" s="496">
        <v>12008</v>
      </c>
      <c r="L29" s="496">
        <v>11747</v>
      </c>
      <c r="M29" s="496">
        <v>12144</v>
      </c>
      <c r="N29" s="496">
        <v>15074</v>
      </c>
      <c r="O29" s="496">
        <v>13997</v>
      </c>
      <c r="P29" s="496">
        <v>12819</v>
      </c>
      <c r="Q29" s="496">
        <v>12060</v>
      </c>
      <c r="R29" s="496">
        <v>14362</v>
      </c>
      <c r="S29" s="496">
        <v>13314</v>
      </c>
      <c r="T29" s="496">
        <v>11322</v>
      </c>
      <c r="U29" s="496">
        <v>13805</v>
      </c>
      <c r="V29" s="496">
        <v>11003</v>
      </c>
      <c r="W29" s="496">
        <v>13311</v>
      </c>
      <c r="X29" s="496">
        <v>14786</v>
      </c>
      <c r="Y29" s="496">
        <v>13001</v>
      </c>
      <c r="Z29" s="496">
        <v>12531</v>
      </c>
      <c r="AA29" s="510">
        <f>AA67+AA51-AA49-AA48-AA47-AA46-AA45-AA44+AA42-AA41-AA43-AA38-AA34-AA31-AA30</f>
        <v>4382.5255339295836</v>
      </c>
      <c r="AB29" s="510">
        <f t="shared" ref="AB29:AG29" si="34">AB67+AB51-AB49-AB48-AB47-AB46-AB45-AB44+AB42-AB41-AB43-AB38-AB34-AB31-AB30</f>
        <v>8907.5499424531299</v>
      </c>
      <c r="AC29" s="510">
        <f t="shared" si="34"/>
        <v>13671.76227962572</v>
      </c>
      <c r="AD29" s="510">
        <f t="shared" si="34"/>
        <v>11889.419253749249</v>
      </c>
      <c r="AE29" s="510">
        <f t="shared" si="34"/>
        <v>12247.350089860869</v>
      </c>
      <c r="AF29" s="510">
        <f t="shared" si="34"/>
        <v>12306.629102889572</v>
      </c>
      <c r="AG29" s="510">
        <f t="shared" si="34"/>
        <v>12815.073149145894</v>
      </c>
      <c r="AH29" s="343"/>
      <c r="AI29" s="343">
        <v>13599.30259441956</v>
      </c>
      <c r="AJ29" s="343"/>
      <c r="AL29" s="141">
        <f>+SUMIFS($B29:AF29,$B$4:AF$4,"="&amp;AL$3)</f>
        <v>9132</v>
      </c>
      <c r="AM29" s="141">
        <f>+SUMIFS($B29:AG29,$B$4:AG$4,"="&amp;AM$3)</f>
        <v>11648</v>
      </c>
      <c r="AN29" s="141">
        <f>+SUMIFS($B29:AG29,$B$4:AG$4,"="&amp;AN$3)</f>
        <v>12144</v>
      </c>
      <c r="AO29" s="141">
        <f>+SUMIFS($B29:AG29,$B$4:AG$4,"="&amp;AO$3)</f>
        <v>12060</v>
      </c>
      <c r="AP29" s="141">
        <f>+SUMIFS($B29:AG29,$B$4:AG$4,"="&amp;AP$3)</f>
        <v>13805</v>
      </c>
      <c r="AQ29" s="141">
        <f>+SUMIFS($B29:AG29,$B$4:AG$4,"="&amp;AQ$3)</f>
        <v>13001</v>
      </c>
      <c r="AR29" s="141">
        <f>+SUMIFS($B29:AG29,$B$4:AG$4,"="&amp;AR$3)</f>
        <v>13671.76227962572</v>
      </c>
      <c r="AS29" s="141">
        <f>+SUMIFS($B29:AK29,$B$4:AK$4,"="&amp;AS$3)</f>
        <v>12815.073149145894</v>
      </c>
      <c r="AT29" s="510">
        <f t="shared" ref="AT29" si="35">AT67+AT51-AT49-AT48-AT47-AT46-AT45-AT44+AT42-AT41-AT43-AT38-AT34-AT31-AT30</f>
        <v>13601.675675392216</v>
      </c>
      <c r="AU29" s="510">
        <f t="shared" ref="AU29" si="36">AU67+AU51-AU49-AU48-AU47-AU46-AU45-AU44+AU42-AU41-AU43-AU38-AU34-AU31-AU30</f>
        <v>14857.312254522731</v>
      </c>
      <c r="AV29" s="510">
        <f t="shared" ref="AV29" si="37">AV67+AV51-AV49-AV48-AV47-AV46-AV45-AV44+AV42-AV41-AV43-AV38-AV34-AV31-AV30</f>
        <v>16044.922743689138</v>
      </c>
      <c r="AW29" s="510">
        <f t="shared" ref="AW29" si="38">AW67+AW51-AW49-AW48-AW47-AW46-AW45-AW44+AW42-AW41-AW43-AW38-AW34-AW31-AW30</f>
        <v>17426.115202063855</v>
      </c>
      <c r="AX29" s="510">
        <f t="shared" ref="AX29" si="39">AX67+AX51-AX49-AX48-AX47-AX46-AX45-AX44+AX42-AX41-AX43-AX38-AX34-AX31-AX30</f>
        <v>18828.856943821229</v>
      </c>
      <c r="AY29" s="510">
        <f t="shared" ref="AY29" si="40">AY67+AY51-AY49-AY48-AY47-AY46-AY45-AY44+AY42-AY41-AY43-AY38-AY34-AY31-AY30</f>
        <v>20270.096179227621</v>
      </c>
      <c r="AZ29" s="510">
        <f t="shared" ref="AZ29" si="41">AZ67+AZ51-AZ49-AZ48-AZ47-AZ46-AZ45-AZ44+AZ42-AZ41-AZ43-AZ38-AZ34-AZ31-AZ30</f>
        <v>21715.79136035293</v>
      </c>
      <c r="BA29" s="510">
        <f t="shared" ref="BA29" si="42">BA67+BA51-BA49-BA48-BA47-BA46-BA45-BA44+BA42-BA41-BA43-BA38-BA34-BA31-BA30</f>
        <v>23224.148634193902</v>
      </c>
      <c r="BB29" s="510">
        <f t="shared" ref="BB29" si="43">BB67+BB51-BB49-BB48-BB47-BB46-BB45-BB44+BB42-BB41-BB43-BB38-BB34-BB31-BB30</f>
        <v>24764.871708626742</v>
      </c>
    </row>
    <row r="30" spans="1:54" x14ac:dyDescent="0.25">
      <c r="A30" t="s">
        <v>161</v>
      </c>
      <c r="B30" s="112">
        <v>16436</v>
      </c>
      <c r="C30" s="112">
        <v>16128</v>
      </c>
      <c r="D30" s="112">
        <v>11561</v>
      </c>
      <c r="E30" s="112">
        <v>12104</v>
      </c>
      <c r="F30" s="112">
        <v>12374</v>
      </c>
      <c r="G30" s="112">
        <v>11960</v>
      </c>
      <c r="H30" s="112">
        <v>11530</v>
      </c>
      <c r="I30" s="112">
        <v>13650</v>
      </c>
      <c r="J30" s="112">
        <v>16390</v>
      </c>
      <c r="K30" s="112">
        <v>20015</v>
      </c>
      <c r="L30" s="112">
        <v>22534</v>
      </c>
      <c r="M30" s="112">
        <v>23884</v>
      </c>
      <c r="N30" s="112">
        <v>25797</v>
      </c>
      <c r="O30" s="112">
        <v>26480</v>
      </c>
      <c r="P30" s="112">
        <v>41019</v>
      </c>
      <c r="Q30" s="112">
        <v>45818</v>
      </c>
      <c r="R30" s="112">
        <v>48367</v>
      </c>
      <c r="S30" s="112">
        <v>58853</v>
      </c>
      <c r="T30" s="112">
        <v>59431</v>
      </c>
      <c r="U30" s="112">
        <v>44366</v>
      </c>
      <c r="V30" s="112">
        <v>37414</v>
      </c>
      <c r="W30" s="112">
        <v>36296</v>
      </c>
      <c r="X30" s="112">
        <v>43608</v>
      </c>
      <c r="Y30" s="112">
        <v>43929</v>
      </c>
      <c r="Z30" s="112">
        <v>46164</v>
      </c>
      <c r="AA30" s="16">
        <f>+Z30+AA20-AA72</f>
        <v>46173.25</v>
      </c>
      <c r="AB30" s="16">
        <f t="shared" ref="AB30:AG30" si="44">+AA30+AB20-AB72</f>
        <v>47703.25</v>
      </c>
      <c r="AC30" s="16">
        <f t="shared" si="44"/>
        <v>49520.25</v>
      </c>
      <c r="AD30" s="16">
        <f t="shared" si="44"/>
        <v>51252.532544473157</v>
      </c>
      <c r="AE30" s="16">
        <f t="shared" si="44"/>
        <v>50788.126092820406</v>
      </c>
      <c r="AF30" s="16">
        <f t="shared" si="44"/>
        <v>52361.416761872119</v>
      </c>
      <c r="AG30" s="16">
        <f t="shared" si="44"/>
        <v>53927.334824516649</v>
      </c>
      <c r="AH30" s="450"/>
      <c r="AI30" s="16">
        <v>45422.194945370924</v>
      </c>
      <c r="AJ30" s="450"/>
      <c r="AL30" s="141">
        <f>+SUMIFS($B30:AF30,$B$4:AF$4,"="&amp;AL$3)</f>
        <v>12104</v>
      </c>
      <c r="AM30" s="141">
        <f>+SUMIFS($B30:AG30,$B$4:AG$4,"="&amp;AM$3)</f>
        <v>13650</v>
      </c>
      <c r="AN30" s="141">
        <f>+SUMIFS($B30:AG30,$B$4:AG$4,"="&amp;AN$3)</f>
        <v>23884</v>
      </c>
      <c r="AO30" s="141">
        <f>+SUMIFS($B30:AG30,$B$4:AG$4,"="&amp;AO$3)</f>
        <v>45818</v>
      </c>
      <c r="AP30" s="141">
        <f>+SUMIFS($B30:AG30,$B$4:AG$4,"="&amp;AP$3)</f>
        <v>44366</v>
      </c>
      <c r="AQ30" s="141">
        <f>+SUMIFS($B30:AG30,$B$4:AG$4,"="&amp;AQ$3)</f>
        <v>43929</v>
      </c>
      <c r="AR30" s="141">
        <f>+SUMIFS($B30:AG30,$B$4:AG$4,"="&amp;AR$3)</f>
        <v>49520.25</v>
      </c>
      <c r="AS30" s="141">
        <f>+SUMIFS($B30:AK30,$B$4:AK$4,"="&amp;AS$3)</f>
        <v>53927.334824516649</v>
      </c>
      <c r="AT30" s="16">
        <f>+AS30+AT20-AT72</f>
        <v>59257.360791465144</v>
      </c>
      <c r="AU30" s="16">
        <f t="shared" ref="AU30:BB30" si="45">+AT30+AU20-AU72</f>
        <v>65198.025656879523</v>
      </c>
      <c r="AV30" s="16">
        <f t="shared" si="45"/>
        <v>71622.107268976557</v>
      </c>
      <c r="AW30" s="16">
        <f t="shared" si="45"/>
        <v>78638.938459302051</v>
      </c>
      <c r="AX30" s="16">
        <f t="shared" si="45"/>
        <v>86294.343052325959</v>
      </c>
      <c r="AY30" s="16">
        <f t="shared" si="45"/>
        <v>94486.044072270175</v>
      </c>
      <c r="AZ30" s="16">
        <f t="shared" si="45"/>
        <v>103193.1251638368</v>
      </c>
      <c r="BA30" s="16">
        <f t="shared" si="45"/>
        <v>112484.87394599352</v>
      </c>
      <c r="BB30" s="16">
        <f t="shared" si="45"/>
        <v>122404.04128069326</v>
      </c>
    </row>
    <row r="31" spans="1:54" x14ac:dyDescent="0.25">
      <c r="A31" t="s">
        <v>178</v>
      </c>
      <c r="B31" s="112">
        <v>338</v>
      </c>
      <c r="C31" s="112">
        <v>315</v>
      </c>
      <c r="D31" s="112">
        <v>417</v>
      </c>
      <c r="E31" s="112">
        <v>392</v>
      </c>
      <c r="F31" s="112">
        <v>588</v>
      </c>
      <c r="G31" s="112">
        <v>743</v>
      </c>
      <c r="H31" s="112">
        <v>640</v>
      </c>
      <c r="I31" s="112">
        <v>625</v>
      </c>
      <c r="J31" s="112">
        <v>400</v>
      </c>
      <c r="K31" s="112">
        <v>313</v>
      </c>
      <c r="L31" s="112">
        <v>281</v>
      </c>
      <c r="M31" s="112">
        <v>259</v>
      </c>
      <c r="N31" s="112">
        <v>404</v>
      </c>
      <c r="O31" s="112">
        <v>669</v>
      </c>
      <c r="P31" s="112">
        <v>761</v>
      </c>
      <c r="Q31" s="112">
        <v>671</v>
      </c>
      <c r="R31" s="112">
        <v>561</v>
      </c>
      <c r="S31" s="112">
        <v>456</v>
      </c>
      <c r="T31" s="112">
        <v>690</v>
      </c>
      <c r="U31" s="112">
        <v>416</v>
      </c>
      <c r="V31" s="112">
        <v>437</v>
      </c>
      <c r="W31" s="112">
        <v>527</v>
      </c>
      <c r="X31" s="112">
        <v>358</v>
      </c>
      <c r="Y31" s="112">
        <v>414</v>
      </c>
      <c r="Z31" s="112">
        <v>309</v>
      </c>
      <c r="AA31" s="12">
        <f t="shared" ref="AA31:AG31" si="46">+Z31</f>
        <v>309</v>
      </c>
      <c r="AB31" s="12">
        <f t="shared" si="46"/>
        <v>309</v>
      </c>
      <c r="AC31" s="12">
        <f t="shared" si="46"/>
        <v>309</v>
      </c>
      <c r="AD31" s="12">
        <f t="shared" si="46"/>
        <v>309</v>
      </c>
      <c r="AE31" s="12">
        <f t="shared" si="46"/>
        <v>309</v>
      </c>
      <c r="AF31" s="12">
        <f t="shared" si="46"/>
        <v>309</v>
      </c>
      <c r="AG31" s="12">
        <f t="shared" si="46"/>
        <v>309</v>
      </c>
      <c r="AH31" s="12"/>
      <c r="AI31" s="12">
        <v>358</v>
      </c>
      <c r="AJ31" s="12"/>
      <c r="AL31" s="141">
        <f>+SUMIFS($B31:AF31,$B$4:AF$4,"="&amp;AL$3)</f>
        <v>392</v>
      </c>
      <c r="AM31" s="141">
        <f>+SUMIFS($B31:AG31,$B$4:AG$4,"="&amp;AM$3)</f>
        <v>625</v>
      </c>
      <c r="AN31" s="141">
        <f>+SUMIFS($B31:AG31,$B$4:AG$4,"="&amp;AN$3)</f>
        <v>259</v>
      </c>
      <c r="AO31" s="141">
        <f>+SUMIFS($B31:AG31,$B$4:AG$4,"="&amp;AO$3)</f>
        <v>671</v>
      </c>
      <c r="AP31" s="141">
        <f>+SUMIFS($B31:AG31,$B$4:AG$4,"="&amp;AP$3)</f>
        <v>416</v>
      </c>
      <c r="AQ31" s="141">
        <f>+SUMIFS($B31:AG31,$B$4:AG$4,"="&amp;AQ$3)</f>
        <v>414</v>
      </c>
      <c r="AR31" s="141">
        <f>+SUMIFS($B31:AG31,$B$4:AG$4,"="&amp;AR$3)</f>
        <v>309</v>
      </c>
      <c r="AS31" s="141">
        <f>+SUMIFS($B31:AK31,$B$4:AK$4,"="&amp;AS$3)</f>
        <v>309</v>
      </c>
      <c r="AT31" s="12">
        <f t="shared" ref="AT31:BB31" si="47">+AS31</f>
        <v>309</v>
      </c>
      <c r="AU31" s="12">
        <f t="shared" si="47"/>
        <v>309</v>
      </c>
      <c r="AV31" s="12">
        <f t="shared" si="47"/>
        <v>309</v>
      </c>
      <c r="AW31" s="12">
        <f t="shared" si="47"/>
        <v>309</v>
      </c>
      <c r="AX31" s="12">
        <f t="shared" si="47"/>
        <v>309</v>
      </c>
      <c r="AY31" s="12">
        <f t="shared" si="47"/>
        <v>309</v>
      </c>
      <c r="AZ31" s="12">
        <f t="shared" si="47"/>
        <v>309</v>
      </c>
      <c r="BA31" s="12">
        <f t="shared" si="47"/>
        <v>309</v>
      </c>
      <c r="BB31" s="12">
        <f t="shared" si="47"/>
        <v>309</v>
      </c>
    </row>
    <row r="32" spans="1:54" x14ac:dyDescent="0.25">
      <c r="A32" t="s">
        <v>179</v>
      </c>
      <c r="B32" s="112"/>
      <c r="C32" s="112"/>
      <c r="D32" s="112"/>
      <c r="E32" s="112"/>
      <c r="F32" s="112"/>
      <c r="G32" s="112"/>
      <c r="H32" s="112"/>
      <c r="I32" s="112"/>
      <c r="J32" s="497"/>
      <c r="K32" s="497"/>
      <c r="L32" s="497"/>
      <c r="M32" s="497"/>
      <c r="N32" s="497"/>
      <c r="O32" s="497"/>
      <c r="P32" s="497"/>
      <c r="Q32" s="112">
        <v>13937</v>
      </c>
      <c r="R32" s="112">
        <v>12036</v>
      </c>
      <c r="S32" s="112">
        <v>0</v>
      </c>
      <c r="T32" s="112">
        <v>0</v>
      </c>
      <c r="U32" s="112">
        <v>0</v>
      </c>
      <c r="V32" s="112">
        <v>0</v>
      </c>
      <c r="W32" s="112"/>
      <c r="X32" s="112"/>
      <c r="Y32" s="112"/>
      <c r="Z32" s="112"/>
      <c r="AL32" s="141">
        <f>+SUMIFS($B32:AF32,$B$4:AF$4,"="&amp;AL$3)</f>
        <v>0</v>
      </c>
      <c r="AM32" s="141">
        <f>+SUMIFS($B32:AG32,$B$4:AG$4,"="&amp;AM$3)</f>
        <v>0</v>
      </c>
      <c r="AN32" s="141">
        <f>+SUMIFS($B32:AG32,$B$4:AG$4,"="&amp;AN$3)</f>
        <v>0</v>
      </c>
      <c r="AO32" s="141">
        <f>+SUMIFS($B32:AG32,$B$4:AG$4,"="&amp;AO$3)</f>
        <v>13937</v>
      </c>
      <c r="AP32" s="141">
        <f>+SUMIFS($B32:AG32,$B$4:AG$4,"="&amp;AP$3)</f>
        <v>0</v>
      </c>
      <c r="AQ32" s="141">
        <f>+SUMIFS($B32:AG32,$B$4:AG$4,"="&amp;AQ$3)</f>
        <v>0</v>
      </c>
      <c r="AR32" s="141">
        <f>+SUMIFS($B32:AG32,$B$4:AG$4,"="&amp;AR$3)</f>
        <v>0</v>
      </c>
      <c r="AS32" s="141">
        <f>+SUMIFS($B32:AK32,$B$4:AK$4,"="&amp;AS$3)</f>
        <v>0</v>
      </c>
    </row>
    <row r="33" spans="1:54" s="2" customFormat="1" x14ac:dyDescent="0.25">
      <c r="A33" s="2" t="s">
        <v>180</v>
      </c>
      <c r="B33" s="501">
        <v>102244</v>
      </c>
      <c r="C33" s="501">
        <v>106344</v>
      </c>
      <c r="D33" s="501">
        <v>107965</v>
      </c>
      <c r="E33" s="501">
        <v>107933</v>
      </c>
      <c r="F33" s="501">
        <v>113373</v>
      </c>
      <c r="G33" s="501">
        <v>111569</v>
      </c>
      <c r="H33" s="501">
        <v>111149</v>
      </c>
      <c r="I33" s="501">
        <v>110416</v>
      </c>
      <c r="J33" s="501">
        <v>112791</v>
      </c>
      <c r="K33" s="501">
        <v>114469</v>
      </c>
      <c r="L33" s="501">
        <v>115265</v>
      </c>
      <c r="M33" s="501">
        <v>117952</v>
      </c>
      <c r="N33" s="501">
        <v>121226</v>
      </c>
      <c r="O33" s="501">
        <v>123554</v>
      </c>
      <c r="P33" s="501">
        <v>126079</v>
      </c>
      <c r="Q33" s="501">
        <v>137811</v>
      </c>
      <c r="R33" s="501">
        <v>143298</v>
      </c>
      <c r="S33" s="501">
        <v>147909</v>
      </c>
      <c r="T33" s="501">
        <v>151812</v>
      </c>
      <c r="U33" s="501">
        <v>155301</v>
      </c>
      <c r="V33" s="501">
        <v>160795</v>
      </c>
      <c r="W33" s="501">
        <v>166307</v>
      </c>
      <c r="X33" s="501">
        <f>+X34+X38</f>
        <v>171259</v>
      </c>
      <c r="Y33" s="501">
        <f>+Y34+Y38</f>
        <v>177104</v>
      </c>
      <c r="Z33" s="501">
        <f t="shared" ref="Z33:AG33" si="48">+Z34+Z38</f>
        <v>180986</v>
      </c>
      <c r="AA33" s="131">
        <f t="shared" si="48"/>
        <v>183722</v>
      </c>
      <c r="AB33" s="131">
        <f t="shared" si="48"/>
        <v>188100</v>
      </c>
      <c r="AC33" s="131">
        <f t="shared" si="48"/>
        <v>190842</v>
      </c>
      <c r="AD33" s="131">
        <f t="shared" si="48"/>
        <v>191206.49000000002</v>
      </c>
      <c r="AE33" s="131">
        <f t="shared" si="48"/>
        <v>193909.38</v>
      </c>
      <c r="AF33" s="131">
        <f t="shared" si="48"/>
        <v>202991.36000000004</v>
      </c>
      <c r="AG33" s="131">
        <f t="shared" si="48"/>
        <v>203501.18</v>
      </c>
      <c r="AH33" s="133"/>
      <c r="AI33" s="131">
        <v>178445.91560539114</v>
      </c>
      <c r="AJ33" s="133"/>
      <c r="AK33" s="5"/>
      <c r="AL33" s="39">
        <f>+SUMIFS($B33:AF33,$B$4:AF$4,"="&amp;AL$3)</f>
        <v>107933</v>
      </c>
      <c r="AM33" s="39">
        <f>+SUMIFS($B33:AG33,$B$4:AG$4,"="&amp;AM$3)</f>
        <v>110416</v>
      </c>
      <c r="AN33" s="39">
        <f>+SUMIFS($B33:AG33,$B$4:AG$4,"="&amp;AN$3)</f>
        <v>117952</v>
      </c>
      <c r="AO33" s="39">
        <f>+SUMIFS($B33:AG33,$B$4:AG$4,"="&amp;AO$3)</f>
        <v>137811</v>
      </c>
      <c r="AP33" s="39">
        <f>+SUMIFS($B33:AG33,$B$4:AG$4,"="&amp;AP$3)</f>
        <v>155301</v>
      </c>
      <c r="AQ33" s="39">
        <f>+SUMIFS($B33:AG33,$B$4:AG$4,"="&amp;AQ$3)</f>
        <v>177104</v>
      </c>
      <c r="AR33" s="39">
        <f>+SUMIFS($B33:AG33,$B$4:AG$4,"="&amp;AR$3)</f>
        <v>190842</v>
      </c>
      <c r="AS33" s="39">
        <f>+SUMIFS($B33:AK33,$B$4:AK$4,"="&amp;AS$3)</f>
        <v>203501.18</v>
      </c>
      <c r="AT33" s="15">
        <f t="shared" ref="AT33:BB33" si="49">+AT34+AT38</f>
        <v>222959.31400000001</v>
      </c>
      <c r="AU33" s="15">
        <f t="shared" si="49"/>
        <v>236823.55244000006</v>
      </c>
      <c r="AV33" s="15">
        <f t="shared" si="49"/>
        <v>251586.52914640008</v>
      </c>
      <c r="AW33" s="15">
        <f t="shared" si="49"/>
        <v>267308.85681118409</v>
      </c>
      <c r="AX33" s="15">
        <f t="shared" si="49"/>
        <v>284055.45372745511</v>
      </c>
      <c r="AY33" s="15">
        <f t="shared" si="49"/>
        <v>298047.79522543558</v>
      </c>
      <c r="AZ33" s="15">
        <f t="shared" si="49"/>
        <v>312804.43869884964</v>
      </c>
      <c r="BA33" s="15">
        <f t="shared" si="49"/>
        <v>328373.24239739432</v>
      </c>
      <c r="BB33" s="15">
        <f t="shared" si="49"/>
        <v>344805.56465808314</v>
      </c>
    </row>
    <row r="34" spans="1:54" s="2" customFormat="1" x14ac:dyDescent="0.25">
      <c r="A34" s="132" t="s">
        <v>181</v>
      </c>
      <c r="B34" s="501">
        <v>87526</v>
      </c>
      <c r="C34" s="501">
        <v>90980</v>
      </c>
      <c r="D34" s="501">
        <v>92239</v>
      </c>
      <c r="E34" s="501">
        <v>91824</v>
      </c>
      <c r="F34" s="501">
        <v>97155</v>
      </c>
      <c r="G34" s="501">
        <v>95503</v>
      </c>
      <c r="H34" s="501">
        <v>94548</v>
      </c>
      <c r="I34" s="501">
        <v>93513</v>
      </c>
      <c r="J34" s="501">
        <v>95706</v>
      </c>
      <c r="K34" s="501">
        <v>97041</v>
      </c>
      <c r="L34" s="501">
        <v>97465</v>
      </c>
      <c r="M34" s="501">
        <v>99599</v>
      </c>
      <c r="N34" s="501">
        <v>102322</v>
      </c>
      <c r="O34" s="501">
        <v>103918</v>
      </c>
      <c r="P34" s="501">
        <v>105285</v>
      </c>
      <c r="Q34" s="501">
        <v>115438</v>
      </c>
      <c r="R34" s="501">
        <v>119572</v>
      </c>
      <c r="S34" s="501">
        <v>122645</v>
      </c>
      <c r="T34" s="501">
        <v>125690</v>
      </c>
      <c r="U34" s="501">
        <v>128383</v>
      </c>
      <c r="V34" s="501">
        <v>133709</v>
      </c>
      <c r="W34" s="501">
        <v>138562</v>
      </c>
      <c r="X34" s="501">
        <f>+X35+X36+X37</f>
        <v>143044</v>
      </c>
      <c r="Y34" s="501">
        <f>+Y35+Y36+Y37</f>
        <v>148142</v>
      </c>
      <c r="Z34" s="501">
        <f t="shared" ref="Z34:AG34" si="50">+Z35+Z36+Z37</f>
        <v>151622</v>
      </c>
      <c r="AA34" s="131">
        <f t="shared" si="50"/>
        <v>153577</v>
      </c>
      <c r="AB34" s="131">
        <f t="shared" si="50"/>
        <v>157194</v>
      </c>
      <c r="AC34" s="131">
        <f t="shared" si="50"/>
        <v>159123</v>
      </c>
      <c r="AD34" s="131">
        <f t="shared" si="50"/>
        <v>160176.33000000002</v>
      </c>
      <c r="AE34" s="131">
        <f t="shared" si="50"/>
        <v>161941.38</v>
      </c>
      <c r="AF34" s="131">
        <f t="shared" si="50"/>
        <v>169940.28000000003</v>
      </c>
      <c r="AG34" s="131">
        <f t="shared" si="50"/>
        <v>169579.56</v>
      </c>
      <c r="AH34" s="133"/>
      <c r="AI34" s="131">
        <v>149780.24000000002</v>
      </c>
      <c r="AJ34" s="133"/>
      <c r="AK34" s="5"/>
      <c r="AL34" s="39">
        <f>+SUMIFS($B34:AF34,$B$4:AF$4,"="&amp;AL$3)</f>
        <v>91824</v>
      </c>
      <c r="AM34" s="39">
        <f>+SUMIFS($B34:AG34,$B$4:AG$4,"="&amp;AM$3)</f>
        <v>93513</v>
      </c>
      <c r="AN34" s="39">
        <f>+SUMIFS($B34:AG34,$B$4:AG$4,"="&amp;AN$3)</f>
        <v>99599</v>
      </c>
      <c r="AO34" s="39">
        <f>+SUMIFS($B34:AG34,$B$4:AG$4,"="&amp;AO$3)</f>
        <v>115438</v>
      </c>
      <c r="AP34" s="39">
        <f>+SUMIFS($B34:AG34,$B$4:AG$4,"="&amp;AP$3)</f>
        <v>128383</v>
      </c>
      <c r="AQ34" s="39">
        <f>+SUMIFS($B34:AG34,$B$4:AG$4,"="&amp;AQ$3)</f>
        <v>148142</v>
      </c>
      <c r="AR34" s="39">
        <f>+SUMIFS($B34:AG34,$B$4:AG$4,"="&amp;AR$3)</f>
        <v>159123</v>
      </c>
      <c r="AS34" s="39">
        <f>+SUMIFS($B34:AK34,$B$4:AK$4,"="&amp;AS$3)</f>
        <v>169579.56</v>
      </c>
      <c r="AT34" s="15">
        <f t="shared" ref="AT34:BB34" si="51">+AT35+AT36+AT37</f>
        <v>186019.94640000002</v>
      </c>
      <c r="AU34" s="15">
        <f t="shared" si="51"/>
        <v>196998.98318400004</v>
      </c>
      <c r="AV34" s="15">
        <f t="shared" si="51"/>
        <v>208636.76217504006</v>
      </c>
      <c r="AW34" s="15">
        <f t="shared" si="51"/>
        <v>220972.80790554246</v>
      </c>
      <c r="AX34" s="15">
        <f t="shared" si="51"/>
        <v>234049.01637987501</v>
      </c>
      <c r="AY34" s="15">
        <f t="shared" si="51"/>
        <v>244444.60211696936</v>
      </c>
      <c r="AZ34" s="15">
        <f t="shared" si="51"/>
        <v>255307.98921223296</v>
      </c>
      <c r="BA34" s="15">
        <f t="shared" si="51"/>
        <v>266660.22872678342</v>
      </c>
      <c r="BB34" s="15">
        <f t="shared" si="51"/>
        <v>278523.31901948864</v>
      </c>
    </row>
    <row r="35" spans="1:54" s="143" customFormat="1" x14ac:dyDescent="0.25">
      <c r="A35" s="145" t="s">
        <v>182</v>
      </c>
      <c r="B35" s="499">
        <v>85331</v>
      </c>
      <c r="C35" s="499">
        <v>88630</v>
      </c>
      <c r="D35" s="499">
        <v>90411</v>
      </c>
      <c r="E35" s="499">
        <v>90977</v>
      </c>
      <c r="F35" s="499">
        <v>96427</v>
      </c>
      <c r="G35" s="499">
        <v>94805</v>
      </c>
      <c r="H35" s="499">
        <v>93900</v>
      </c>
      <c r="I35" s="499">
        <v>92761</v>
      </c>
      <c r="J35" s="499">
        <v>94973</v>
      </c>
      <c r="K35" s="499">
        <v>94115</v>
      </c>
      <c r="L35" s="499">
        <v>94652</v>
      </c>
      <c r="M35" s="499">
        <v>98105</v>
      </c>
      <c r="N35" s="499">
        <v>100332</v>
      </c>
      <c r="O35" s="499">
        <v>101865</v>
      </c>
      <c r="P35" s="499">
        <v>103192</v>
      </c>
      <c r="Q35" s="499">
        <v>113470</v>
      </c>
      <c r="R35" s="499">
        <v>117211</v>
      </c>
      <c r="S35" s="499">
        <v>120366</v>
      </c>
      <c r="T35" s="499">
        <v>123454</v>
      </c>
      <c r="U35" s="499">
        <v>125432</v>
      </c>
      <c r="V35" s="499">
        <v>130186</v>
      </c>
      <c r="W35" s="499">
        <v>134029</v>
      </c>
      <c r="X35" s="499">
        <v>138604</v>
      </c>
      <c r="Y35" s="499">
        <f>139386+2339+1793</f>
        <v>143518</v>
      </c>
      <c r="Z35" s="499">
        <f>141603+2134+1963</f>
        <v>145700</v>
      </c>
      <c r="AA35" s="146">
        <f>+FAT!AA25+FAT!AA44</f>
        <v>147843</v>
      </c>
      <c r="AB35" s="146">
        <f>+FAT!AB25+FAT!AB44</f>
        <v>151564</v>
      </c>
      <c r="AC35" s="146">
        <f>+FAT!AC25+FAT!AC44</f>
        <v>151134</v>
      </c>
      <c r="AD35" s="146">
        <f>+FAT!AD25+FAT!AD44</f>
        <v>150923.85</v>
      </c>
      <c r="AE35" s="146">
        <f>+FAT!AE25+FAT!AE44</f>
        <v>152877.9</v>
      </c>
      <c r="AF35" s="146">
        <f>+FAT!AF25+FAT!AF44</f>
        <v>160972.92000000001</v>
      </c>
      <c r="AG35" s="146">
        <f>+FAT!AG25+FAT!AG44</f>
        <v>161194.32</v>
      </c>
      <c r="AH35" s="451"/>
      <c r="AI35" s="146">
        <v>144051.04</v>
      </c>
      <c r="AJ35" s="451"/>
      <c r="AK35" s="147"/>
      <c r="AL35" s="144">
        <f>+SUMIFS($B35:AF35,$B$4:AF$4,"="&amp;AL$3)</f>
        <v>90977</v>
      </c>
      <c r="AM35" s="144">
        <f>+SUMIFS($B35:AG35,$B$4:AG$4,"="&amp;AM$3)</f>
        <v>92761</v>
      </c>
      <c r="AN35" s="144">
        <f>+SUMIFS($B35:AG35,$B$4:AG$4,"="&amp;AN$3)</f>
        <v>98105</v>
      </c>
      <c r="AO35" s="144">
        <f>+SUMIFS($B35:AG35,$B$4:AG$4,"="&amp;AO$3)</f>
        <v>113470</v>
      </c>
      <c r="AP35" s="144">
        <f>+SUMIFS($B35:AG35,$B$4:AG$4,"="&amp;AP$3)</f>
        <v>125432</v>
      </c>
      <c r="AQ35" s="144">
        <f>+SUMIFS($B35:AG35,$B$4:AG$4,"="&amp;AQ$3)</f>
        <v>143518</v>
      </c>
      <c r="AR35" s="144">
        <f>+SUMIFS($B35:AG35,$B$4:AG$4,"="&amp;AR$3)</f>
        <v>151134</v>
      </c>
      <c r="AS35" s="144">
        <f>+SUMIFS($B35:AK35,$B$4:AK$4,"="&amp;AS$3)</f>
        <v>161194.32</v>
      </c>
      <c r="AT35" s="146">
        <f>+FAT!AT25+FAT!AT44</f>
        <v>177313.75200000001</v>
      </c>
      <c r="AU35" s="146">
        <f>+FAT!AU25+FAT!AU44</f>
        <v>187952.57712000003</v>
      </c>
      <c r="AV35" s="146">
        <f>+FAT!AV25+FAT!AV44</f>
        <v>199229.73174720004</v>
      </c>
      <c r="AW35" s="146">
        <f>+FAT!AW25+FAT!AW44</f>
        <v>211183.51565203205</v>
      </c>
      <c r="AX35" s="146">
        <f>+FAT!AX25+FAT!AX44</f>
        <v>223854.52659115399</v>
      </c>
      <c r="AY35" s="146">
        <f>+FAT!AY25+FAT!AY44</f>
        <v>233927.9802877559</v>
      </c>
      <c r="AZ35" s="146">
        <f>+FAT!AZ25+FAT!AZ44</f>
        <v>244454.73940070489</v>
      </c>
      <c r="BA35" s="146">
        <f>+FAT!BA25+FAT!BA44</f>
        <v>255455.20267373658</v>
      </c>
      <c r="BB35" s="146">
        <f>+FAT!BB25+FAT!BB44</f>
        <v>266950.68679405469</v>
      </c>
    </row>
    <row r="36" spans="1:54" s="143" customFormat="1" x14ac:dyDescent="0.25">
      <c r="A36" s="145" t="s">
        <v>183</v>
      </c>
      <c r="B36" s="499">
        <v>2137</v>
      </c>
      <c r="C36" s="499">
        <v>2342</v>
      </c>
      <c r="D36" s="499">
        <v>1821</v>
      </c>
      <c r="E36" s="499">
        <v>760</v>
      </c>
      <c r="F36" s="499">
        <v>711</v>
      </c>
      <c r="G36" s="499">
        <v>681</v>
      </c>
      <c r="H36" s="499">
        <v>633</v>
      </c>
      <c r="I36" s="499">
        <v>689</v>
      </c>
      <c r="J36" s="499">
        <v>684</v>
      </c>
      <c r="K36" s="499">
        <v>2926</v>
      </c>
      <c r="L36" s="499">
        <v>2813</v>
      </c>
      <c r="M36" s="499">
        <v>1494</v>
      </c>
      <c r="N36" s="499">
        <v>1990</v>
      </c>
      <c r="O36" s="499">
        <v>2053</v>
      </c>
      <c r="P36" s="499">
        <v>2056</v>
      </c>
      <c r="Q36" s="499">
        <v>1851</v>
      </c>
      <c r="R36" s="499">
        <v>2271</v>
      </c>
      <c r="S36" s="499">
        <v>2208</v>
      </c>
      <c r="T36" s="499">
        <v>2133</v>
      </c>
      <c r="U36" s="499">
        <v>2673</v>
      </c>
      <c r="V36" s="499">
        <v>3266</v>
      </c>
      <c r="W36" s="499">
        <v>4307</v>
      </c>
      <c r="X36" s="499">
        <v>4244</v>
      </c>
      <c r="Y36" s="499">
        <v>4447</v>
      </c>
      <c r="Z36" s="499">
        <v>5756</v>
      </c>
      <c r="AA36" s="146">
        <f>+FAT!AA26</f>
        <v>5581</v>
      </c>
      <c r="AB36" s="146">
        <f>+FAT!AB26</f>
        <v>5492</v>
      </c>
      <c r="AC36" s="146">
        <f>+FAT!AC26</f>
        <v>4953</v>
      </c>
      <c r="AD36" s="146">
        <f>+FAT!AD26</f>
        <v>6216.4800000000005</v>
      </c>
      <c r="AE36" s="146">
        <f>+FAT!AE26</f>
        <v>6027.4800000000005</v>
      </c>
      <c r="AF36" s="146">
        <f>+FAT!AF26</f>
        <v>5931.3600000000006</v>
      </c>
      <c r="AG36" s="146">
        <f>+FAT!AG26</f>
        <v>5349.2400000000007</v>
      </c>
      <c r="AH36" s="451"/>
      <c r="AI36" s="146">
        <v>5552.2</v>
      </c>
      <c r="AJ36" s="451"/>
      <c r="AK36" s="147"/>
      <c r="AL36" s="144">
        <f>+SUMIFS($B36:AF36,$B$4:AF$4,"="&amp;AL$3)</f>
        <v>760</v>
      </c>
      <c r="AM36" s="144">
        <f>+SUMIFS($B36:AG36,$B$4:AG$4,"="&amp;AM$3)</f>
        <v>689</v>
      </c>
      <c r="AN36" s="144">
        <f>+SUMIFS($B36:AG36,$B$4:AG$4,"="&amp;AN$3)</f>
        <v>1494</v>
      </c>
      <c r="AO36" s="144">
        <f>+SUMIFS($B36:AG36,$B$4:AG$4,"="&amp;AO$3)</f>
        <v>1851</v>
      </c>
      <c r="AP36" s="144">
        <f>+SUMIFS($B36:AG36,$B$4:AG$4,"="&amp;AP$3)</f>
        <v>2673</v>
      </c>
      <c r="AQ36" s="144">
        <f>+SUMIFS($B36:AG36,$B$4:AG$4,"="&amp;AQ$3)</f>
        <v>4447</v>
      </c>
      <c r="AR36" s="144">
        <f>+SUMIFS($B36:AG36,$B$4:AG$4,"="&amp;AR$3)</f>
        <v>4953</v>
      </c>
      <c r="AS36" s="144">
        <f>+SUMIFS($B36:AK36,$B$4:AK$4,"="&amp;AS$3)</f>
        <v>5349.2400000000007</v>
      </c>
      <c r="AT36" s="146">
        <f>+FAT!AT26</f>
        <v>5670.1944000000012</v>
      </c>
      <c r="AU36" s="146">
        <f>+FAT!AU26</f>
        <v>6010.4060640000016</v>
      </c>
      <c r="AV36" s="146">
        <f>+FAT!AV26</f>
        <v>6371.0304278400017</v>
      </c>
      <c r="AW36" s="146">
        <f>+FAT!AW26</f>
        <v>6753.2922535104026</v>
      </c>
      <c r="AX36" s="146">
        <f>+FAT!AX26</f>
        <v>7158.4897887210273</v>
      </c>
      <c r="AY36" s="146">
        <f>+FAT!AY26</f>
        <v>7480.6218292134727</v>
      </c>
      <c r="AZ36" s="146">
        <f>+FAT!AZ26</f>
        <v>7817.2498115280787</v>
      </c>
      <c r="BA36" s="146">
        <f>+FAT!BA26</f>
        <v>8169.0260530468413</v>
      </c>
      <c r="BB36" s="146">
        <f>+FAT!BB26</f>
        <v>8536.6322254339484</v>
      </c>
    </row>
    <row r="37" spans="1:54" s="143" customFormat="1" x14ac:dyDescent="0.25">
      <c r="A37" s="145" t="s">
        <v>184</v>
      </c>
      <c r="B37" s="499">
        <v>58</v>
      </c>
      <c r="C37" s="499">
        <v>8</v>
      </c>
      <c r="D37" s="499">
        <v>7</v>
      </c>
      <c r="E37" s="499">
        <v>87</v>
      </c>
      <c r="F37" s="499">
        <v>17</v>
      </c>
      <c r="G37" s="499">
        <v>17</v>
      </c>
      <c r="H37" s="499">
        <v>15</v>
      </c>
      <c r="I37" s="499">
        <v>63</v>
      </c>
      <c r="J37" s="499">
        <v>49</v>
      </c>
      <c r="K37" s="499">
        <v>0</v>
      </c>
      <c r="L37" s="499">
        <v>0</v>
      </c>
      <c r="M37" s="499">
        <v>0</v>
      </c>
      <c r="N37" s="499">
        <v>0</v>
      </c>
      <c r="O37" s="499">
        <v>0</v>
      </c>
      <c r="P37" s="499">
        <v>37</v>
      </c>
      <c r="Q37" s="499">
        <v>117</v>
      </c>
      <c r="R37" s="499">
        <v>90</v>
      </c>
      <c r="S37" s="499">
        <v>71</v>
      </c>
      <c r="T37" s="499">
        <v>103</v>
      </c>
      <c r="U37" s="499">
        <v>278</v>
      </c>
      <c r="V37" s="499">
        <v>257</v>
      </c>
      <c r="W37" s="499">
        <v>226</v>
      </c>
      <c r="X37" s="499">
        <v>196</v>
      </c>
      <c r="Y37" s="499">
        <v>177</v>
      </c>
      <c r="Z37" s="499">
        <v>166</v>
      </c>
      <c r="AA37" s="146">
        <f>+FAT!AA27</f>
        <v>153</v>
      </c>
      <c r="AB37" s="146">
        <f>+FAT!AB27</f>
        <v>138</v>
      </c>
      <c r="AC37" s="146">
        <f>+FAT!AC27</f>
        <v>3036</v>
      </c>
      <c r="AD37" s="146">
        <f>+FAT!AD27</f>
        <v>3036</v>
      </c>
      <c r="AE37" s="146">
        <f>+FAT!AE27</f>
        <v>3036</v>
      </c>
      <c r="AF37" s="146">
        <f>+FAT!AF27</f>
        <v>3036</v>
      </c>
      <c r="AG37" s="146">
        <f>+FAT!AG27</f>
        <v>3036</v>
      </c>
      <c r="AH37" s="451"/>
      <c r="AI37" s="146">
        <v>177</v>
      </c>
      <c r="AJ37" s="451"/>
      <c r="AK37" s="147"/>
      <c r="AL37" s="144">
        <f>+SUMIFS($B37:AF37,$B$4:AF$4,"="&amp;AL$3)</f>
        <v>87</v>
      </c>
      <c r="AM37" s="144">
        <f>+SUMIFS($B37:AG37,$B$4:AG$4,"="&amp;AM$3)</f>
        <v>63</v>
      </c>
      <c r="AN37" s="144">
        <f>+SUMIFS($B37:AG37,$B$4:AG$4,"="&amp;AN$3)</f>
        <v>0</v>
      </c>
      <c r="AO37" s="144">
        <f>+SUMIFS($B37:AG37,$B$4:AG$4,"="&amp;AO$3)</f>
        <v>117</v>
      </c>
      <c r="AP37" s="144">
        <f>+SUMIFS($B37:AG37,$B$4:AG$4,"="&amp;AP$3)</f>
        <v>278</v>
      </c>
      <c r="AQ37" s="144">
        <f>+SUMIFS($B37:AG37,$B$4:AG$4,"="&amp;AQ$3)</f>
        <v>177</v>
      </c>
      <c r="AR37" s="144">
        <f>+SUMIFS($B37:AG37,$B$4:AG$4,"="&amp;AR$3)</f>
        <v>3036</v>
      </c>
      <c r="AS37" s="144">
        <f>+SUMIFS($B37:AK37,$B$4:AK$4,"="&amp;AS$3)</f>
        <v>3036</v>
      </c>
      <c r="AT37" s="146">
        <f>+FAT!AT27</f>
        <v>3036</v>
      </c>
      <c r="AU37" s="146">
        <f>+FAT!AU27</f>
        <v>3036</v>
      </c>
      <c r="AV37" s="146">
        <f>+FAT!AV27</f>
        <v>3036</v>
      </c>
      <c r="AW37" s="146">
        <f>+FAT!AW27</f>
        <v>3036</v>
      </c>
      <c r="AX37" s="146">
        <f>+FAT!AX27</f>
        <v>3036</v>
      </c>
      <c r="AY37" s="146">
        <f>+FAT!AY27</f>
        <v>3036</v>
      </c>
      <c r="AZ37" s="146">
        <f>+FAT!AZ27</f>
        <v>3036</v>
      </c>
      <c r="BA37" s="146">
        <f>+FAT!BA27</f>
        <v>3036</v>
      </c>
      <c r="BB37" s="146">
        <f>+FAT!BB27</f>
        <v>3036</v>
      </c>
    </row>
    <row r="38" spans="1:54" s="2" customFormat="1" x14ac:dyDescent="0.25">
      <c r="A38" s="132" t="s">
        <v>185</v>
      </c>
      <c r="B38" s="501">
        <v>14718</v>
      </c>
      <c r="C38" s="501">
        <v>15364</v>
      </c>
      <c r="D38" s="501">
        <v>15726</v>
      </c>
      <c r="E38" s="501">
        <v>16109</v>
      </c>
      <c r="F38" s="501">
        <v>16218</v>
      </c>
      <c r="G38" s="501">
        <v>16066</v>
      </c>
      <c r="H38" s="501">
        <v>16601</v>
      </c>
      <c r="I38" s="501">
        <v>16903</v>
      </c>
      <c r="J38" s="501">
        <v>17085</v>
      </c>
      <c r="K38" s="501">
        <v>17428</v>
      </c>
      <c r="L38" s="501">
        <v>17800</v>
      </c>
      <c r="M38" s="501">
        <v>18353</v>
      </c>
      <c r="N38" s="501">
        <v>18904</v>
      </c>
      <c r="O38" s="501">
        <v>19636</v>
      </c>
      <c r="P38" s="501">
        <v>20794</v>
      </c>
      <c r="Q38" s="501">
        <v>22373</v>
      </c>
      <c r="R38" s="501">
        <v>23726</v>
      </c>
      <c r="S38" s="501">
        <v>25264</v>
      </c>
      <c r="T38" s="501">
        <v>26122</v>
      </c>
      <c r="U38" s="501">
        <v>26918</v>
      </c>
      <c r="V38" s="501">
        <v>27086</v>
      </c>
      <c r="W38" s="501">
        <v>27745</v>
      </c>
      <c r="X38" s="501">
        <f>+X39+X40</f>
        <v>28215</v>
      </c>
      <c r="Y38" s="501">
        <f>+Y39+Y40</f>
        <v>28962</v>
      </c>
      <c r="Z38" s="501">
        <f t="shared" ref="Z38:AG38" si="52">+Z39+Z40</f>
        <v>29364</v>
      </c>
      <c r="AA38" s="131">
        <f t="shared" si="52"/>
        <v>30145</v>
      </c>
      <c r="AB38" s="131">
        <f t="shared" si="52"/>
        <v>30906</v>
      </c>
      <c r="AC38" s="131">
        <f t="shared" si="52"/>
        <v>31719</v>
      </c>
      <c r="AD38" s="131">
        <f t="shared" si="52"/>
        <v>31030.160000000003</v>
      </c>
      <c r="AE38" s="131">
        <f t="shared" si="52"/>
        <v>31968</v>
      </c>
      <c r="AF38" s="131">
        <f t="shared" si="52"/>
        <v>33051.08</v>
      </c>
      <c r="AG38" s="131">
        <f t="shared" si="52"/>
        <v>33921.620000000003</v>
      </c>
      <c r="AH38" s="133"/>
      <c r="AI38" s="133">
        <v>28665.67560539113</v>
      </c>
      <c r="AJ38" s="133"/>
      <c r="AK38" s="5"/>
      <c r="AL38" s="39">
        <f>+SUMIFS($B38:AF38,$B$4:AF$4,"="&amp;AL$3)</f>
        <v>16109</v>
      </c>
      <c r="AM38" s="39">
        <f>+SUMIFS($B38:AG38,$B$4:AG$4,"="&amp;AM$3)</f>
        <v>16903</v>
      </c>
      <c r="AN38" s="39">
        <f>+SUMIFS($B38:AG38,$B$4:AG$4,"="&amp;AN$3)</f>
        <v>18353</v>
      </c>
      <c r="AO38" s="39">
        <f>+SUMIFS($B38:AG38,$B$4:AG$4,"="&amp;AO$3)</f>
        <v>22373</v>
      </c>
      <c r="AP38" s="39">
        <f>+SUMIFS($B38:AG38,$B$4:AG$4,"="&amp;AP$3)</f>
        <v>26918</v>
      </c>
      <c r="AQ38" s="39">
        <f>+SUMIFS($B38:AG38,$B$4:AG$4,"="&amp;AQ$3)</f>
        <v>28962</v>
      </c>
      <c r="AR38" s="39">
        <f>+SUMIFS($B38:AG38,$B$4:AG$4,"="&amp;AR$3)</f>
        <v>31719</v>
      </c>
      <c r="AS38" s="39">
        <f>+SUMIFS($B38:AK38,$B$4:AK$4,"="&amp;AS$3)</f>
        <v>33921.620000000003</v>
      </c>
      <c r="AT38" s="15">
        <f t="shared" ref="AT38:BB38" si="53">+AT39+AT40</f>
        <v>36939.367600000005</v>
      </c>
      <c r="AU38" s="15">
        <f t="shared" si="53"/>
        <v>39824.56925600001</v>
      </c>
      <c r="AV38" s="15">
        <f t="shared" si="53"/>
        <v>42949.766971360019</v>
      </c>
      <c r="AW38" s="15">
        <f t="shared" si="53"/>
        <v>46336.048905641619</v>
      </c>
      <c r="AX38" s="15">
        <f t="shared" si="53"/>
        <v>50006.437347580126</v>
      </c>
      <c r="AY38" s="15">
        <f t="shared" si="53"/>
        <v>53603.193108466228</v>
      </c>
      <c r="AZ38" s="15">
        <f t="shared" si="53"/>
        <v>57496.449486616708</v>
      </c>
      <c r="BA38" s="15">
        <f t="shared" si="53"/>
        <v>61713.013670610912</v>
      </c>
      <c r="BB38" s="15">
        <f t="shared" si="53"/>
        <v>66282.245638594497</v>
      </c>
    </row>
    <row r="39" spans="1:54" s="143" customFormat="1" x14ac:dyDescent="0.25">
      <c r="A39" s="145" t="s">
        <v>186</v>
      </c>
      <c r="B39" s="499">
        <v>3853</v>
      </c>
      <c r="C39" s="499">
        <v>4227</v>
      </c>
      <c r="D39" s="499">
        <v>4506</v>
      </c>
      <c r="E39" s="499">
        <v>4713</v>
      </c>
      <c r="F39" s="499">
        <v>4864</v>
      </c>
      <c r="G39" s="499">
        <v>4752</v>
      </c>
      <c r="H39" s="499">
        <v>5065</v>
      </c>
      <c r="I39" s="499">
        <v>5379</v>
      </c>
      <c r="J39" s="499">
        <v>5566</v>
      </c>
      <c r="K39" s="499">
        <v>5779</v>
      </c>
      <c r="L39" s="499">
        <v>6100</v>
      </c>
      <c r="M39" s="499">
        <v>6521</v>
      </c>
      <c r="N39" s="499">
        <v>6967</v>
      </c>
      <c r="O39" s="499">
        <v>7532</v>
      </c>
      <c r="P39" s="499">
        <v>8265</v>
      </c>
      <c r="Q39" s="499">
        <v>9323</v>
      </c>
      <c r="R39" s="499">
        <v>10322</v>
      </c>
      <c r="S39" s="499">
        <v>11340</v>
      </c>
      <c r="T39" s="499">
        <v>11834</v>
      </c>
      <c r="U39" s="499">
        <v>12162</v>
      </c>
      <c r="V39" s="499">
        <v>12062</v>
      </c>
      <c r="W39" s="499">
        <v>12160</v>
      </c>
      <c r="X39" s="499">
        <v>12268</v>
      </c>
      <c r="Y39" s="499">
        <f>12073+314+238</f>
        <v>12625</v>
      </c>
      <c r="Z39" s="499">
        <f>12129+331+293</f>
        <v>12753</v>
      </c>
      <c r="AA39" s="146">
        <f>+FAT!AA18+FAT!AA41</f>
        <v>13249</v>
      </c>
      <c r="AB39" s="146">
        <f>+FAT!AB18+FAT!AB41</f>
        <v>13595</v>
      </c>
      <c r="AC39" s="146">
        <f>+FAT!AC18+FAT!AC41</f>
        <v>14167</v>
      </c>
      <c r="AD39" s="146">
        <f>+FAT!AD18+FAT!AD41</f>
        <v>13332.2</v>
      </c>
      <c r="AE39" s="146">
        <f>+FAT!AE18+FAT!AE41</f>
        <v>13959.000000000002</v>
      </c>
      <c r="AF39" s="146">
        <f>+FAT!AF18+FAT!AF41</f>
        <v>14603.6</v>
      </c>
      <c r="AG39" s="146">
        <f>+FAT!AG18+FAT!AG41</f>
        <v>15200.900000000001</v>
      </c>
      <c r="AH39" s="451"/>
      <c r="AI39" s="146">
        <v>12259.180493178545</v>
      </c>
      <c r="AJ39" s="451"/>
      <c r="AK39" s="147"/>
      <c r="AL39" s="144">
        <f>+SUMIFS($B39:AF39,$B$4:AF$4,"="&amp;AL$3)</f>
        <v>4713</v>
      </c>
      <c r="AM39" s="144">
        <f>+SUMIFS($B39:AG39,$B$4:AG$4,"="&amp;AM$3)</f>
        <v>5379</v>
      </c>
      <c r="AN39" s="144">
        <f>+SUMIFS($B39:AG39,$B$4:AG$4,"="&amp;AN$3)</f>
        <v>6521</v>
      </c>
      <c r="AO39" s="144">
        <f>+SUMIFS($B39:AG39,$B$4:AG$4,"="&amp;AO$3)</f>
        <v>9323</v>
      </c>
      <c r="AP39" s="144">
        <f>+SUMIFS($B39:AG39,$B$4:AG$4,"="&amp;AP$3)</f>
        <v>12162</v>
      </c>
      <c r="AQ39" s="144">
        <f>+SUMIFS($B39:AG39,$B$4:AG$4,"="&amp;AQ$3)</f>
        <v>12625</v>
      </c>
      <c r="AR39" s="144">
        <f>+SUMIFS($B39:AG39,$B$4:AG$4,"="&amp;AR$3)</f>
        <v>14167</v>
      </c>
      <c r="AS39" s="144">
        <f>+SUMIFS($B39:AK39,$B$4:AK$4,"="&amp;AS$3)</f>
        <v>15200.900000000001</v>
      </c>
      <c r="AT39" s="146">
        <f>+FAT!AT18+FAT!AT41</f>
        <v>16720.990000000002</v>
      </c>
      <c r="AU39" s="146">
        <f>+FAT!AU18+FAT!AU41</f>
        <v>18393.089000000004</v>
      </c>
      <c r="AV39" s="146">
        <f>+FAT!AV18+FAT!AV41</f>
        <v>20232.397900000007</v>
      </c>
      <c r="AW39" s="146">
        <f>+FAT!AW18+FAT!AW41</f>
        <v>22255.63769000001</v>
      </c>
      <c r="AX39" s="146">
        <f>+FAT!AX18+FAT!AX41</f>
        <v>24481.201459000014</v>
      </c>
      <c r="AY39" s="146">
        <f>+FAT!AY18+FAT!AY41</f>
        <v>26929.321604900018</v>
      </c>
      <c r="AZ39" s="146">
        <f>+FAT!AZ18+FAT!AZ41</f>
        <v>29622.253765390022</v>
      </c>
      <c r="BA39" s="146">
        <f>+FAT!BA18+FAT!BA41</f>
        <v>32584.479141929027</v>
      </c>
      <c r="BB39" s="146">
        <f>+FAT!BB18+FAT!BB41</f>
        <v>35842.927056121931</v>
      </c>
    </row>
    <row r="40" spans="1:54" s="143" customFormat="1" x14ac:dyDescent="0.25">
      <c r="A40" s="145" t="s">
        <v>187</v>
      </c>
      <c r="B40" s="499">
        <v>10865</v>
      </c>
      <c r="C40" s="499">
        <v>11137</v>
      </c>
      <c r="D40" s="499">
        <v>11220</v>
      </c>
      <c r="E40" s="499">
        <v>11396</v>
      </c>
      <c r="F40" s="499">
        <v>11354</v>
      </c>
      <c r="G40" s="499">
        <v>11314</v>
      </c>
      <c r="H40" s="499">
        <v>11536</v>
      </c>
      <c r="I40" s="499">
        <v>11524</v>
      </c>
      <c r="J40" s="499">
        <v>11519</v>
      </c>
      <c r="K40" s="499">
        <v>11649</v>
      </c>
      <c r="L40" s="499">
        <v>11700</v>
      </c>
      <c r="M40" s="499">
        <v>11832</v>
      </c>
      <c r="N40" s="499">
        <v>11937</v>
      </c>
      <c r="O40" s="499">
        <v>12104</v>
      </c>
      <c r="P40" s="499">
        <v>12529</v>
      </c>
      <c r="Q40" s="499">
        <v>13050</v>
      </c>
      <c r="R40" s="499">
        <v>13404</v>
      </c>
      <c r="S40" s="499">
        <v>13924</v>
      </c>
      <c r="T40" s="499">
        <v>14288</v>
      </c>
      <c r="U40" s="499">
        <v>14756</v>
      </c>
      <c r="V40" s="499">
        <v>15024</v>
      </c>
      <c r="W40" s="499">
        <v>15585</v>
      </c>
      <c r="X40" s="499">
        <v>15947</v>
      </c>
      <c r="Y40" s="499">
        <f>15585+533+219</f>
        <v>16337</v>
      </c>
      <c r="Z40" s="499">
        <f>15844+543+224</f>
        <v>16611</v>
      </c>
      <c r="AA40" s="146">
        <f>+FAT!AA17+FAT!AA40</f>
        <v>16896</v>
      </c>
      <c r="AB40" s="146">
        <f>+FAT!AB17+FAT!AB40</f>
        <v>17311</v>
      </c>
      <c r="AC40" s="146">
        <f>+FAT!AC17+FAT!AC40</f>
        <v>17552</v>
      </c>
      <c r="AD40" s="146">
        <f>+FAT!AD17+FAT!AD40</f>
        <v>17697.960000000003</v>
      </c>
      <c r="AE40" s="146">
        <f>+FAT!AE17+FAT!AE40</f>
        <v>18009</v>
      </c>
      <c r="AF40" s="146">
        <f>+FAT!AF17+FAT!AF40</f>
        <v>18447.48</v>
      </c>
      <c r="AG40" s="146">
        <f>+FAT!AG17+FAT!AG40</f>
        <v>18720.72</v>
      </c>
      <c r="AH40" s="451"/>
      <c r="AI40" s="146">
        <v>16406.495112212586</v>
      </c>
      <c r="AJ40" s="451"/>
      <c r="AK40" s="147"/>
      <c r="AL40" s="144">
        <f>+SUMIFS($B40:AF40,$B$4:AF$4,"="&amp;AL$3)</f>
        <v>11396</v>
      </c>
      <c r="AM40" s="144">
        <f>+SUMIFS($B40:AG40,$B$4:AG$4,"="&amp;AM$3)</f>
        <v>11524</v>
      </c>
      <c r="AN40" s="144">
        <f>+SUMIFS($B40:AG40,$B$4:AG$4,"="&amp;AN$3)</f>
        <v>11832</v>
      </c>
      <c r="AO40" s="144">
        <f>+SUMIFS($B40:AG40,$B$4:AG$4,"="&amp;AO$3)</f>
        <v>13050</v>
      </c>
      <c r="AP40" s="144">
        <f>+SUMIFS($B40:AG40,$B$4:AG$4,"="&amp;AP$3)</f>
        <v>14756</v>
      </c>
      <c r="AQ40" s="144">
        <f>+SUMIFS($B40:AG40,$B$4:AG$4,"="&amp;AQ$3)</f>
        <v>16337</v>
      </c>
      <c r="AR40" s="144">
        <f>+SUMIFS($B40:AG40,$B$4:AG$4,"="&amp;AR$3)</f>
        <v>17552</v>
      </c>
      <c r="AS40" s="144">
        <f>+SUMIFS($B40:AK40,$B$4:AK$4,"="&amp;AS$3)</f>
        <v>18720.72</v>
      </c>
      <c r="AT40" s="146">
        <f>+FAT!AT17+FAT!AT40</f>
        <v>20218.377600000003</v>
      </c>
      <c r="AU40" s="146">
        <f>+FAT!AU17+FAT!AU40</f>
        <v>21431.480256000006</v>
      </c>
      <c r="AV40" s="146">
        <f>+FAT!AV17+FAT!AV40</f>
        <v>22717.369071360008</v>
      </c>
      <c r="AW40" s="146">
        <f>+FAT!AW17+FAT!AW40</f>
        <v>24080.411215641609</v>
      </c>
      <c r="AX40" s="146">
        <f>+FAT!AX17+FAT!AX40</f>
        <v>25525.235888580108</v>
      </c>
      <c r="AY40" s="146">
        <f>+FAT!AY17+FAT!AY40</f>
        <v>26673.87150356621</v>
      </c>
      <c r="AZ40" s="146">
        <f>+FAT!AZ17+FAT!AZ40</f>
        <v>27874.195721226686</v>
      </c>
      <c r="BA40" s="146">
        <f>+FAT!BA17+FAT!BA40</f>
        <v>29128.534528681885</v>
      </c>
      <c r="BB40" s="146">
        <f>+FAT!BB17+FAT!BB40</f>
        <v>30439.318582472566</v>
      </c>
    </row>
    <row r="41" spans="1:54" x14ac:dyDescent="0.25">
      <c r="A41" s="30" t="s">
        <v>188</v>
      </c>
      <c r="B41" s="112">
        <v>305</v>
      </c>
      <c r="C41" s="112">
        <v>459</v>
      </c>
      <c r="D41" s="112">
        <v>257</v>
      </c>
      <c r="E41" s="112">
        <v>186</v>
      </c>
      <c r="F41" s="112">
        <v>182</v>
      </c>
      <c r="G41" s="112">
        <v>180</v>
      </c>
      <c r="H41" s="112">
        <v>198</v>
      </c>
      <c r="I41" s="112">
        <v>195</v>
      </c>
      <c r="J41" s="112">
        <v>188</v>
      </c>
      <c r="K41" s="112">
        <v>182</v>
      </c>
      <c r="L41" s="112">
        <v>174</v>
      </c>
      <c r="M41" s="112">
        <v>93</v>
      </c>
      <c r="N41" s="112">
        <v>331</v>
      </c>
      <c r="O41" s="112">
        <v>318</v>
      </c>
      <c r="P41" s="112">
        <v>305</v>
      </c>
      <c r="Q41" s="112">
        <v>273</v>
      </c>
      <c r="R41" s="112">
        <v>165</v>
      </c>
      <c r="S41" s="112">
        <v>216</v>
      </c>
      <c r="T41" s="112">
        <v>283</v>
      </c>
      <c r="U41" s="112">
        <v>296</v>
      </c>
      <c r="V41" s="112">
        <v>323</v>
      </c>
      <c r="W41" s="112">
        <v>355</v>
      </c>
      <c r="X41" s="112">
        <v>373</v>
      </c>
      <c r="Y41" s="112">
        <f>552+40</f>
        <v>592</v>
      </c>
      <c r="Z41" s="112">
        <f>597+39</f>
        <v>636</v>
      </c>
      <c r="AA41" s="148">
        <f t="shared" ref="AA41:AG41" si="54">+Z41</f>
        <v>636</v>
      </c>
      <c r="AB41" s="148">
        <f t="shared" si="54"/>
        <v>636</v>
      </c>
      <c r="AC41" s="148">
        <f t="shared" si="54"/>
        <v>636</v>
      </c>
      <c r="AD41" s="148">
        <f t="shared" si="54"/>
        <v>636</v>
      </c>
      <c r="AE41" s="148">
        <f t="shared" si="54"/>
        <v>636</v>
      </c>
      <c r="AF41" s="148">
        <f t="shared" si="54"/>
        <v>636</v>
      </c>
      <c r="AG41" s="148">
        <f t="shared" si="54"/>
        <v>636</v>
      </c>
      <c r="AH41" s="452"/>
      <c r="AI41" s="148">
        <v>373</v>
      </c>
      <c r="AJ41" s="452"/>
      <c r="AK41" s="4"/>
      <c r="AL41" s="141">
        <f>+SUMIFS($B41:AF41,$B$4:AF$4,"="&amp;AL$3)</f>
        <v>186</v>
      </c>
      <c r="AM41" s="141">
        <f>+SUMIFS($B41:AG41,$B$4:AG$4,"="&amp;AM$3)</f>
        <v>195</v>
      </c>
      <c r="AN41" s="141">
        <f>+SUMIFS($B41:AG41,$B$4:AG$4,"="&amp;AN$3)</f>
        <v>93</v>
      </c>
      <c r="AO41" s="141">
        <f>+SUMIFS($B41:AG41,$B$4:AG$4,"="&amp;AO$3)</f>
        <v>273</v>
      </c>
      <c r="AP41" s="141">
        <f>+SUMIFS($B41:AG41,$B$4:AG$4,"="&amp;AP$3)</f>
        <v>296</v>
      </c>
      <c r="AQ41" s="141">
        <f>+SUMIFS($B41:AG41,$B$4:AG$4,"="&amp;AQ$3)</f>
        <v>592</v>
      </c>
      <c r="AR41" s="141">
        <f>+SUMIFS($B41:AG41,$B$4:AG$4,"="&amp;AR$3)</f>
        <v>636</v>
      </c>
      <c r="AS41" s="141">
        <f>+SUMIFS($B41:AK41,$B$4:AK$4,"="&amp;AS$3)</f>
        <v>636</v>
      </c>
      <c r="AT41" s="148">
        <f t="shared" ref="AT41" si="55">+AS41</f>
        <v>636</v>
      </c>
      <c r="AU41" s="148">
        <f t="shared" ref="AU41" si="56">+AT41</f>
        <v>636</v>
      </c>
      <c r="AV41" s="148">
        <f t="shared" ref="AV41" si="57">+AU41</f>
        <v>636</v>
      </c>
      <c r="AW41" s="148">
        <f t="shared" ref="AW41" si="58">+AV41</f>
        <v>636</v>
      </c>
      <c r="AX41" s="148">
        <f t="shared" ref="AX41" si="59">+AW41</f>
        <v>636</v>
      </c>
      <c r="AY41" s="148">
        <f t="shared" ref="AY41" si="60">+AX41</f>
        <v>636</v>
      </c>
      <c r="AZ41" s="148">
        <f t="shared" ref="AZ41" si="61">+AY41</f>
        <v>636</v>
      </c>
      <c r="BA41" s="148">
        <f t="shared" ref="BA41" si="62">+AZ41</f>
        <v>636</v>
      </c>
      <c r="BB41" s="148">
        <f t="shared" ref="BB41" si="63">+BA41</f>
        <v>636</v>
      </c>
    </row>
    <row r="42" spans="1:54" s="2" customFormat="1" x14ac:dyDescent="0.25">
      <c r="A42" s="134" t="s">
        <v>189</v>
      </c>
      <c r="B42" s="498">
        <v>2187</v>
      </c>
      <c r="C42" s="498">
        <v>2319</v>
      </c>
      <c r="D42" s="498">
        <v>2231</v>
      </c>
      <c r="E42" s="498">
        <v>2342</v>
      </c>
      <c r="F42" s="498">
        <v>2447</v>
      </c>
      <c r="G42" s="498">
        <v>2369</v>
      </c>
      <c r="H42" s="498">
        <v>2307</v>
      </c>
      <c r="I42" s="498">
        <v>2626</v>
      </c>
      <c r="J42" s="498">
        <v>2773</v>
      </c>
      <c r="K42" s="498">
        <v>2643</v>
      </c>
      <c r="L42" s="498">
        <v>2739</v>
      </c>
      <c r="M42" s="498">
        <v>2827</v>
      </c>
      <c r="N42" s="498">
        <v>3051</v>
      </c>
      <c r="O42" s="498">
        <v>2818</v>
      </c>
      <c r="P42" s="498">
        <v>2861</v>
      </c>
      <c r="Q42" s="498">
        <v>3158</v>
      </c>
      <c r="R42" s="498">
        <v>3219</v>
      </c>
      <c r="S42" s="498">
        <v>3375</v>
      </c>
      <c r="T42" s="498">
        <v>3484</v>
      </c>
      <c r="U42" s="498">
        <v>3426</v>
      </c>
      <c r="V42" s="498">
        <v>3540</v>
      </c>
      <c r="W42" s="498">
        <v>3619</v>
      </c>
      <c r="X42" s="498">
        <v>3593</v>
      </c>
      <c r="Y42" s="500">
        <v>3677</v>
      </c>
      <c r="Z42" s="500">
        <v>3737</v>
      </c>
      <c r="AA42" s="5">
        <f>+FAT!AA69</f>
        <v>3906</v>
      </c>
      <c r="AB42" s="5">
        <f>+FAT!AB69</f>
        <v>3990</v>
      </c>
      <c r="AC42" s="5">
        <f>+FAT!AC69</f>
        <v>3731</v>
      </c>
      <c r="AD42" s="5">
        <f>+FAT!AD69</f>
        <v>3805.4369832846496</v>
      </c>
      <c r="AE42" s="5">
        <f>+FAT!AE69</f>
        <v>3931.0836208713808</v>
      </c>
      <c r="AF42" s="5">
        <f>+FAT!AF69</f>
        <v>4051.9039137585105</v>
      </c>
      <c r="AG42" s="5">
        <f>+FAT!AG69</f>
        <v>4189.5449809695974</v>
      </c>
      <c r="AH42" s="453"/>
      <c r="AI42" s="5">
        <v>3759.5095857604319</v>
      </c>
      <c r="AJ42" s="453"/>
      <c r="AK42" s="5"/>
      <c r="AL42" s="39">
        <f>+SUMIFS($B42:AF42,$B$4:AF$4,"="&amp;AL$3)</f>
        <v>2342</v>
      </c>
      <c r="AM42" s="39">
        <f>+SUMIFS($B42:AG42,$B$4:AG$4,"="&amp;AM$3)</f>
        <v>2626</v>
      </c>
      <c r="AN42" s="39">
        <f>+SUMIFS($B42:AG42,$B$4:AG$4,"="&amp;AN$3)</f>
        <v>2827</v>
      </c>
      <c r="AO42" s="39">
        <f>+SUMIFS($B42:AG42,$B$4:AG$4,"="&amp;AO$3)</f>
        <v>3158</v>
      </c>
      <c r="AP42" s="39">
        <f>+SUMIFS($B42:AG42,$B$4:AG$4,"="&amp;AP$3)</f>
        <v>3426</v>
      </c>
      <c r="AQ42" s="39">
        <f>+SUMIFS($B42:AG42,$B$4:AG$4,"="&amp;AQ$3)</f>
        <v>3677</v>
      </c>
      <c r="AR42" s="39">
        <f>+SUMIFS($B42:AG42,$B$4:AG$4,"="&amp;AR$3)</f>
        <v>3731</v>
      </c>
      <c r="AS42" s="39">
        <f>+SUMIFS($B42:AK42,$B$4:AK$4,"="&amp;AS$3)</f>
        <v>4189.5449809695974</v>
      </c>
      <c r="AT42" s="5">
        <f>+FAT!AT69</f>
        <v>4435.9287122837968</v>
      </c>
      <c r="AU42" s="5">
        <f>+FAT!AU69</f>
        <v>4541.1929555823281</v>
      </c>
      <c r="AV42" s="5">
        <f>+FAT!AV69</f>
        <v>4543.1389710280291</v>
      </c>
      <c r="AW42" s="5">
        <f>+FAT!AW69</f>
        <v>4591.5907151619913</v>
      </c>
      <c r="AX42" s="5">
        <f>+FAT!AX69</f>
        <v>4465.692145584002</v>
      </c>
      <c r="AY42" s="5">
        <f>+FAT!AY69</f>
        <v>4213.4180265913128</v>
      </c>
      <c r="AZ42" s="5">
        <f>+FAT!AZ69</f>
        <v>3844.711142460721</v>
      </c>
      <c r="BA42" s="5">
        <f>+FAT!BA69</f>
        <v>3389.8960517732617</v>
      </c>
      <c r="BB42" s="5">
        <f>+FAT!BB69</f>
        <v>2813.0215830648285</v>
      </c>
    </row>
    <row r="43" spans="1:54" x14ac:dyDescent="0.25">
      <c r="A43" s="30" t="s">
        <v>188</v>
      </c>
      <c r="B43" s="112">
        <v>2502</v>
      </c>
      <c r="C43" s="112">
        <v>2610</v>
      </c>
      <c r="D43" s="112">
        <v>3178</v>
      </c>
      <c r="E43" s="112">
        <v>3444</v>
      </c>
      <c r="F43" s="112">
        <v>3420</v>
      </c>
      <c r="G43" s="112">
        <v>3738</v>
      </c>
      <c r="H43" s="112">
        <v>4543</v>
      </c>
      <c r="I43" s="112">
        <v>4324</v>
      </c>
      <c r="J43" s="112">
        <v>3975</v>
      </c>
      <c r="K43" s="112">
        <v>4635</v>
      </c>
      <c r="L43" s="112">
        <v>5269</v>
      </c>
      <c r="M43" s="112">
        <v>2785</v>
      </c>
      <c r="N43" s="112">
        <v>4297</v>
      </c>
      <c r="O43" s="112">
        <v>4215</v>
      </c>
      <c r="P43" s="112">
        <v>4716</v>
      </c>
      <c r="Q43" s="112">
        <v>3799</v>
      </c>
      <c r="R43" s="112">
        <v>4933</v>
      </c>
      <c r="S43" s="112">
        <v>4165</v>
      </c>
      <c r="T43" s="112">
        <v>5184</v>
      </c>
      <c r="U43" s="112">
        <v>6481</v>
      </c>
      <c r="V43" s="112">
        <v>7063</v>
      </c>
      <c r="W43" s="112">
        <v>8217</v>
      </c>
      <c r="X43" s="112">
        <v>6391</v>
      </c>
      <c r="Y43" s="112">
        <v>5382</v>
      </c>
      <c r="Z43" s="112">
        <v>7016</v>
      </c>
      <c r="AA43" s="148">
        <f t="shared" ref="AA43:AG49" si="64">+Z43</f>
        <v>7016</v>
      </c>
      <c r="AB43" s="148">
        <f t="shared" si="64"/>
        <v>7016</v>
      </c>
      <c r="AC43" s="148">
        <f t="shared" si="64"/>
        <v>7016</v>
      </c>
      <c r="AD43" s="148">
        <f t="shared" si="64"/>
        <v>7016</v>
      </c>
      <c r="AE43" s="148">
        <f t="shared" si="64"/>
        <v>7016</v>
      </c>
      <c r="AF43" s="148">
        <f t="shared" si="64"/>
        <v>7016</v>
      </c>
      <c r="AG43" s="148">
        <f t="shared" si="64"/>
        <v>7016</v>
      </c>
      <c r="AH43" s="452"/>
      <c r="AI43" s="148">
        <v>6391</v>
      </c>
      <c r="AJ43" s="452"/>
      <c r="AK43" s="4"/>
      <c r="AL43" s="141">
        <f>+SUMIFS($B43:AF43,$B$4:AF$4,"="&amp;AL$3)</f>
        <v>3444</v>
      </c>
      <c r="AM43" s="141">
        <f>+SUMIFS($B43:AG43,$B$4:AG$4,"="&amp;AM$3)</f>
        <v>4324</v>
      </c>
      <c r="AN43" s="141">
        <f>+SUMIFS($B43:AG43,$B$4:AG$4,"="&amp;AN$3)</f>
        <v>2785</v>
      </c>
      <c r="AO43" s="141">
        <f>+SUMIFS($B43:AG43,$B$4:AG$4,"="&amp;AO$3)</f>
        <v>3799</v>
      </c>
      <c r="AP43" s="141">
        <f>+SUMIFS($B43:AG43,$B$4:AG$4,"="&amp;AP$3)</f>
        <v>6481</v>
      </c>
      <c r="AQ43" s="141">
        <f>+SUMIFS($B43:AG43,$B$4:AG$4,"="&amp;AQ$3)</f>
        <v>5382</v>
      </c>
      <c r="AR43" s="141">
        <f>+SUMIFS($B43:AG43,$B$4:AG$4,"="&amp;AR$3)</f>
        <v>7016</v>
      </c>
      <c r="AS43" s="141">
        <f>+SUMIFS($B43:AK43,$B$4:AK$4,"="&amp;AS$3)</f>
        <v>7016</v>
      </c>
      <c r="AT43" s="148">
        <f t="shared" ref="AT43:BB45" si="65">+AS43</f>
        <v>7016</v>
      </c>
      <c r="AU43" s="148">
        <f t="shared" si="65"/>
        <v>7016</v>
      </c>
      <c r="AV43" s="148">
        <f t="shared" si="65"/>
        <v>7016</v>
      </c>
      <c r="AW43" s="148">
        <f t="shared" si="65"/>
        <v>7016</v>
      </c>
      <c r="AX43" s="148">
        <f t="shared" si="65"/>
        <v>7016</v>
      </c>
      <c r="AY43" s="148">
        <f t="shared" si="65"/>
        <v>7016</v>
      </c>
      <c r="AZ43" s="148">
        <f t="shared" si="65"/>
        <v>7016</v>
      </c>
      <c r="BA43" s="148">
        <f t="shared" si="65"/>
        <v>7016</v>
      </c>
      <c r="BB43" s="148">
        <f t="shared" si="65"/>
        <v>7016</v>
      </c>
    </row>
    <row r="44" spans="1:54" x14ac:dyDescent="0.25">
      <c r="A44" s="30" t="s">
        <v>190</v>
      </c>
      <c r="B44" s="112">
        <v>494</v>
      </c>
      <c r="C44" s="112">
        <v>489</v>
      </c>
      <c r="D44" s="112">
        <v>765</v>
      </c>
      <c r="E44" s="112">
        <v>815</v>
      </c>
      <c r="F44" s="112">
        <v>803</v>
      </c>
      <c r="G44" s="112">
        <v>899</v>
      </c>
      <c r="H44" s="112">
        <v>863</v>
      </c>
      <c r="I44" s="112">
        <v>912</v>
      </c>
      <c r="J44" s="112">
        <v>1058</v>
      </c>
      <c r="K44" s="112">
        <v>1080</v>
      </c>
      <c r="L44" s="112">
        <v>1512</v>
      </c>
      <c r="M44" s="112">
        <v>2001</v>
      </c>
      <c r="N44" s="112">
        <v>1968</v>
      </c>
      <c r="O44" s="112">
        <v>2006</v>
      </c>
      <c r="P44" s="112">
        <v>1895</v>
      </c>
      <c r="Q44" s="112">
        <v>1744</v>
      </c>
      <c r="R44" s="112">
        <v>1777</v>
      </c>
      <c r="S44" s="112">
        <v>1752</v>
      </c>
      <c r="T44" s="112">
        <v>2013</v>
      </c>
      <c r="U44" s="112">
        <v>1956</v>
      </c>
      <c r="V44" s="112">
        <v>1934</v>
      </c>
      <c r="W44" s="112">
        <v>1975</v>
      </c>
      <c r="X44" s="112">
        <v>1815</v>
      </c>
      <c r="Y44" s="112">
        <v>1812</v>
      </c>
      <c r="Z44" s="112">
        <v>1926</v>
      </c>
      <c r="AA44" s="148">
        <f t="shared" si="64"/>
        <v>1926</v>
      </c>
      <c r="AB44" s="148">
        <f t="shared" si="64"/>
        <v>1926</v>
      </c>
      <c r="AC44" s="148">
        <f t="shared" si="64"/>
        <v>1926</v>
      </c>
      <c r="AD44" s="148">
        <f t="shared" si="64"/>
        <v>1926</v>
      </c>
      <c r="AE44" s="148">
        <f t="shared" si="64"/>
        <v>1926</v>
      </c>
      <c r="AF44" s="148">
        <f t="shared" si="64"/>
        <v>1926</v>
      </c>
      <c r="AG44" s="148">
        <f t="shared" si="64"/>
        <v>1926</v>
      </c>
      <c r="AH44" s="452"/>
      <c r="AI44" s="148">
        <v>1815</v>
      </c>
      <c r="AJ44" s="452"/>
      <c r="AK44" s="4"/>
      <c r="AL44" s="141">
        <f>+SUMIFS($B44:AF44,$B$4:AF$4,"="&amp;AL$3)</f>
        <v>815</v>
      </c>
      <c r="AM44" s="141">
        <f>+SUMIFS($B44:AG44,$B$4:AG$4,"="&amp;AM$3)</f>
        <v>912</v>
      </c>
      <c r="AN44" s="141">
        <f>+SUMIFS($B44:AG44,$B$4:AG$4,"="&amp;AN$3)</f>
        <v>2001</v>
      </c>
      <c r="AO44" s="141">
        <f>+SUMIFS($B44:AG44,$B$4:AG$4,"="&amp;AO$3)</f>
        <v>1744</v>
      </c>
      <c r="AP44" s="141">
        <f>+SUMIFS($B44:AG44,$B$4:AG$4,"="&amp;AP$3)</f>
        <v>1956</v>
      </c>
      <c r="AQ44" s="141">
        <f>+SUMIFS($B44:AG44,$B$4:AG$4,"="&amp;AQ$3)</f>
        <v>1812</v>
      </c>
      <c r="AR44" s="141">
        <f>+SUMIFS($B44:AG44,$B$4:AG$4,"="&amp;AR$3)</f>
        <v>1926</v>
      </c>
      <c r="AS44" s="141">
        <f>+SUMIFS($B44:AK44,$B$4:AK$4,"="&amp;AS$3)</f>
        <v>1926</v>
      </c>
      <c r="AT44" s="148">
        <f t="shared" si="65"/>
        <v>1926</v>
      </c>
      <c r="AU44" s="148">
        <f t="shared" si="65"/>
        <v>1926</v>
      </c>
      <c r="AV44" s="148">
        <f t="shared" si="65"/>
        <v>1926</v>
      </c>
      <c r="AW44" s="148">
        <f t="shared" si="65"/>
        <v>1926</v>
      </c>
      <c r="AX44" s="148">
        <f t="shared" si="65"/>
        <v>1926</v>
      </c>
      <c r="AY44" s="148">
        <f t="shared" si="65"/>
        <v>1926</v>
      </c>
      <c r="AZ44" s="148">
        <f t="shared" si="65"/>
        <v>1926</v>
      </c>
      <c r="BA44" s="148">
        <f t="shared" si="65"/>
        <v>1926</v>
      </c>
      <c r="BB44" s="148">
        <f t="shared" si="65"/>
        <v>1926</v>
      </c>
    </row>
    <row r="45" spans="1:54" x14ac:dyDescent="0.25">
      <c r="A45" s="30" t="s">
        <v>191</v>
      </c>
      <c r="B45" s="112">
        <v>77</v>
      </c>
      <c r="C45" s="112">
        <v>122</v>
      </c>
      <c r="D45" s="112">
        <v>128</v>
      </c>
      <c r="E45" s="112">
        <v>132</v>
      </c>
      <c r="F45" s="112">
        <v>136</v>
      </c>
      <c r="G45" s="112">
        <v>139</v>
      </c>
      <c r="H45" s="112">
        <v>157</v>
      </c>
      <c r="I45" s="112">
        <v>154</v>
      </c>
      <c r="J45" s="112">
        <v>165</v>
      </c>
      <c r="K45" s="112">
        <v>169</v>
      </c>
      <c r="L45" s="112">
        <v>170</v>
      </c>
      <c r="M45" s="112">
        <v>173</v>
      </c>
      <c r="N45" s="112">
        <v>175</v>
      </c>
      <c r="O45" s="112">
        <v>173</v>
      </c>
      <c r="P45" s="112">
        <v>169</v>
      </c>
      <c r="Q45" s="112">
        <v>160</v>
      </c>
      <c r="R45" s="112">
        <v>161</v>
      </c>
      <c r="S45" s="112">
        <v>160</v>
      </c>
      <c r="T45" s="112">
        <v>159</v>
      </c>
      <c r="U45" s="112">
        <v>160</v>
      </c>
      <c r="V45" s="112">
        <v>148</v>
      </c>
      <c r="W45" s="112">
        <v>150</v>
      </c>
      <c r="X45" s="112">
        <v>140</v>
      </c>
      <c r="Y45" s="112">
        <v>141</v>
      </c>
      <c r="Z45" s="112">
        <v>94</v>
      </c>
      <c r="AA45" s="148">
        <f t="shared" si="64"/>
        <v>94</v>
      </c>
      <c r="AB45" s="148">
        <f t="shared" si="64"/>
        <v>94</v>
      </c>
      <c r="AC45" s="148">
        <f t="shared" si="64"/>
        <v>94</v>
      </c>
      <c r="AD45" s="148">
        <f t="shared" si="64"/>
        <v>94</v>
      </c>
      <c r="AE45" s="148">
        <f t="shared" si="64"/>
        <v>94</v>
      </c>
      <c r="AF45" s="148">
        <f t="shared" si="64"/>
        <v>94</v>
      </c>
      <c r="AG45" s="148">
        <f t="shared" si="64"/>
        <v>94</v>
      </c>
      <c r="AH45" s="452"/>
      <c r="AI45" s="148">
        <v>140</v>
      </c>
      <c r="AJ45" s="452"/>
      <c r="AK45" s="4"/>
      <c r="AL45" s="141">
        <f>+SUMIFS($B45:AF45,$B$4:AF$4,"="&amp;AL$3)</f>
        <v>132</v>
      </c>
      <c r="AM45" s="141">
        <f>+SUMIFS($B45:AG45,$B$4:AG$4,"="&amp;AM$3)</f>
        <v>154</v>
      </c>
      <c r="AN45" s="141">
        <f>+SUMIFS($B45:AG45,$B$4:AG$4,"="&amp;AN$3)</f>
        <v>173</v>
      </c>
      <c r="AO45" s="141">
        <f>+SUMIFS($B45:AG45,$B$4:AG$4,"="&amp;AO$3)</f>
        <v>160</v>
      </c>
      <c r="AP45" s="141">
        <f>+SUMIFS($B45:AG45,$B$4:AG$4,"="&amp;AP$3)</f>
        <v>160</v>
      </c>
      <c r="AQ45" s="141">
        <f>+SUMIFS($B45:AG45,$B$4:AG$4,"="&amp;AQ$3)</f>
        <v>141</v>
      </c>
      <c r="AR45" s="141">
        <f>+SUMIFS($B45:AG45,$B$4:AG$4,"="&amp;AR$3)</f>
        <v>94</v>
      </c>
      <c r="AS45" s="141">
        <f>+SUMIFS($B45:AK45,$B$4:AK$4,"="&amp;AS$3)</f>
        <v>94</v>
      </c>
      <c r="AT45" s="148">
        <f t="shared" si="65"/>
        <v>94</v>
      </c>
      <c r="AU45" s="148">
        <f t="shared" si="65"/>
        <v>94</v>
      </c>
      <c r="AV45" s="148">
        <f t="shared" si="65"/>
        <v>94</v>
      </c>
      <c r="AW45" s="148">
        <f t="shared" si="65"/>
        <v>94</v>
      </c>
      <c r="AX45" s="148">
        <f t="shared" si="65"/>
        <v>94</v>
      </c>
      <c r="AY45" s="148">
        <f t="shared" si="65"/>
        <v>94</v>
      </c>
      <c r="AZ45" s="148">
        <f t="shared" si="65"/>
        <v>94</v>
      </c>
      <c r="BA45" s="148">
        <f t="shared" si="65"/>
        <v>94</v>
      </c>
      <c r="BB45" s="148">
        <f t="shared" si="65"/>
        <v>94</v>
      </c>
    </row>
    <row r="46" spans="1:54" x14ac:dyDescent="0.25">
      <c r="A46" s="30" t="s">
        <v>192</v>
      </c>
      <c r="B46" s="112">
        <v>1634</v>
      </c>
      <c r="C46" s="112">
        <v>1720</v>
      </c>
      <c r="D46" s="112">
        <v>1848</v>
      </c>
      <c r="E46" s="112">
        <v>1938</v>
      </c>
      <c r="F46" s="112">
        <v>1983</v>
      </c>
      <c r="G46" s="112">
        <v>2057</v>
      </c>
      <c r="H46" s="112">
        <v>2054</v>
      </c>
      <c r="I46" s="112">
        <v>2054</v>
      </c>
      <c r="J46" s="112">
        <v>2051</v>
      </c>
      <c r="K46" s="112">
        <v>2010</v>
      </c>
      <c r="L46" s="112">
        <v>2019</v>
      </c>
      <c r="M46" s="112">
        <v>2179</v>
      </c>
      <c r="N46" s="112">
        <v>2202</v>
      </c>
      <c r="O46" s="112">
        <v>1997</v>
      </c>
      <c r="P46" s="112">
        <v>2049</v>
      </c>
      <c r="Q46" s="112">
        <v>2405</v>
      </c>
      <c r="R46" s="112">
        <v>2368</v>
      </c>
      <c r="S46" s="112">
        <v>2461</v>
      </c>
      <c r="T46" s="112">
        <v>2563</v>
      </c>
      <c r="U46" s="112">
        <v>2697</v>
      </c>
      <c r="V46" s="112">
        <v>2781</v>
      </c>
      <c r="W46" s="112">
        <v>2783</v>
      </c>
      <c r="X46" s="112">
        <v>2856</v>
      </c>
      <c r="Y46" s="112">
        <v>3065</v>
      </c>
      <c r="Z46" s="112">
        <v>3062</v>
      </c>
      <c r="AA46" s="16">
        <f t="shared" ref="AA46:AG47" si="66">+Z46*(1+AA$1)</f>
        <v>3089.3720941930569</v>
      </c>
      <c r="AB46" s="16">
        <f t="shared" si="66"/>
        <v>3099.0051350593913</v>
      </c>
      <c r="AC46" s="16">
        <f t="shared" si="66"/>
        <v>3141.5686315131397</v>
      </c>
      <c r="AD46" s="16">
        <f t="shared" si="66"/>
        <v>3169.1700000000005</v>
      </c>
      <c r="AE46" s="16">
        <f t="shared" si="66"/>
        <v>3197.5001174898143</v>
      </c>
      <c r="AF46" s="16">
        <f t="shared" si="66"/>
        <v>3207.4703147864702</v>
      </c>
      <c r="AG46" s="16">
        <f t="shared" si="66"/>
        <v>3251.5235336160999</v>
      </c>
      <c r="AH46" s="450"/>
      <c r="AI46" s="16">
        <v>2883.0945484661888</v>
      </c>
      <c r="AJ46" s="450"/>
      <c r="AK46" s="4"/>
      <c r="AL46" s="141">
        <f>+SUMIFS($B46:AF46,$B$4:AF$4,"="&amp;AL$3)</f>
        <v>1938</v>
      </c>
      <c r="AM46" s="141">
        <f>+SUMIFS($B46:AG46,$B$4:AG$4,"="&amp;AM$3)</f>
        <v>2054</v>
      </c>
      <c r="AN46" s="141">
        <f>+SUMIFS($B46:AG46,$B$4:AG$4,"="&amp;AN$3)</f>
        <v>2179</v>
      </c>
      <c r="AO46" s="141">
        <f>+SUMIFS($B46:AG46,$B$4:AG$4,"="&amp;AO$3)</f>
        <v>2405</v>
      </c>
      <c r="AP46" s="141">
        <f>+SUMIFS($B46:AG46,$B$4:AG$4,"="&amp;AP$3)</f>
        <v>2697</v>
      </c>
      <c r="AQ46" s="141">
        <f>+SUMIFS($B46:AG46,$B$4:AG$4,"="&amp;AQ$3)</f>
        <v>3065</v>
      </c>
      <c r="AR46" s="141">
        <f>+SUMIFS($B46:AG46,$B$4:AG$4,"="&amp;AR$3)</f>
        <v>3141.5686315131397</v>
      </c>
      <c r="AS46" s="141">
        <f>+SUMIFS($B46:AK46,$B$4:AK$4,"="&amp;AS$3)</f>
        <v>3251.5235336160999</v>
      </c>
      <c r="AT46" s="16">
        <f>+AS46*(1+AT$1)</f>
        <v>3365.326857292664</v>
      </c>
      <c r="AU46" s="16">
        <f t="shared" ref="AU46:BB46" si="67">+AT46*(1+AU$1)</f>
        <v>3483.1132972979076</v>
      </c>
      <c r="AV46" s="16">
        <f t="shared" si="67"/>
        <v>3605.0222627033349</v>
      </c>
      <c r="AW46" s="16">
        <f t="shared" si="67"/>
        <v>3731.1980418979524</v>
      </c>
      <c r="AX46" s="16">
        <f t="shared" si="67"/>
        <v>3861.7899733643812</v>
      </c>
      <c r="AY46" s="16">
        <f t="shared" si="67"/>
        <v>3996.9526224321353</v>
      </c>
      <c r="AZ46" s="16">
        <f t="shared" si="67"/>
        <v>4136.8459642172602</v>
      </c>
      <c r="BA46" s="16">
        <f t="shared" si="67"/>
        <v>4281.6355729648649</v>
      </c>
      <c r="BB46" s="16">
        <f t="shared" si="67"/>
        <v>4431.4928180186362</v>
      </c>
    </row>
    <row r="47" spans="1:54" x14ac:dyDescent="0.25">
      <c r="A47" s="30" t="s">
        <v>193</v>
      </c>
      <c r="B47" s="112">
        <v>5603</v>
      </c>
      <c r="C47" s="112">
        <v>5814</v>
      </c>
      <c r="D47" s="112">
        <v>5921</v>
      </c>
      <c r="E47" s="112">
        <v>6191</v>
      </c>
      <c r="F47" s="112">
        <v>6097</v>
      </c>
      <c r="G47" s="112">
        <v>5966</v>
      </c>
      <c r="H47" s="112">
        <v>5727</v>
      </c>
      <c r="I47" s="112">
        <v>5989</v>
      </c>
      <c r="J47" s="112">
        <v>5758</v>
      </c>
      <c r="K47" s="112">
        <v>5852</v>
      </c>
      <c r="L47" s="112">
        <v>6072</v>
      </c>
      <c r="M47" s="112">
        <v>6196</v>
      </c>
      <c r="N47" s="112">
        <v>6219</v>
      </c>
      <c r="O47" s="112">
        <v>6506</v>
      </c>
      <c r="P47" s="112">
        <v>6632</v>
      </c>
      <c r="Q47" s="112">
        <v>378</v>
      </c>
      <c r="R47" s="112">
        <v>784</v>
      </c>
      <c r="S47" s="112">
        <v>588</v>
      </c>
      <c r="T47" s="112">
        <v>511</v>
      </c>
      <c r="U47" s="112">
        <v>274</v>
      </c>
      <c r="V47" s="112">
        <v>260</v>
      </c>
      <c r="W47" s="112">
        <v>239</v>
      </c>
      <c r="X47" s="112">
        <v>218</v>
      </c>
      <c r="Y47" s="112">
        <v>226</v>
      </c>
      <c r="Z47" s="112">
        <v>205</v>
      </c>
      <c r="AA47" s="16">
        <f t="shared" si="66"/>
        <v>206.8325536608676</v>
      </c>
      <c r="AB47" s="16">
        <f t="shared" si="66"/>
        <v>207.47748291547194</v>
      </c>
      <c r="AC47" s="16">
        <f t="shared" si="66"/>
        <v>210.32709649255179</v>
      </c>
      <c r="AD47" s="16">
        <f t="shared" si="66"/>
        <v>212.17500000000001</v>
      </c>
      <c r="AE47" s="16">
        <f t="shared" si="66"/>
        <v>214.07169303899798</v>
      </c>
      <c r="AF47" s="16">
        <f t="shared" si="66"/>
        <v>214.73919481751346</v>
      </c>
      <c r="AG47" s="16">
        <f t="shared" si="66"/>
        <v>217.68854486979109</v>
      </c>
      <c r="AH47" s="450"/>
      <c r="AI47" s="16">
        <v>220.068141304492</v>
      </c>
      <c r="AJ47" s="450"/>
      <c r="AK47" s="4"/>
      <c r="AL47" s="141">
        <f>+SUMIFS($B47:AF47,$B$4:AF$4,"="&amp;AL$3)</f>
        <v>6191</v>
      </c>
      <c r="AM47" s="141">
        <f>+SUMIFS($B47:AG47,$B$4:AG$4,"="&amp;AM$3)</f>
        <v>5989</v>
      </c>
      <c r="AN47" s="141">
        <f>+SUMIFS($B47:AG47,$B$4:AG$4,"="&amp;AN$3)</f>
        <v>6196</v>
      </c>
      <c r="AO47" s="141">
        <f>+SUMIFS($B47:AG47,$B$4:AG$4,"="&amp;AO$3)</f>
        <v>378</v>
      </c>
      <c r="AP47" s="141">
        <f>+SUMIFS($B47:AG47,$B$4:AG$4,"="&amp;AP$3)</f>
        <v>274</v>
      </c>
      <c r="AQ47" s="141">
        <f>+SUMIFS($B47:AG47,$B$4:AG$4,"="&amp;AQ$3)</f>
        <v>226</v>
      </c>
      <c r="AR47" s="141">
        <f>+SUMIFS($B47:AG47,$B$4:AG$4,"="&amp;AR$3)</f>
        <v>210.32709649255179</v>
      </c>
      <c r="AS47" s="141">
        <f>+SUMIFS($B47:AK47,$B$4:AK$4,"="&amp;AS$3)</f>
        <v>217.68854486979109</v>
      </c>
      <c r="AT47" s="16">
        <f t="shared" ref="AT47:AT49" si="68">+AS47*(1+AT$1)</f>
        <v>225.30764394023382</v>
      </c>
      <c r="AU47" s="16">
        <f t="shared" ref="AU47:AU49" si="69">+AT47*(1+AU$1)</f>
        <v>233.19341147814202</v>
      </c>
      <c r="AV47" s="16">
        <f t="shared" ref="AV47:AV49" si="70">+AU47*(1+AV$1)</f>
        <v>241.35518087987703</v>
      </c>
      <c r="AW47" s="16">
        <f t="shared" ref="AW47:AW49" si="71">+AV47*(1+AW$1)</f>
        <v>249.80261221067275</v>
      </c>
      <c r="AX47" s="16">
        <f t="shared" ref="AX47:AX49" si="72">+AW47*(1+AX$1)</f>
        <v>258.54570363804635</v>
      </c>
      <c r="AY47" s="16">
        <f t="shared" ref="AY47:AY49" si="73">+AX47*(1+AY$1)</f>
        <v>267.594803265378</v>
      </c>
      <c r="AZ47" s="16">
        <f t="shared" ref="AZ47:AZ49" si="74">+AY47*(1+AZ$1)</f>
        <v>276.96062137966629</v>
      </c>
      <c r="BA47" s="16">
        <f t="shared" ref="BA47:BA49" si="75">+AZ47*(1+BA$1)</f>
        <v>286.65424312795466</v>
      </c>
      <c r="BB47" s="16">
        <f t="shared" ref="BB47:BB49" si="76">+BA47*(1+BB$1)</f>
        <v>296.68714163743311</v>
      </c>
    </row>
    <row r="48" spans="1:54" x14ac:dyDescent="0.25">
      <c r="A48" s="30" t="s">
        <v>194</v>
      </c>
      <c r="B48" s="112">
        <v>861</v>
      </c>
      <c r="C48" s="112">
        <v>974</v>
      </c>
      <c r="D48" s="112">
        <v>980</v>
      </c>
      <c r="E48" s="112">
        <v>930</v>
      </c>
      <c r="F48" s="112">
        <v>919</v>
      </c>
      <c r="G48" s="112">
        <v>1063</v>
      </c>
      <c r="H48" s="112">
        <v>950</v>
      </c>
      <c r="I48" s="112">
        <v>1039</v>
      </c>
      <c r="J48" s="112">
        <v>875</v>
      </c>
      <c r="K48" s="112">
        <v>842</v>
      </c>
      <c r="L48" s="112">
        <v>864</v>
      </c>
      <c r="M48" s="112">
        <v>874</v>
      </c>
      <c r="N48" s="112">
        <v>894</v>
      </c>
      <c r="O48" s="112">
        <v>815</v>
      </c>
      <c r="P48" s="112">
        <v>897</v>
      </c>
      <c r="Q48" s="112">
        <v>1168</v>
      </c>
      <c r="R48" s="112">
        <v>1303</v>
      </c>
      <c r="S48" s="112">
        <v>1362</v>
      </c>
      <c r="T48" s="112">
        <v>1471</v>
      </c>
      <c r="U48" s="112">
        <v>1499</v>
      </c>
      <c r="V48" s="112">
        <v>1667</v>
      </c>
      <c r="W48" s="112">
        <v>1520</v>
      </c>
      <c r="X48" s="112">
        <v>1615</v>
      </c>
      <c r="Y48" s="112">
        <v>1647</v>
      </c>
      <c r="Z48" s="112">
        <v>1656</v>
      </c>
      <c r="AA48" s="148">
        <f t="shared" si="64"/>
        <v>1656</v>
      </c>
      <c r="AB48" s="148">
        <f t="shared" si="64"/>
        <v>1656</v>
      </c>
      <c r="AC48" s="148">
        <f t="shared" si="64"/>
        <v>1656</v>
      </c>
      <c r="AD48" s="148">
        <f t="shared" si="64"/>
        <v>1656</v>
      </c>
      <c r="AE48" s="148">
        <f t="shared" si="64"/>
        <v>1656</v>
      </c>
      <c r="AF48" s="148">
        <f t="shared" si="64"/>
        <v>1656</v>
      </c>
      <c r="AG48" s="148">
        <f t="shared" si="64"/>
        <v>1656</v>
      </c>
      <c r="AH48" s="452"/>
      <c r="AI48" s="148">
        <v>1615</v>
      </c>
      <c r="AJ48" s="452"/>
      <c r="AK48" s="4"/>
      <c r="AL48" s="141">
        <f>+SUMIFS($B48:AF48,$B$4:AF$4,"="&amp;AL$3)</f>
        <v>930</v>
      </c>
      <c r="AM48" s="141">
        <f>+SUMIFS($B48:AG48,$B$4:AG$4,"="&amp;AM$3)</f>
        <v>1039</v>
      </c>
      <c r="AN48" s="141">
        <f>+SUMIFS($B48:AG48,$B$4:AG$4,"="&amp;AN$3)</f>
        <v>874</v>
      </c>
      <c r="AO48" s="141">
        <f>+SUMIFS($B48:AG48,$B$4:AG$4,"="&amp;AO$3)</f>
        <v>1168</v>
      </c>
      <c r="AP48" s="141">
        <f>+SUMIFS($B48:AG48,$B$4:AG$4,"="&amp;AP$3)</f>
        <v>1499</v>
      </c>
      <c r="AQ48" s="141">
        <f>+SUMIFS($B48:AG48,$B$4:AG$4,"="&amp;AQ$3)</f>
        <v>1647</v>
      </c>
      <c r="AR48" s="141">
        <f>+SUMIFS($B48:AG48,$B$4:AG$4,"="&amp;AR$3)</f>
        <v>1656</v>
      </c>
      <c r="AS48" s="141">
        <f>+SUMIFS($B48:AK48,$B$4:AK$4,"="&amp;AS$3)</f>
        <v>1656</v>
      </c>
      <c r="AT48" s="16">
        <f t="shared" si="68"/>
        <v>1713.9600000000003</v>
      </c>
      <c r="AU48" s="16">
        <f t="shared" si="69"/>
        <v>1773.9486000000006</v>
      </c>
      <c r="AV48" s="16">
        <f t="shared" si="70"/>
        <v>1836.0368010000009</v>
      </c>
      <c r="AW48" s="16">
        <f t="shared" si="71"/>
        <v>1900.2980890350011</v>
      </c>
      <c r="AX48" s="16">
        <f t="shared" si="72"/>
        <v>1966.8085221512265</v>
      </c>
      <c r="AY48" s="16">
        <f t="shared" si="73"/>
        <v>2035.6468204265198</v>
      </c>
      <c r="AZ48" s="16">
        <f t="shared" si="74"/>
        <v>2106.8944591414484</v>
      </c>
      <c r="BA48" s="16">
        <f t="shared" si="75"/>
        <v>2180.6357652113993</v>
      </c>
      <c r="BB48" s="16">
        <f t="shared" si="76"/>
        <v>2256.9580169937985</v>
      </c>
    </row>
    <row r="49" spans="1:54" x14ac:dyDescent="0.25">
      <c r="A49" s="30" t="s">
        <v>195</v>
      </c>
      <c r="B49" s="502">
        <v>782</v>
      </c>
      <c r="C49" s="502">
        <v>789</v>
      </c>
      <c r="D49" s="502">
        <v>864</v>
      </c>
      <c r="E49" s="502">
        <v>1046</v>
      </c>
      <c r="F49" s="502">
        <v>1164</v>
      </c>
      <c r="G49" s="502">
        <v>1220</v>
      </c>
      <c r="H49" s="502">
        <v>1396</v>
      </c>
      <c r="I49" s="502">
        <v>1568</v>
      </c>
      <c r="J49" s="502">
        <v>1606</v>
      </c>
      <c r="K49" s="502">
        <v>1639</v>
      </c>
      <c r="L49" s="502">
        <v>1683</v>
      </c>
      <c r="M49" s="502">
        <v>1823</v>
      </c>
      <c r="N49" s="502">
        <f>1182+38+459+1134</f>
        <v>2813</v>
      </c>
      <c r="O49" s="502">
        <f>1238+38+506+1222</f>
        <v>3004</v>
      </c>
      <c r="P49" s="502">
        <f>1347+38+484+1216+1</f>
        <v>3086</v>
      </c>
      <c r="Q49" s="502">
        <f>1497+38+0+339+1053</f>
        <v>2927</v>
      </c>
      <c r="R49" s="502">
        <f>413+1040+1596+38</f>
        <v>3087</v>
      </c>
      <c r="S49" s="502">
        <f>414+1092+1725+38+0</f>
        <v>3269</v>
      </c>
      <c r="T49" s="502">
        <f>564+1074+1876+38+0</f>
        <v>3552</v>
      </c>
      <c r="U49" s="502">
        <f>508+1044+2012+38+0</f>
        <v>3602</v>
      </c>
      <c r="V49" s="502">
        <f>569+1154+2150+38</f>
        <v>3911</v>
      </c>
      <c r="W49" s="502">
        <f>595+1146+2285+38+0</f>
        <v>4064</v>
      </c>
      <c r="X49" s="502">
        <f>684+1148+2472+38-270</f>
        <v>4072</v>
      </c>
      <c r="Y49" s="502">
        <f>+Y28-Y29-Y30-Y31-Y33-Y41+Y42-Y43-Y44-Y45-Y46-Y47-Y48</f>
        <v>4374</v>
      </c>
      <c r="Z49" s="502">
        <f>+Z28-Z29-Z30-Z31-Z33-Z41+Z42-Z43-Z44-Z45-Z46-Z47-Z48</f>
        <v>4803</v>
      </c>
      <c r="AA49" s="148">
        <f t="shared" si="64"/>
        <v>4803</v>
      </c>
      <c r="AB49" s="148">
        <f t="shared" si="64"/>
        <v>4803</v>
      </c>
      <c r="AC49" s="148">
        <f t="shared" si="64"/>
        <v>4803</v>
      </c>
      <c r="AD49" s="148">
        <f t="shared" si="64"/>
        <v>4803</v>
      </c>
      <c r="AE49" s="148">
        <f t="shared" si="64"/>
        <v>4803</v>
      </c>
      <c r="AF49" s="148">
        <f t="shared" si="64"/>
        <v>4803</v>
      </c>
      <c r="AG49" s="148">
        <f t="shared" si="64"/>
        <v>4803</v>
      </c>
      <c r="AH49" s="452"/>
      <c r="AI49" s="148">
        <v>4072</v>
      </c>
      <c r="AJ49" s="452"/>
      <c r="AK49" s="4"/>
      <c r="AL49" s="141">
        <f>+SUMIFS($B49:AF49,$B$4:AF$4,"="&amp;AL$3)</f>
        <v>1046</v>
      </c>
      <c r="AM49" s="141">
        <f>+SUMIFS($B49:AG49,$B$4:AG$4,"="&amp;AM$3)</f>
        <v>1568</v>
      </c>
      <c r="AN49" s="141">
        <f>+SUMIFS($B49:AG49,$B$4:AG$4,"="&amp;AN$3)</f>
        <v>1823</v>
      </c>
      <c r="AO49" s="141">
        <f>+SUMIFS($B49:AG49,$B$4:AG$4,"="&amp;AO$3)</f>
        <v>2927</v>
      </c>
      <c r="AP49" s="141">
        <f>+SUMIFS($B49:AG49,$B$4:AG$4,"="&amp;AP$3)</f>
        <v>3602</v>
      </c>
      <c r="AQ49" s="141">
        <f>+SUMIFS($B49:AG49,$B$4:AG$4,"="&amp;AQ$3)</f>
        <v>4374</v>
      </c>
      <c r="AR49" s="141">
        <f>+SUMIFS($B49:AG49,$B$4:AG$4,"="&amp;AR$3)</f>
        <v>4803</v>
      </c>
      <c r="AS49" s="141">
        <f>+SUMIFS($B49:AK49,$B$4:AK$4,"="&amp;AS$3)</f>
        <v>4803</v>
      </c>
      <c r="AT49" s="16">
        <f t="shared" si="68"/>
        <v>4971.1050000000005</v>
      </c>
      <c r="AU49" s="16">
        <f t="shared" si="69"/>
        <v>5145.093675000001</v>
      </c>
      <c r="AV49" s="16">
        <f t="shared" si="70"/>
        <v>5325.1719536250021</v>
      </c>
      <c r="AW49" s="16">
        <f t="shared" si="71"/>
        <v>5511.5529720018776</v>
      </c>
      <c r="AX49" s="16">
        <f t="shared" si="72"/>
        <v>5704.457326021944</v>
      </c>
      <c r="AY49" s="16">
        <f t="shared" si="73"/>
        <v>5904.1133324327129</v>
      </c>
      <c r="AZ49" s="16">
        <f t="shared" si="74"/>
        <v>6110.7572990678591</v>
      </c>
      <c r="BA49" s="16">
        <f t="shared" si="75"/>
        <v>6324.633804535235</v>
      </c>
      <c r="BB49" s="16">
        <f t="shared" si="76"/>
        <v>6545.9959876939693</v>
      </c>
    </row>
    <row r="51" spans="1:54" s="163" customFormat="1" x14ac:dyDescent="0.25">
      <c r="A51" s="150" t="s">
        <v>196</v>
      </c>
      <c r="B51" s="153">
        <f t="shared" ref="B51:AG51" si="77">SUM(B52,B56,B57,B58,B61:B65)</f>
        <v>119682</v>
      </c>
      <c r="C51" s="153">
        <f t="shared" si="77"/>
        <v>120756</v>
      </c>
      <c r="D51" s="153">
        <f t="shared" si="77"/>
        <v>120365</v>
      </c>
      <c r="E51" s="153">
        <f t="shared" si="77"/>
        <v>122214</v>
      </c>
      <c r="F51" s="153">
        <f t="shared" si="77"/>
        <v>128235</v>
      </c>
      <c r="G51" s="153">
        <f t="shared" si="77"/>
        <v>125988</v>
      </c>
      <c r="H51" s="153">
        <f t="shared" si="77"/>
        <v>125510</v>
      </c>
      <c r="I51" s="153">
        <f t="shared" si="77"/>
        <v>127758</v>
      </c>
      <c r="J51" s="153">
        <f t="shared" si="77"/>
        <v>131157</v>
      </c>
      <c r="K51" s="153">
        <f t="shared" si="77"/>
        <v>138078</v>
      </c>
      <c r="L51" s="153">
        <f t="shared" si="77"/>
        <v>141343</v>
      </c>
      <c r="M51" s="153">
        <f t="shared" si="77"/>
        <v>143128</v>
      </c>
      <c r="N51" s="153">
        <f t="shared" si="77"/>
        <v>156868</v>
      </c>
      <c r="O51" s="153">
        <f t="shared" si="77"/>
        <v>158210</v>
      </c>
      <c r="P51" s="153">
        <f t="shared" si="77"/>
        <v>173645</v>
      </c>
      <c r="Q51" s="153">
        <f t="shared" si="77"/>
        <v>194755</v>
      </c>
      <c r="R51" s="153">
        <f t="shared" si="77"/>
        <v>203681</v>
      </c>
      <c r="S51" s="153">
        <f t="shared" si="77"/>
        <v>204783</v>
      </c>
      <c r="T51" s="153">
        <f t="shared" si="77"/>
        <v>207504</v>
      </c>
      <c r="U51" s="153">
        <f t="shared" si="77"/>
        <v>199129</v>
      </c>
      <c r="V51" s="153">
        <f t="shared" si="77"/>
        <v>194262</v>
      </c>
      <c r="W51" s="153">
        <f t="shared" si="77"/>
        <v>201840</v>
      </c>
      <c r="X51" s="153">
        <f t="shared" si="77"/>
        <v>212013</v>
      </c>
      <c r="Y51" s="507">
        <v>215602</v>
      </c>
      <c r="Z51" s="507">
        <v>221456</v>
      </c>
      <c r="AA51" s="154">
        <f t="shared" si="77"/>
        <v>215903.73018178353</v>
      </c>
      <c r="AB51" s="154">
        <f t="shared" si="77"/>
        <v>224733.03256042799</v>
      </c>
      <c r="AC51" s="154">
        <f t="shared" si="77"/>
        <v>232543.65800763146</v>
      </c>
      <c r="AD51" s="154">
        <f t="shared" si="77"/>
        <v>231080.81727046467</v>
      </c>
      <c r="AE51" s="154">
        <f t="shared" si="77"/>
        <v>234046.2182795183</v>
      </c>
      <c r="AF51" s="154">
        <f t="shared" si="77"/>
        <v>243077.29469873509</v>
      </c>
      <c r="AG51" s="154">
        <f t="shared" si="77"/>
        <v>244004.92024666219</v>
      </c>
      <c r="AH51" s="454"/>
      <c r="AI51" s="154">
        <v>221529.38300955924</v>
      </c>
      <c r="AJ51" s="454"/>
      <c r="AK51" s="162"/>
      <c r="AL51" s="156">
        <f>+SUMIFS($B51:AF51,$B$4:AF$4,"="&amp;AL$3)</f>
        <v>122214</v>
      </c>
      <c r="AM51" s="156">
        <f>+SUMIFS($B51:AG51,$B$4:AG$4,"="&amp;AM$3)</f>
        <v>127758</v>
      </c>
      <c r="AN51" s="156">
        <f>+SUMIFS($B51:AG51,$B$4:AG$4,"="&amp;AN$3)</f>
        <v>143128</v>
      </c>
      <c r="AO51" s="156">
        <f>+SUMIFS($B51:AG51,$B$4:AG$4,"="&amp;AO$3)</f>
        <v>194755</v>
      </c>
      <c r="AP51" s="156">
        <f>+SUMIFS($B51:AG51,$B$4:AG$4,"="&amp;AP$3)</f>
        <v>199129</v>
      </c>
      <c r="AQ51" s="156">
        <f>+SUMIFS($B51:AG51,$B$4:AG$4,"="&amp;AQ$3)</f>
        <v>215602</v>
      </c>
      <c r="AR51" s="156">
        <f>+SUMIFS($B51:AG51,$B$4:AG$4,"="&amp;AR$3)</f>
        <v>232543.65800763146</v>
      </c>
      <c r="AS51" s="156">
        <f>+SUMIFS($B51:AK51,$B$4:AK$4,"="&amp;AS$3)</f>
        <v>244004.92024666219</v>
      </c>
      <c r="AT51" s="154">
        <f t="shared" ref="AT51:BB51" si="78">SUM(AT52,AT56,AT57,AT58,AT61:AT65)</f>
        <v>264350.76046434132</v>
      </c>
      <c r="AU51" s="154">
        <f t="shared" si="78"/>
        <v>279725.02072271646</v>
      </c>
      <c r="AV51" s="154">
        <f t="shared" si="78"/>
        <v>296045.89911726938</v>
      </c>
      <c r="AW51" s="154">
        <f t="shared" si="78"/>
        <v>313486.23301323148</v>
      </c>
      <c r="AX51" s="154">
        <f t="shared" si="78"/>
        <v>332160.22005086794</v>
      </c>
      <c r="AY51" s="154">
        <f t="shared" si="78"/>
        <v>348258.78095662862</v>
      </c>
      <c r="AZ51" s="154">
        <f t="shared" si="78"/>
        <v>365256.97726054816</v>
      </c>
      <c r="BA51" s="154">
        <f t="shared" si="78"/>
        <v>383231.05436565442</v>
      </c>
      <c r="BB51" s="154">
        <f t="shared" si="78"/>
        <v>402238.54874798894</v>
      </c>
    </row>
    <row r="52" spans="1:54" s="2" customFormat="1" x14ac:dyDescent="0.25">
      <c r="A52" s="134" t="s">
        <v>93</v>
      </c>
      <c r="B52" s="501">
        <f t="shared" ref="B52:O52" si="79">+B53+B54+B55</f>
        <v>92629</v>
      </c>
      <c r="C52" s="501">
        <f t="shared" si="79"/>
        <v>97891</v>
      </c>
      <c r="D52" s="501">
        <f t="shared" si="79"/>
        <v>98181</v>
      </c>
      <c r="E52" s="501">
        <f t="shared" si="79"/>
        <v>99718</v>
      </c>
      <c r="F52" s="501">
        <f t="shared" si="79"/>
        <v>103351</v>
      </c>
      <c r="G52" s="501">
        <f t="shared" si="79"/>
        <v>99090</v>
      </c>
      <c r="H52" s="501">
        <f t="shared" si="79"/>
        <v>97610</v>
      </c>
      <c r="I52" s="501">
        <f t="shared" si="79"/>
        <v>99822</v>
      </c>
      <c r="J52" s="501">
        <f t="shared" si="79"/>
        <v>101757</v>
      </c>
      <c r="K52" s="501">
        <f t="shared" si="79"/>
        <v>106264</v>
      </c>
      <c r="L52" s="501">
        <f t="shared" si="79"/>
        <v>106491</v>
      </c>
      <c r="M52" s="501">
        <f t="shared" si="79"/>
        <v>106757</v>
      </c>
      <c r="N52" s="501">
        <f t="shared" si="79"/>
        <v>115297</v>
      </c>
      <c r="O52" s="501">
        <f t="shared" si="79"/>
        <v>124257</v>
      </c>
      <c r="P52" s="501">
        <f>+P53+P54</f>
        <v>125516</v>
      </c>
      <c r="Q52" s="501">
        <f>+Q53+Q54</f>
        <v>126480</v>
      </c>
      <c r="R52" s="501">
        <f>+R53+R54</f>
        <v>136840</v>
      </c>
      <c r="S52" s="501">
        <f t="shared" ref="S52:X52" si="80">+S53+S54+S55</f>
        <v>148966</v>
      </c>
      <c r="T52" s="501">
        <f t="shared" si="80"/>
        <v>151719</v>
      </c>
      <c r="U52" s="501">
        <f t="shared" si="80"/>
        <v>150317</v>
      </c>
      <c r="V52" s="501">
        <f t="shared" si="80"/>
        <v>157509</v>
      </c>
      <c r="W52" s="501">
        <f t="shared" si="80"/>
        <v>163644</v>
      </c>
      <c r="X52" s="501">
        <f t="shared" si="80"/>
        <v>168285</v>
      </c>
      <c r="Y52" s="501">
        <f t="shared" ref="Y52" si="81">+Y53+Y54+Y55</f>
        <v>168029</v>
      </c>
      <c r="Z52" s="501">
        <f t="shared" ref="Z52:AG52" si="82">+Z53+Z54+Z55</f>
        <v>176459</v>
      </c>
      <c r="AA52" s="131">
        <f t="shared" si="82"/>
        <v>174521</v>
      </c>
      <c r="AB52" s="131">
        <f t="shared" si="82"/>
        <v>183237</v>
      </c>
      <c r="AC52" s="131">
        <f t="shared" si="82"/>
        <v>190547</v>
      </c>
      <c r="AD52" s="131">
        <f t="shared" si="82"/>
        <v>188759.51611569009</v>
      </c>
      <c r="AE52" s="131">
        <f t="shared" si="82"/>
        <v>191391.70254137236</v>
      </c>
      <c r="AF52" s="131">
        <f t="shared" si="82"/>
        <v>200305.51099869207</v>
      </c>
      <c r="AG52" s="131">
        <f t="shared" si="82"/>
        <v>200714.98920876364</v>
      </c>
      <c r="AH52" s="416"/>
      <c r="AI52" s="39">
        <v>177417.72382380255</v>
      </c>
      <c r="AJ52" s="416"/>
      <c r="AK52" s="5"/>
      <c r="AL52" s="39">
        <f>+SUMIFS($B52:AF52,$B$4:AF$4,"="&amp;AL$3)</f>
        <v>99718</v>
      </c>
      <c r="AM52" s="39">
        <f>+SUMIFS($B52:AG52,$B$4:AG$4,"="&amp;AM$3)</f>
        <v>99822</v>
      </c>
      <c r="AN52" s="39">
        <f>+SUMIFS($B52:AG52,$B$4:AG$4,"="&amp;AN$3)</f>
        <v>106757</v>
      </c>
      <c r="AO52" s="39">
        <f>+SUMIFS($B52:AG52,$B$4:AG$4,"="&amp;AO$3)</f>
        <v>126480</v>
      </c>
      <c r="AP52" s="39">
        <f>+SUMIFS($B52:AG52,$B$4:AG$4,"="&amp;AP$3)</f>
        <v>150317</v>
      </c>
      <c r="AQ52" s="39">
        <f>+SUMIFS($B52:AG52,$B$4:AG$4,"="&amp;AQ$3)</f>
        <v>168029</v>
      </c>
      <c r="AR52" s="39">
        <f>+SUMIFS($B52:AG52,$B$4:AG$4,"="&amp;AR$3)</f>
        <v>190547</v>
      </c>
      <c r="AS52" s="39">
        <f>+SUMIFS($B52:AK52,$B$4:AK$4,"="&amp;AS$3)</f>
        <v>200714.98920876364</v>
      </c>
      <c r="AT52" s="39">
        <f t="shared" ref="AT52" si="83">+AT53+AT54+AT55</f>
        <v>219707.73184011632</v>
      </c>
      <c r="AU52" s="39">
        <f t="shared" ref="AU52" si="84">+AU53+AU54+AU55</f>
        <v>233681.5360966436</v>
      </c>
      <c r="AV52" s="39">
        <f t="shared" ref="AV52" si="85">+AV53+AV54+AV55</f>
        <v>248552.9425292839</v>
      </c>
      <c r="AW52" s="39">
        <f t="shared" ref="AW52" si="86">+AW53+AW54+AW55</f>
        <v>264493.07294466655</v>
      </c>
      <c r="AX52" s="39">
        <f t="shared" ref="AX52" si="87">+AX53+AX54+AX55</f>
        <v>281614.34937990329</v>
      </c>
      <c r="AY52" s="39">
        <f t="shared" ref="AY52" si="88">+AY53+AY54+AY55</f>
        <v>296105.85481218016</v>
      </c>
      <c r="AZ52" s="39">
        <f t="shared" ref="AZ52" si="89">+AZ53+AZ54+AZ55</f>
        <v>311440.74870104395</v>
      </c>
      <c r="BA52" s="39">
        <f t="shared" ref="BA52" si="90">+BA53+BA54+BA55</f>
        <v>327693.30780656758</v>
      </c>
      <c r="BB52" s="39">
        <f t="shared" ref="BB52" si="91">+BB53+BB54+BB55</f>
        <v>344919.031059334</v>
      </c>
    </row>
    <row r="53" spans="1:54" s="143" customFormat="1" x14ac:dyDescent="0.25">
      <c r="A53" s="142" t="s">
        <v>197</v>
      </c>
      <c r="B53" s="503">
        <v>37260</v>
      </c>
      <c r="C53" s="503">
        <v>37663</v>
      </c>
      <c r="D53" s="503">
        <v>38259</v>
      </c>
      <c r="E53" s="503">
        <v>39947</v>
      </c>
      <c r="F53" s="503">
        <v>44895</v>
      </c>
      <c r="G53" s="503">
        <v>44836</v>
      </c>
      <c r="H53" s="503">
        <v>46449</v>
      </c>
      <c r="I53" s="503">
        <v>48159</v>
      </c>
      <c r="J53" s="503">
        <v>53380</v>
      </c>
      <c r="K53" s="503">
        <v>58659</v>
      </c>
      <c r="L53" s="503">
        <v>61079</v>
      </c>
      <c r="M53" s="503">
        <v>61785</v>
      </c>
      <c r="N53" s="499">
        <v>70785</v>
      </c>
      <c r="O53" s="499">
        <v>75949</v>
      </c>
      <c r="P53" s="499">
        <v>71760</v>
      </c>
      <c r="Q53" s="499">
        <v>72024</v>
      </c>
      <c r="R53" s="499">
        <v>74474</v>
      </c>
      <c r="S53" s="499">
        <v>73829</v>
      </c>
      <c r="T53" s="499">
        <v>70700</v>
      </c>
      <c r="U53" s="499">
        <v>74696</v>
      </c>
      <c r="V53" s="499">
        <v>72629</v>
      </c>
      <c r="W53" s="499">
        <v>77522</v>
      </c>
      <c r="X53" s="499">
        <v>75049</v>
      </c>
      <c r="Y53" s="499">
        <v>76660</v>
      </c>
      <c r="Z53" s="499">
        <v>79983</v>
      </c>
      <c r="AA53" s="146">
        <f>+FAT!AA116</f>
        <v>82269</v>
      </c>
      <c r="AB53" s="146">
        <f>+FAT!AB116</f>
        <v>81687</v>
      </c>
      <c r="AC53" s="146">
        <f>+FAT!AC116</f>
        <v>87162</v>
      </c>
      <c r="AD53" s="146">
        <f>+FAT!AD116</f>
        <v>87927.792749494387</v>
      </c>
      <c r="AE53" s="146">
        <f>+FAT!AE116</f>
        <v>88713.804449470452</v>
      </c>
      <c r="AF53" s="146">
        <f>+FAT!AF116</f>
        <v>88990.4249657482</v>
      </c>
      <c r="AG53" s="146">
        <f>+FAT!AG116</f>
        <v>90212.670000000013</v>
      </c>
      <c r="AH53" s="451"/>
      <c r="AI53" s="146">
        <v>77422.596776825754</v>
      </c>
      <c r="AJ53" s="451"/>
      <c r="AK53" s="147"/>
      <c r="AL53" s="144">
        <f>+SUMIFS($B53:AF53,$B$4:AF$4,"="&amp;AL$3)</f>
        <v>39947</v>
      </c>
      <c r="AM53" s="144">
        <f>+SUMIFS($B53:AG53,$B$4:AG$4,"="&amp;AM$3)</f>
        <v>48159</v>
      </c>
      <c r="AN53" s="144">
        <f>+SUMIFS($B53:AG53,$B$4:AG$4,"="&amp;AN$3)</f>
        <v>61785</v>
      </c>
      <c r="AO53" s="144">
        <f>+SUMIFS($B53:AG53,$B$4:AG$4,"="&amp;AO$3)</f>
        <v>72024</v>
      </c>
      <c r="AP53" s="144">
        <f>+SUMIFS($B53:AG53,$B$4:AG$4,"="&amp;AP$3)</f>
        <v>74696</v>
      </c>
      <c r="AQ53" s="144">
        <f>+SUMIFS($B53:AG53,$B$4:AG$4,"="&amp;AQ$3)</f>
        <v>76660</v>
      </c>
      <c r="AR53" s="144">
        <f>+SUMIFS($B53:AG53,$B$4:AG$4,"="&amp;AR$3)</f>
        <v>87162</v>
      </c>
      <c r="AS53" s="144">
        <f>+SUMIFS($B53:AK53,$B$4:AK$4,"="&amp;AS$3)</f>
        <v>90212.670000000013</v>
      </c>
      <c r="AT53" s="146">
        <f>+FAT!AT116</f>
        <v>93370.113450000019</v>
      </c>
      <c r="AU53" s="146">
        <f>+FAT!AU116</f>
        <v>96638.067420750027</v>
      </c>
      <c r="AV53" s="146">
        <f>+FAT!AV116</f>
        <v>100020.39978047629</v>
      </c>
      <c r="AW53" s="146">
        <f>+FAT!AW116</f>
        <v>103521.11377279297</v>
      </c>
      <c r="AX53" s="146">
        <f>+FAT!AX116</f>
        <v>107144.35275484074</v>
      </c>
      <c r="AY53" s="146">
        <f>+FAT!AY116</f>
        <v>110894.40510126018</v>
      </c>
      <c r="AZ53" s="146">
        <f>+FAT!AZ116</f>
        <v>114775.7092798043</v>
      </c>
      <c r="BA53" s="146">
        <f>+FAT!BA116</f>
        <v>118792.85910459748</v>
      </c>
      <c r="BB53" s="146">
        <f>+FAT!BB116</f>
        <v>122950.6091732584</v>
      </c>
    </row>
    <row r="54" spans="1:54" s="143" customFormat="1" x14ac:dyDescent="0.25">
      <c r="A54" s="142" t="s">
        <v>198</v>
      </c>
      <c r="B54" s="503">
        <v>54407</v>
      </c>
      <c r="C54" s="503">
        <v>59306</v>
      </c>
      <c r="D54" s="503">
        <v>59086</v>
      </c>
      <c r="E54" s="503">
        <v>58738</v>
      </c>
      <c r="F54" s="503">
        <v>57477</v>
      </c>
      <c r="G54" s="503">
        <v>52766</v>
      </c>
      <c r="H54" s="503">
        <v>49315</v>
      </c>
      <c r="I54" s="503">
        <v>49894</v>
      </c>
      <c r="J54" s="503">
        <v>46204</v>
      </c>
      <c r="K54" s="503">
        <v>46845</v>
      </c>
      <c r="L54" s="503">
        <v>45259</v>
      </c>
      <c r="M54" s="503">
        <v>44471</v>
      </c>
      <c r="N54" s="499">
        <v>44112</v>
      </c>
      <c r="O54" s="499">
        <v>47908</v>
      </c>
      <c r="P54" s="499">
        <v>53756</v>
      </c>
      <c r="Q54" s="499">
        <v>54456</v>
      </c>
      <c r="R54" s="499">
        <v>62366</v>
      </c>
      <c r="S54" s="499">
        <v>74835</v>
      </c>
      <c r="T54" s="499">
        <v>80814</v>
      </c>
      <c r="U54" s="499">
        <v>75315</v>
      </c>
      <c r="V54" s="499">
        <v>84270</v>
      </c>
      <c r="W54" s="499">
        <v>85366</v>
      </c>
      <c r="X54" s="499">
        <v>92473</v>
      </c>
      <c r="Y54" s="499">
        <v>90299</v>
      </c>
      <c r="Z54" s="499">
        <v>95383</v>
      </c>
      <c r="AA54" s="146">
        <f>+FAT!AA118</f>
        <v>92252</v>
      </c>
      <c r="AB54" s="146">
        <f>+FAT!AB118</f>
        <v>101550</v>
      </c>
      <c r="AC54" s="146">
        <f>+FAT!AC118</f>
        <v>103385</v>
      </c>
      <c r="AD54" s="146">
        <f>+FAT!AD118</f>
        <v>100831.7233661957</v>
      </c>
      <c r="AE54" s="146">
        <f>+FAT!AE118</f>
        <v>102677.89809190191</v>
      </c>
      <c r="AF54" s="146">
        <f>+FAT!AF118</f>
        <v>111315.08603294387</v>
      </c>
      <c r="AG54" s="146">
        <f>+FAT!AG118</f>
        <v>110502.31920876363</v>
      </c>
      <c r="AH54" s="451"/>
      <c r="AI54" s="146">
        <v>99995.127046976791</v>
      </c>
      <c r="AJ54" s="451"/>
      <c r="AK54" s="147"/>
      <c r="AL54" s="144">
        <f>+SUMIFS($B54:AF54,$B$4:AF$4,"="&amp;AL$3)</f>
        <v>58738</v>
      </c>
      <c r="AM54" s="144">
        <f>+SUMIFS($B54:AG54,$B$4:AG$4,"="&amp;AM$3)</f>
        <v>49894</v>
      </c>
      <c r="AN54" s="144">
        <f>+SUMIFS($B54:AG54,$B$4:AG$4,"="&amp;AN$3)</f>
        <v>44471</v>
      </c>
      <c r="AO54" s="144">
        <f>+SUMIFS($B54:AG54,$B$4:AG$4,"="&amp;AO$3)</f>
        <v>54456</v>
      </c>
      <c r="AP54" s="144">
        <f>+SUMIFS($B54:AG54,$B$4:AG$4,"="&amp;AP$3)</f>
        <v>75315</v>
      </c>
      <c r="AQ54" s="144">
        <f>+SUMIFS($B54:AG54,$B$4:AG$4,"="&amp;AQ$3)</f>
        <v>90299</v>
      </c>
      <c r="AR54" s="144">
        <f>+SUMIFS($B54:AG54,$B$4:AG$4,"="&amp;AR$3)</f>
        <v>103385</v>
      </c>
      <c r="AS54" s="144">
        <f>+SUMIFS($B54:AK54,$B$4:AK$4,"="&amp;AS$3)</f>
        <v>110502.31920876363</v>
      </c>
      <c r="AT54" s="146">
        <f>+FAT!AT118</f>
        <v>126337.6183901163</v>
      </c>
      <c r="AU54" s="146">
        <f>+FAT!AU118</f>
        <v>137043.46867589356</v>
      </c>
      <c r="AV54" s="146">
        <f>+FAT!AV118</f>
        <v>148532.54274880761</v>
      </c>
      <c r="AW54" s="146">
        <f>+FAT!AW118</f>
        <v>160971.95917187358</v>
      </c>
      <c r="AX54" s="146">
        <f>+FAT!AX118</f>
        <v>174469.99662506254</v>
      </c>
      <c r="AY54" s="146">
        <f>+FAT!AY118</f>
        <v>185211.44971091999</v>
      </c>
      <c r="AZ54" s="146">
        <f>+FAT!AZ118</f>
        <v>196665.03942123963</v>
      </c>
      <c r="BA54" s="146">
        <f>+FAT!BA118</f>
        <v>208900.4487019701</v>
      </c>
      <c r="BB54" s="146">
        <f>+FAT!BB118</f>
        <v>221968.42188607558</v>
      </c>
    </row>
    <row r="55" spans="1:54" s="143" customFormat="1" x14ac:dyDescent="0.25">
      <c r="A55" s="142" t="s">
        <v>199</v>
      </c>
      <c r="B55" s="503">
        <v>962</v>
      </c>
      <c r="C55" s="503">
        <v>922</v>
      </c>
      <c r="D55" s="503">
        <v>836</v>
      </c>
      <c r="E55" s="503">
        <v>1033</v>
      </c>
      <c r="F55" s="503">
        <v>979</v>
      </c>
      <c r="G55" s="503">
        <v>1488</v>
      </c>
      <c r="H55" s="503">
        <v>1846</v>
      </c>
      <c r="I55" s="503">
        <v>1769</v>
      </c>
      <c r="J55" s="503">
        <v>2173</v>
      </c>
      <c r="K55" s="503">
        <v>760</v>
      </c>
      <c r="L55" s="503">
        <v>153</v>
      </c>
      <c r="M55" s="503">
        <v>501</v>
      </c>
      <c r="N55" s="499">
        <v>400</v>
      </c>
      <c r="O55" s="499">
        <v>400</v>
      </c>
      <c r="P55" s="499">
        <v>0</v>
      </c>
      <c r="Q55" s="499">
        <v>151</v>
      </c>
      <c r="R55" s="499">
        <v>0</v>
      </c>
      <c r="S55" s="499">
        <v>302</v>
      </c>
      <c r="T55" s="499">
        <v>205</v>
      </c>
      <c r="U55" s="499">
        <v>306</v>
      </c>
      <c r="V55" s="499">
        <v>610</v>
      </c>
      <c r="W55" s="499">
        <v>756</v>
      </c>
      <c r="X55" s="499">
        <v>763</v>
      </c>
      <c r="Y55" s="499">
        <v>1070</v>
      </c>
      <c r="Z55" s="499">
        <v>1093</v>
      </c>
      <c r="AA55" s="147"/>
      <c r="AB55" s="147"/>
      <c r="AC55" s="147"/>
      <c r="AD55" s="147"/>
      <c r="AE55" s="147"/>
      <c r="AF55" s="147"/>
      <c r="AG55" s="147"/>
      <c r="AH55" s="455"/>
      <c r="AI55" s="147"/>
      <c r="AJ55" s="455"/>
      <c r="AK55" s="147"/>
      <c r="AL55" s="144">
        <f>+SUMIFS($B55:AF55,$B$4:AF$4,"="&amp;AL$3)</f>
        <v>1033</v>
      </c>
      <c r="AM55" s="144">
        <f>+SUMIFS($B55:AG55,$B$4:AG$4,"="&amp;AM$3)</f>
        <v>1769</v>
      </c>
      <c r="AN55" s="144">
        <f>+SUMIFS($B55:AG55,$B$4:AG$4,"="&amp;AN$3)</f>
        <v>501</v>
      </c>
      <c r="AO55" s="144">
        <f>+SUMIFS($B55:AG55,$B$4:AG$4,"="&amp;AO$3)</f>
        <v>151</v>
      </c>
      <c r="AP55" s="144">
        <f>+SUMIFS($B55:AG55,$B$4:AG$4,"="&amp;AP$3)</f>
        <v>306</v>
      </c>
      <c r="AQ55" s="144">
        <f>+SUMIFS($B55:AG55,$B$4:AG$4,"="&amp;AQ$3)</f>
        <v>1070</v>
      </c>
      <c r="AR55" s="144">
        <f>+SUMIFS($B55:AG55,$B$4:AG$4,"="&amp;AR$3)</f>
        <v>0</v>
      </c>
      <c r="AS55" s="144">
        <f>+SUMIFS($B55:AK55,$B$4:AK$4,"="&amp;AS$3)</f>
        <v>0</v>
      </c>
      <c r="AT55" s="147"/>
      <c r="AU55" s="147"/>
      <c r="AV55" s="147"/>
      <c r="AW55" s="147"/>
      <c r="AX55" s="147"/>
      <c r="AY55" s="147"/>
      <c r="AZ55" s="147"/>
      <c r="BA55" s="147"/>
      <c r="BB55" s="147"/>
    </row>
    <row r="56" spans="1:54" x14ac:dyDescent="0.25">
      <c r="A56" s="30" t="s">
        <v>200</v>
      </c>
      <c r="B56" s="504">
        <v>1403</v>
      </c>
      <c r="C56" s="504">
        <v>1768</v>
      </c>
      <c r="D56" s="504">
        <v>2747</v>
      </c>
      <c r="E56" s="504">
        <v>2839</v>
      </c>
      <c r="F56" s="504">
        <v>2911</v>
      </c>
      <c r="G56" s="504">
        <v>2860</v>
      </c>
      <c r="H56" s="504">
        <v>2912</v>
      </c>
      <c r="I56" s="504">
        <v>2428</v>
      </c>
      <c r="J56" s="504">
        <v>1969</v>
      </c>
      <c r="K56" s="504">
        <v>2005</v>
      </c>
      <c r="L56" s="504">
        <v>2022</v>
      </c>
      <c r="M56" s="504">
        <v>2164</v>
      </c>
      <c r="N56" s="112">
        <v>2156</v>
      </c>
      <c r="O56" s="112">
        <v>2216</v>
      </c>
      <c r="P56" s="112">
        <v>2295</v>
      </c>
      <c r="Q56" s="112">
        <v>2300</v>
      </c>
      <c r="R56" s="112">
        <v>2328</v>
      </c>
      <c r="S56" s="112">
        <v>2336</v>
      </c>
      <c r="T56" s="112">
        <v>2387</v>
      </c>
      <c r="U56" s="112">
        <v>2393</v>
      </c>
      <c r="V56" s="112">
        <v>2397</v>
      </c>
      <c r="W56" s="112">
        <v>2385</v>
      </c>
      <c r="X56" s="112">
        <v>3250</v>
      </c>
      <c r="Y56" s="112">
        <v>4591</v>
      </c>
      <c r="Z56" s="112">
        <v>4589</v>
      </c>
      <c r="AA56" s="148">
        <f t="shared" ref="AA56:AG65" si="92">+Z56</f>
        <v>4589</v>
      </c>
      <c r="AB56" s="148">
        <f t="shared" si="92"/>
        <v>4589</v>
      </c>
      <c r="AC56" s="148">
        <f t="shared" si="92"/>
        <v>4589</v>
      </c>
      <c r="AD56" s="148">
        <f t="shared" si="92"/>
        <v>4589</v>
      </c>
      <c r="AE56" s="148">
        <f t="shared" si="92"/>
        <v>4589</v>
      </c>
      <c r="AF56" s="148">
        <f t="shared" si="92"/>
        <v>4589</v>
      </c>
      <c r="AG56" s="148">
        <f t="shared" si="92"/>
        <v>4589</v>
      </c>
      <c r="AH56" s="452"/>
      <c r="AI56" s="148">
        <v>3250</v>
      </c>
      <c r="AJ56" s="452"/>
      <c r="AK56" s="4"/>
      <c r="AL56" s="141">
        <f>+SUMIFS($B56:AF56,$B$4:AF$4,"="&amp;AL$3)</f>
        <v>2839</v>
      </c>
      <c r="AM56" s="141">
        <f>+SUMIFS($B56:AG56,$B$4:AG$4,"="&amp;AM$3)</f>
        <v>2428</v>
      </c>
      <c r="AN56" s="141">
        <f>+SUMIFS($B56:AG56,$B$4:AG$4,"="&amp;AN$3)</f>
        <v>2164</v>
      </c>
      <c r="AO56" s="141">
        <f>+SUMIFS($B56:AG56,$B$4:AG$4,"="&amp;AO$3)</f>
        <v>2300</v>
      </c>
      <c r="AP56" s="141">
        <f>+SUMIFS($B56:AG56,$B$4:AG$4,"="&amp;AP$3)</f>
        <v>2393</v>
      </c>
      <c r="AQ56" s="141">
        <f>+SUMIFS($B56:AG56,$B$4:AG$4,"="&amp;AQ$3)</f>
        <v>4591</v>
      </c>
      <c r="AR56" s="141">
        <f>+SUMIFS($B56:AG56,$B$4:AG$4,"="&amp;AR$3)</f>
        <v>4589</v>
      </c>
      <c r="AS56" s="141">
        <f>+SUMIFS($B56:AK56,$B$4:AK$4,"="&amp;AS$3)</f>
        <v>4589</v>
      </c>
      <c r="AT56" s="148">
        <f t="shared" ref="AT56:AT57" si="93">+AS56</f>
        <v>4589</v>
      </c>
      <c r="AU56" s="148">
        <f t="shared" ref="AU56:AU57" si="94">+AT56</f>
        <v>4589</v>
      </c>
      <c r="AV56" s="148">
        <f t="shared" ref="AV56:AV57" si="95">+AU56</f>
        <v>4589</v>
      </c>
      <c r="AW56" s="148">
        <f t="shared" ref="AW56:AW57" si="96">+AV56</f>
        <v>4589</v>
      </c>
      <c r="AX56" s="148">
        <f t="shared" ref="AX56:AX57" si="97">+AW56</f>
        <v>4589</v>
      </c>
      <c r="AY56" s="148">
        <f t="shared" ref="AY56:AY57" si="98">+AX56</f>
        <v>4589</v>
      </c>
      <c r="AZ56" s="148">
        <f t="shared" ref="AZ56:AZ57" si="99">+AY56</f>
        <v>4589</v>
      </c>
      <c r="BA56" s="148">
        <f t="shared" ref="BA56:BA57" si="100">+AZ56</f>
        <v>4589</v>
      </c>
      <c r="BB56" s="148">
        <f t="shared" ref="BB56:BB57" si="101">+BA56</f>
        <v>4589</v>
      </c>
    </row>
    <row r="57" spans="1:54" x14ac:dyDescent="0.25">
      <c r="A57" s="30" t="s">
        <v>201</v>
      </c>
      <c r="B57" s="504">
        <v>34</v>
      </c>
      <c r="C57" s="504">
        <v>34</v>
      </c>
      <c r="D57" s="504">
        <v>36</v>
      </c>
      <c r="E57" s="504">
        <v>9</v>
      </c>
      <c r="F57" s="504">
        <v>12</v>
      </c>
      <c r="G57" s="504">
        <v>16</v>
      </c>
      <c r="H57" s="504">
        <v>17</v>
      </c>
      <c r="I57" s="504">
        <v>28</v>
      </c>
      <c r="J57" s="504">
        <v>32</v>
      </c>
      <c r="K57" s="504">
        <v>32</v>
      </c>
      <c r="L57" s="504">
        <v>36</v>
      </c>
      <c r="M57" s="504">
        <v>34</v>
      </c>
      <c r="N57" s="112">
        <v>36</v>
      </c>
      <c r="O57" s="112">
        <v>67</v>
      </c>
      <c r="P57" s="112">
        <v>125</v>
      </c>
      <c r="Q57" s="112">
        <v>1</v>
      </c>
      <c r="R57" s="112">
        <v>13</v>
      </c>
      <c r="S57" s="112">
        <v>13</v>
      </c>
      <c r="T57" s="112">
        <v>13</v>
      </c>
      <c r="U57" s="112">
        <v>13</v>
      </c>
      <c r="V57" s="112">
        <v>13</v>
      </c>
      <c r="W57" s="112">
        <v>14</v>
      </c>
      <c r="X57" s="112">
        <v>19</v>
      </c>
      <c r="Y57" s="112">
        <v>39</v>
      </c>
      <c r="Z57" s="112">
        <v>41</v>
      </c>
      <c r="AA57" s="148">
        <f t="shared" si="92"/>
        <v>41</v>
      </c>
      <c r="AB57" s="148">
        <f t="shared" si="92"/>
        <v>41</v>
      </c>
      <c r="AC57" s="148">
        <f t="shared" si="92"/>
        <v>41</v>
      </c>
      <c r="AD57" s="148">
        <f t="shared" si="92"/>
        <v>41</v>
      </c>
      <c r="AE57" s="148">
        <f t="shared" si="92"/>
        <v>41</v>
      </c>
      <c r="AF57" s="148">
        <f t="shared" si="92"/>
        <v>41</v>
      </c>
      <c r="AG57" s="148">
        <f t="shared" si="92"/>
        <v>41</v>
      </c>
      <c r="AH57" s="452"/>
      <c r="AI57" s="148">
        <v>19</v>
      </c>
      <c r="AJ57" s="452"/>
      <c r="AK57" s="4"/>
      <c r="AL57" s="141">
        <f>+SUMIFS($B57:AF57,$B$4:AF$4,"="&amp;AL$3)</f>
        <v>9</v>
      </c>
      <c r="AM57" s="141">
        <f>+SUMIFS($B57:AG57,$B$4:AG$4,"="&amp;AM$3)</f>
        <v>28</v>
      </c>
      <c r="AN57" s="141">
        <f>+SUMIFS($B57:AG57,$B$4:AG$4,"="&amp;AN$3)</f>
        <v>34</v>
      </c>
      <c r="AO57" s="141">
        <f>+SUMIFS($B57:AG57,$B$4:AG$4,"="&amp;AO$3)</f>
        <v>1</v>
      </c>
      <c r="AP57" s="141">
        <f>+SUMIFS($B57:AG57,$B$4:AG$4,"="&amp;AP$3)</f>
        <v>13</v>
      </c>
      <c r="AQ57" s="141">
        <f>+SUMIFS($B57:AG57,$B$4:AG$4,"="&amp;AQ$3)</f>
        <v>39</v>
      </c>
      <c r="AR57" s="141">
        <f>+SUMIFS($B57:AG57,$B$4:AG$4,"="&amp;AR$3)</f>
        <v>41</v>
      </c>
      <c r="AS57" s="141">
        <f>+SUMIFS($B57:AK57,$B$4:AK$4,"="&amp;AS$3)</f>
        <v>41</v>
      </c>
      <c r="AT57" s="148">
        <f t="shared" si="93"/>
        <v>41</v>
      </c>
      <c r="AU57" s="148">
        <f t="shared" si="94"/>
        <v>41</v>
      </c>
      <c r="AV57" s="148">
        <f t="shared" si="95"/>
        <v>41</v>
      </c>
      <c r="AW57" s="148">
        <f t="shared" si="96"/>
        <v>41</v>
      </c>
      <c r="AX57" s="148">
        <f t="shared" si="97"/>
        <v>41</v>
      </c>
      <c r="AY57" s="148">
        <f t="shared" si="98"/>
        <v>41</v>
      </c>
      <c r="AZ57" s="148">
        <f t="shared" si="99"/>
        <v>41</v>
      </c>
      <c r="BA57" s="148">
        <f t="shared" si="100"/>
        <v>41</v>
      </c>
      <c r="BB57" s="148">
        <f t="shared" si="101"/>
        <v>41</v>
      </c>
    </row>
    <row r="58" spans="1:54" s="2" customFormat="1" x14ac:dyDescent="0.25">
      <c r="A58" s="134" t="s">
        <v>202</v>
      </c>
      <c r="B58" s="501">
        <f t="shared" ref="B58:X58" si="102">SUM(B59:B60)</f>
        <v>7537</v>
      </c>
      <c r="C58" s="501">
        <f t="shared" si="102"/>
        <v>8485</v>
      </c>
      <c r="D58" s="501">
        <f t="shared" si="102"/>
        <v>8295</v>
      </c>
      <c r="E58" s="501">
        <f t="shared" si="102"/>
        <v>8510</v>
      </c>
      <c r="F58" s="501">
        <f t="shared" si="102"/>
        <v>9821</v>
      </c>
      <c r="G58" s="501">
        <f t="shared" si="102"/>
        <v>9506</v>
      </c>
      <c r="H58" s="501">
        <f t="shared" si="102"/>
        <v>9257</v>
      </c>
      <c r="I58" s="501">
        <f t="shared" si="102"/>
        <v>7262</v>
      </c>
      <c r="J58" s="501">
        <f t="shared" si="102"/>
        <v>6513</v>
      </c>
      <c r="K58" s="501">
        <f t="shared" si="102"/>
        <v>6043</v>
      </c>
      <c r="L58" s="501">
        <f t="shared" si="102"/>
        <v>5885</v>
      </c>
      <c r="M58" s="501">
        <f t="shared" si="102"/>
        <v>6215</v>
      </c>
      <c r="N58" s="501">
        <f t="shared" si="102"/>
        <v>5817</v>
      </c>
      <c r="O58" s="501">
        <f t="shared" si="102"/>
        <v>5491</v>
      </c>
      <c r="P58" s="501">
        <f t="shared" si="102"/>
        <v>5056</v>
      </c>
      <c r="Q58" s="501">
        <f t="shared" si="102"/>
        <v>5367</v>
      </c>
      <c r="R58" s="501">
        <f t="shared" si="102"/>
        <v>4871</v>
      </c>
      <c r="S58" s="501">
        <f t="shared" si="102"/>
        <v>4522</v>
      </c>
      <c r="T58" s="501">
        <f t="shared" si="102"/>
        <v>4387</v>
      </c>
      <c r="U58" s="501">
        <f t="shared" si="102"/>
        <v>4221</v>
      </c>
      <c r="V58" s="501">
        <f t="shared" si="102"/>
        <v>3736</v>
      </c>
      <c r="W58" s="501">
        <f t="shared" si="102"/>
        <v>3785</v>
      </c>
      <c r="X58" s="501">
        <f t="shared" si="102"/>
        <v>3774</v>
      </c>
      <c r="Y58" s="501">
        <f t="shared" ref="Y58" si="103">SUM(Y59:Y60)</f>
        <v>3830</v>
      </c>
      <c r="Z58" s="501">
        <f t="shared" ref="Z58:AG58" si="104">SUM(Z59:Z60)</f>
        <v>3363</v>
      </c>
      <c r="AA58" s="131">
        <f t="shared" si="104"/>
        <v>3393.0628193243792</v>
      </c>
      <c r="AB58" s="131">
        <f t="shared" si="104"/>
        <v>3403.642805096255</v>
      </c>
      <c r="AC58" s="131">
        <f t="shared" si="104"/>
        <v>3450.3903683143985</v>
      </c>
      <c r="AD58" s="131">
        <f t="shared" si="104"/>
        <v>3480.7049999999999</v>
      </c>
      <c r="AE58" s="131">
        <f t="shared" si="104"/>
        <v>3511.8200180007325</v>
      </c>
      <c r="AF58" s="131">
        <f t="shared" si="104"/>
        <v>3522.7703032746235</v>
      </c>
      <c r="AG58" s="131">
        <f t="shared" si="104"/>
        <v>3571.1540312054026</v>
      </c>
      <c r="AH58" s="456"/>
      <c r="AI58" s="149">
        <v>3809.803510473178</v>
      </c>
      <c r="AJ58" s="456"/>
      <c r="AK58" s="5"/>
      <c r="AL58" s="39">
        <f>+SUMIFS($B58:AF58,$B$4:AF$4,"="&amp;AL$3)</f>
        <v>8510</v>
      </c>
      <c r="AM58" s="39">
        <f>+SUMIFS($B58:AG58,$B$4:AG$4,"="&amp;AM$3)</f>
        <v>7262</v>
      </c>
      <c r="AN58" s="39">
        <f>+SUMIFS($B58:AG58,$B$4:AG$4,"="&amp;AN$3)</f>
        <v>6215</v>
      </c>
      <c r="AO58" s="39">
        <f>+SUMIFS($B58:AG58,$B$4:AG$4,"="&amp;AO$3)</f>
        <v>5367</v>
      </c>
      <c r="AP58" s="39">
        <f>+SUMIFS($B58:AG58,$B$4:AG$4,"="&amp;AP$3)</f>
        <v>4221</v>
      </c>
      <c r="AQ58" s="39">
        <f>+SUMIFS($B58:AG58,$B$4:AG$4,"="&amp;AQ$3)</f>
        <v>3830</v>
      </c>
      <c r="AR58" s="39">
        <f>+SUMIFS($B58:AG58,$B$4:AG$4,"="&amp;AR$3)</f>
        <v>3450.3903683143985</v>
      </c>
      <c r="AS58" s="39">
        <f>+SUMIFS($B58:AK58,$B$4:AK$4,"="&amp;AS$3)</f>
        <v>3571.1540312054026</v>
      </c>
      <c r="AT58" s="149">
        <f t="shared" ref="AT58" si="105">SUM(AT59:AT60)</f>
        <v>3696.1444222975924</v>
      </c>
      <c r="AU58" s="149">
        <f t="shared" ref="AU58" si="106">SUM(AU59:AU60)</f>
        <v>3825.5094770780083</v>
      </c>
      <c r="AV58" s="149">
        <f t="shared" ref="AV58" si="107">SUM(AV59:AV60)</f>
        <v>3959.4023087757396</v>
      </c>
      <c r="AW58" s="149">
        <f t="shared" ref="AW58" si="108">SUM(AW59:AW60)</f>
        <v>4097.9813895828911</v>
      </c>
      <c r="AX58" s="149">
        <f t="shared" ref="AX58" si="109">SUM(AX59:AX60)</f>
        <v>4241.410738218292</v>
      </c>
      <c r="AY58" s="149">
        <f t="shared" ref="AY58" si="110">SUM(AY59:AY60)</f>
        <v>4389.8601140559331</v>
      </c>
      <c r="AZ58" s="149">
        <f t="shared" ref="AZ58" si="111">SUM(AZ59:AZ60)</f>
        <v>4543.5052180478915</v>
      </c>
      <c r="BA58" s="149">
        <f t="shared" ref="BA58" si="112">SUM(BA59:BA60)</f>
        <v>4702.5279006795681</v>
      </c>
      <c r="BB58" s="149">
        <f t="shared" ref="BB58" si="113">SUM(BB59:BB60)</f>
        <v>4867.1163772033542</v>
      </c>
    </row>
    <row r="59" spans="1:54" s="143" customFormat="1" x14ac:dyDescent="0.25">
      <c r="A59" s="142" t="s">
        <v>203</v>
      </c>
      <c r="B59" s="505">
        <v>2460</v>
      </c>
      <c r="C59" s="505">
        <f>2447+801</f>
        <v>3248</v>
      </c>
      <c r="D59" s="505">
        <f>2707+0</f>
        <v>2707</v>
      </c>
      <c r="E59" s="505">
        <v>2704</v>
      </c>
      <c r="F59" s="505">
        <v>2085</v>
      </c>
      <c r="G59" s="505">
        <v>1837</v>
      </c>
      <c r="H59" s="505">
        <v>2449</v>
      </c>
      <c r="I59" s="505">
        <v>1931</v>
      </c>
      <c r="J59" s="505">
        <v>1569</v>
      </c>
      <c r="K59" s="505">
        <v>1326</v>
      </c>
      <c r="L59" s="505">
        <v>1249</v>
      </c>
      <c r="M59" s="505">
        <v>1714</v>
      </c>
      <c r="N59" s="499">
        <v>1742</v>
      </c>
      <c r="O59" s="499">
        <v>1751</v>
      </c>
      <c r="P59" s="499">
        <v>1821</v>
      </c>
      <c r="Q59" s="499">
        <v>1966</v>
      </c>
      <c r="R59" s="499">
        <v>1813</v>
      </c>
      <c r="S59" s="499">
        <f>1677</f>
        <v>1677</v>
      </c>
      <c r="T59" s="499">
        <v>1746</v>
      </c>
      <c r="U59" s="499">
        <v>1728</v>
      </c>
      <c r="V59" s="499">
        <v>1398</v>
      </c>
      <c r="W59" s="499">
        <v>1574</v>
      </c>
      <c r="X59" s="499">
        <v>1646</v>
      </c>
      <c r="Y59" s="499">
        <v>1775</v>
      </c>
      <c r="Z59" s="499">
        <v>1452</v>
      </c>
      <c r="AA59" s="146">
        <f t="shared" ref="AA59:AA62" si="114">+Z59*(1+AA$1)</f>
        <v>1464.9798434906331</v>
      </c>
      <c r="AB59" s="146">
        <f t="shared" ref="AB59:AB62" si="115">+AA59*(1+AB$1)</f>
        <v>1469.5478302110503</v>
      </c>
      <c r="AC59" s="146">
        <f t="shared" ref="AC59:AC62" si="116">+AB59*(1+AC$1)</f>
        <v>1489.7314346691962</v>
      </c>
      <c r="AD59" s="146">
        <f t="shared" ref="AD59:AD62" si="117">+AC59*(1+AD$1)</f>
        <v>1502.8200000000002</v>
      </c>
      <c r="AE59" s="146">
        <f t="shared" ref="AE59:AE62" si="118">+AD59*(1+AE$1)</f>
        <v>1516.2541380128052</v>
      </c>
      <c r="AF59" s="146">
        <f t="shared" ref="AF59:AF62" si="119">+AE59*(1+AF$1)</f>
        <v>1520.9820042684369</v>
      </c>
      <c r="AG59" s="146">
        <f t="shared" ref="AG59:AG62" si="120">+AF59*(1+AG$1)</f>
        <v>1541.872034882618</v>
      </c>
      <c r="AH59" s="451"/>
      <c r="AI59" s="146">
        <v>1661.6154155375864</v>
      </c>
      <c r="AJ59" s="451"/>
      <c r="AK59" s="147"/>
      <c r="AL59" s="144">
        <f>+SUMIFS($B59:AF59,$B$4:AF$4,"="&amp;AL$3)</f>
        <v>2704</v>
      </c>
      <c r="AM59" s="144">
        <f>+SUMIFS($B59:AG59,$B$4:AG$4,"="&amp;AM$3)</f>
        <v>1931</v>
      </c>
      <c r="AN59" s="144">
        <f>+SUMIFS($B59:AG59,$B$4:AG$4,"="&amp;AN$3)</f>
        <v>1714</v>
      </c>
      <c r="AO59" s="144">
        <f>+SUMIFS($B59:AG59,$B$4:AG$4,"="&amp;AO$3)</f>
        <v>1966</v>
      </c>
      <c r="AP59" s="144">
        <f>+SUMIFS($B59:AG59,$B$4:AG$4,"="&amp;AP$3)</f>
        <v>1728</v>
      </c>
      <c r="AQ59" s="144">
        <f>+SUMIFS($B59:AG59,$B$4:AG$4,"="&amp;AQ$3)</f>
        <v>1775</v>
      </c>
      <c r="AR59" s="144">
        <f>+SUMIFS($B59:AG59,$B$4:AG$4,"="&amp;AR$3)</f>
        <v>1489.7314346691962</v>
      </c>
      <c r="AS59" s="144">
        <f>+SUMIFS($B59:AK59,$B$4:AK$4,"="&amp;AS$3)</f>
        <v>1541.872034882618</v>
      </c>
      <c r="AT59" s="146">
        <f t="shared" ref="AT59:AT60" si="121">+AS59*(1+AT$1)</f>
        <v>1595.8375561035098</v>
      </c>
      <c r="AU59" s="146">
        <f t="shared" ref="AU59:AU60" si="122">+AT59*(1+AU$1)</f>
        <v>1651.6918705671328</v>
      </c>
      <c r="AV59" s="146">
        <f t="shared" ref="AV59:AV60" si="123">+AU59*(1+AV$1)</f>
        <v>1709.5010860369828</v>
      </c>
      <c r="AW59" s="146">
        <f t="shared" ref="AW59:AW60" si="124">+AV59*(1+AW$1)</f>
        <v>1769.3336240482774</v>
      </c>
      <c r="AX59" s="146">
        <f t="shared" ref="AX59:AX60" si="125">+AW59*(1+AX$1)</f>
        <v>1831.2603008899673</v>
      </c>
      <c r="AY59" s="146">
        <f t="shared" ref="AY59:AY60" si="126">+AX59*(1+AY$1)</f>
        <v>1895.3544114211165</v>
      </c>
      <c r="AZ59" s="146">
        <f t="shared" ref="AZ59:AZ60" si="127">+AY59*(1+AZ$1)</f>
        <v>1961.6918158208559</v>
      </c>
      <c r="BA59" s="146">
        <f t="shared" ref="BA59:BA60" si="128">+AZ59*(1+BA$1)</f>
        <v>2030.3510293745862</v>
      </c>
      <c r="BB59" s="146">
        <f t="shared" ref="BB59:BB60" si="129">+BA59*(1+BB$1)</f>
        <v>2101.4133154026972</v>
      </c>
    </row>
    <row r="60" spans="1:54" s="143" customFormat="1" x14ac:dyDescent="0.25">
      <c r="A60" s="142" t="s">
        <v>204</v>
      </c>
      <c r="B60" s="505">
        <v>5077</v>
      </c>
      <c r="C60" s="505">
        <v>5237</v>
      </c>
      <c r="D60" s="505">
        <v>5588</v>
      </c>
      <c r="E60" s="505">
        <v>5806</v>
      </c>
      <c r="F60" s="505">
        <v>7736</v>
      </c>
      <c r="G60" s="505">
        <v>7669</v>
      </c>
      <c r="H60" s="505">
        <v>6808</v>
      </c>
      <c r="I60" s="505">
        <v>5331</v>
      </c>
      <c r="J60" s="505">
        <v>4944</v>
      </c>
      <c r="K60" s="505">
        <v>4717</v>
      </c>
      <c r="L60" s="505">
        <v>4636</v>
      </c>
      <c r="M60" s="505">
        <v>4501</v>
      </c>
      <c r="N60" s="499">
        <v>4075</v>
      </c>
      <c r="O60" s="499">
        <v>3740</v>
      </c>
      <c r="P60" s="499">
        <v>3235</v>
      </c>
      <c r="Q60" s="499">
        <v>3401</v>
      </c>
      <c r="R60" s="499">
        <v>3058</v>
      </c>
      <c r="S60" s="499">
        <v>2845</v>
      </c>
      <c r="T60" s="499">
        <v>2641</v>
      </c>
      <c r="U60" s="499">
        <v>2493</v>
      </c>
      <c r="V60" s="499">
        <v>2338</v>
      </c>
      <c r="W60" s="499">
        <v>2211</v>
      </c>
      <c r="X60" s="499">
        <v>2128</v>
      </c>
      <c r="Y60" s="499">
        <v>2055</v>
      </c>
      <c r="Z60" s="499">
        <v>1911</v>
      </c>
      <c r="AA60" s="146">
        <f t="shared" si="114"/>
        <v>1928.0829758337463</v>
      </c>
      <c r="AB60" s="146">
        <f t="shared" si="115"/>
        <v>1934.0949748852045</v>
      </c>
      <c r="AC60" s="146">
        <f t="shared" si="116"/>
        <v>1960.6589336452023</v>
      </c>
      <c r="AD60" s="146">
        <f t="shared" si="117"/>
        <v>1977.885</v>
      </c>
      <c r="AE60" s="146">
        <f t="shared" si="118"/>
        <v>1995.5658799879275</v>
      </c>
      <c r="AF60" s="146">
        <f t="shared" si="119"/>
        <v>2001.7882990061867</v>
      </c>
      <c r="AG60" s="146">
        <f t="shared" si="120"/>
        <v>2029.2819963227846</v>
      </c>
      <c r="AH60" s="451"/>
      <c r="AI60" s="146">
        <v>2148.1880949355918</v>
      </c>
      <c r="AJ60" s="451"/>
      <c r="AK60" s="147"/>
      <c r="AL60" s="144">
        <f>+SUMIFS($B60:AF60,$B$4:AF$4,"="&amp;AL$3)</f>
        <v>5806</v>
      </c>
      <c r="AM60" s="144">
        <f>+SUMIFS($B60:AG60,$B$4:AG$4,"="&amp;AM$3)</f>
        <v>5331</v>
      </c>
      <c r="AN60" s="144">
        <f>+SUMIFS($B60:AG60,$B$4:AG$4,"="&amp;AN$3)</f>
        <v>4501</v>
      </c>
      <c r="AO60" s="144">
        <f>+SUMIFS($B60:AG60,$B$4:AG$4,"="&amp;AO$3)</f>
        <v>3401</v>
      </c>
      <c r="AP60" s="144">
        <f>+SUMIFS($B60:AG60,$B$4:AG$4,"="&amp;AP$3)</f>
        <v>2493</v>
      </c>
      <c r="AQ60" s="144">
        <f>+SUMIFS($B60:AG60,$B$4:AG$4,"="&amp;AQ$3)</f>
        <v>2055</v>
      </c>
      <c r="AR60" s="144">
        <f>+SUMIFS($B60:AG60,$B$4:AG$4,"="&amp;AR$3)</f>
        <v>1960.6589336452023</v>
      </c>
      <c r="AS60" s="144">
        <f>+SUMIFS($B60:AK60,$B$4:AK$4,"="&amp;AS$3)</f>
        <v>2029.2819963227846</v>
      </c>
      <c r="AT60" s="146">
        <f t="shared" si="121"/>
        <v>2100.3068661940824</v>
      </c>
      <c r="AU60" s="146">
        <f t="shared" si="122"/>
        <v>2173.8176065108755</v>
      </c>
      <c r="AV60" s="146">
        <f t="shared" si="123"/>
        <v>2249.9012227387566</v>
      </c>
      <c r="AW60" s="146">
        <f t="shared" si="124"/>
        <v>2328.6477655346134</v>
      </c>
      <c r="AX60" s="146">
        <f t="shared" si="125"/>
        <v>2410.1504373283251</v>
      </c>
      <c r="AY60" s="146">
        <f t="shared" si="126"/>
        <v>2494.5057026348168</v>
      </c>
      <c r="AZ60" s="146">
        <f t="shared" si="127"/>
        <v>2581.8134022270356</v>
      </c>
      <c r="BA60" s="146">
        <f t="shared" si="128"/>
        <v>2672.1768713049823</v>
      </c>
      <c r="BB60" s="146">
        <f t="shared" si="129"/>
        <v>2765.703061800657</v>
      </c>
    </row>
    <row r="61" spans="1:54" x14ac:dyDescent="0.25">
      <c r="A61" s="30" t="s">
        <v>205</v>
      </c>
      <c r="B61" s="506">
        <v>12150</v>
      </c>
      <c r="C61" s="506">
        <v>7927</v>
      </c>
      <c r="D61" s="506">
        <v>5795</v>
      </c>
      <c r="E61" s="506">
        <v>5553</v>
      </c>
      <c r="F61" s="506">
        <v>6485</v>
      </c>
      <c r="G61" s="506">
        <v>8223</v>
      </c>
      <c r="H61" s="506">
        <v>8922</v>
      </c>
      <c r="I61" s="506">
        <v>11494</v>
      </c>
      <c r="J61" s="506">
        <v>14981</v>
      </c>
      <c r="K61" s="506">
        <v>16929</v>
      </c>
      <c r="L61" s="506">
        <v>18882</v>
      </c>
      <c r="M61" s="506">
        <v>22191</v>
      </c>
      <c r="N61" s="112">
        <v>21074</v>
      </c>
      <c r="O61" s="112">
        <v>17545</v>
      </c>
      <c r="P61" s="112">
        <v>30171</v>
      </c>
      <c r="Q61" s="112">
        <f>38239+13934</f>
        <v>52173</v>
      </c>
      <c r="R61" s="112">
        <f>38171+12035</f>
        <v>50206</v>
      </c>
      <c r="S61" s="112">
        <f>40582+0</f>
        <v>40582</v>
      </c>
      <c r="T61" s="112">
        <f>38980+0</f>
        <v>38980</v>
      </c>
      <c r="U61" s="112">
        <f>32293+0</f>
        <v>32293</v>
      </c>
      <c r="V61" s="112">
        <v>19097</v>
      </c>
      <c r="W61" s="112">
        <f>19566+0</f>
        <v>19566</v>
      </c>
      <c r="X61" s="112">
        <v>22619</v>
      </c>
      <c r="Y61" s="112">
        <v>27472</v>
      </c>
      <c r="Z61" s="112">
        <v>25163</v>
      </c>
      <c r="AA61" s="16">
        <f t="shared" si="114"/>
        <v>25387.939257406888</v>
      </c>
      <c r="AB61" s="16">
        <f t="shared" si="115"/>
        <v>25467.101963912297</v>
      </c>
      <c r="AC61" s="16">
        <f t="shared" si="116"/>
        <v>25816.881605083323</v>
      </c>
      <c r="AD61" s="16">
        <f t="shared" si="117"/>
        <v>26043.705000000002</v>
      </c>
      <c r="AE61" s="16">
        <f t="shared" si="118"/>
        <v>26276.517131416131</v>
      </c>
      <c r="AF61" s="16">
        <f t="shared" si="119"/>
        <v>26358.450532649229</v>
      </c>
      <c r="AG61" s="16">
        <f t="shared" si="120"/>
        <v>26720.472461261241</v>
      </c>
      <c r="AH61" s="450"/>
      <c r="AI61" s="16">
        <v>22833.583890671121</v>
      </c>
      <c r="AJ61" s="450"/>
      <c r="AK61" s="4"/>
      <c r="AL61" s="141">
        <f>+SUMIFS($B61:AF61,$B$4:AF$4,"="&amp;AL$3)</f>
        <v>5553</v>
      </c>
      <c r="AM61" s="141">
        <f>+SUMIFS($B61:AG61,$B$4:AG$4,"="&amp;AM$3)</f>
        <v>11494</v>
      </c>
      <c r="AN61" s="141">
        <f>+SUMIFS($B61:AG61,$B$4:AG$4,"="&amp;AN$3)</f>
        <v>22191</v>
      </c>
      <c r="AO61" s="141">
        <f>+SUMIFS($B61:AG61,$B$4:AG$4,"="&amp;AO$3)</f>
        <v>52173</v>
      </c>
      <c r="AP61" s="141">
        <f>+SUMIFS($B61:AG61,$B$4:AG$4,"="&amp;AP$3)</f>
        <v>32293</v>
      </c>
      <c r="AQ61" s="141">
        <f>+SUMIFS($B61:AG61,$B$4:AG$4,"="&amp;AQ$3)</f>
        <v>27472</v>
      </c>
      <c r="AR61" s="141">
        <f>+SUMIFS($B61:AG61,$B$4:AG$4,"="&amp;AR$3)</f>
        <v>25816.881605083323</v>
      </c>
      <c r="AS61" s="141">
        <f>+SUMIFS($B61:AK61,$B$4:AK$4,"="&amp;AS$3)</f>
        <v>26720.472461261241</v>
      </c>
      <c r="AT61" s="16">
        <f t="shared" ref="AT61:AT62" si="130">+AS61*(1+AT$1)</f>
        <v>27655.688997405388</v>
      </c>
      <c r="AU61" s="16">
        <f t="shared" ref="AU61:AU62" si="131">+AT61*(1+AU$1)</f>
        <v>28623.63811231458</v>
      </c>
      <c r="AV61" s="16">
        <f t="shared" ref="AV61:AV62" si="132">+AU61*(1+AV$1)</f>
        <v>29625.465446245595</v>
      </c>
      <c r="AW61" s="16">
        <f t="shared" ref="AW61:AW62" si="133">+AV61*(1+AW$1)</f>
        <v>30662.356736864196</v>
      </c>
      <c r="AX61" s="16">
        <f t="shared" ref="AX61:AX62" si="134">+AW61*(1+AX$1)</f>
        <v>31735.539222654446</v>
      </c>
      <c r="AY61" s="16">
        <f t="shared" ref="AY61:AY62" si="135">+AX61*(1+AY$1)</f>
        <v>32846.283095447354</v>
      </c>
      <c r="AZ61" s="16">
        <f t="shared" ref="AZ61:AZ62" si="136">+AY61*(1+AZ$1)</f>
        <v>33995.903003788015</v>
      </c>
      <c r="BA61" s="16">
        <f t="shared" ref="BA61:BA62" si="137">+AZ61*(1+BA$1)</f>
        <v>35185.759608920598</v>
      </c>
      <c r="BB61" s="16">
        <f t="shared" ref="BB61:BB62" si="138">+BA61*(1+BB$1)</f>
        <v>36417.261195232823</v>
      </c>
    </row>
    <row r="62" spans="1:54" x14ac:dyDescent="0.25">
      <c r="A62" s="30" t="s">
        <v>206</v>
      </c>
      <c r="B62" s="504">
        <v>322</v>
      </c>
      <c r="C62" s="504">
        <v>494</v>
      </c>
      <c r="D62" s="504">
        <v>879</v>
      </c>
      <c r="E62" s="504">
        <v>775</v>
      </c>
      <c r="F62" s="504">
        <v>1195</v>
      </c>
      <c r="G62" s="504">
        <v>1771</v>
      </c>
      <c r="H62" s="504">
        <v>1518</v>
      </c>
      <c r="I62" s="504">
        <v>1495</v>
      </c>
      <c r="J62" s="504">
        <v>856</v>
      </c>
      <c r="K62" s="504">
        <v>615</v>
      </c>
      <c r="L62" s="504">
        <v>471</v>
      </c>
      <c r="M62" s="504">
        <v>344</v>
      </c>
      <c r="N62" s="112">
        <v>318</v>
      </c>
      <c r="O62" s="112">
        <v>449</v>
      </c>
      <c r="P62" s="112">
        <v>496</v>
      </c>
      <c r="Q62" s="112">
        <v>457</v>
      </c>
      <c r="R62" s="112">
        <v>373</v>
      </c>
      <c r="S62" s="112">
        <v>305</v>
      </c>
      <c r="T62" s="112">
        <v>395</v>
      </c>
      <c r="U62" s="112">
        <v>268</v>
      </c>
      <c r="V62" s="112">
        <v>266</v>
      </c>
      <c r="W62" s="112">
        <v>308</v>
      </c>
      <c r="X62" s="112">
        <v>278</v>
      </c>
      <c r="Y62" s="112">
        <v>249</v>
      </c>
      <c r="Z62" s="112">
        <v>280</v>
      </c>
      <c r="AA62" s="16">
        <f t="shared" si="114"/>
        <v>282.50300012216064</v>
      </c>
      <c r="AB62" s="16">
        <f t="shared" si="115"/>
        <v>283.38387910405925</v>
      </c>
      <c r="AC62" s="16">
        <f t="shared" si="116"/>
        <v>287.27603423372926</v>
      </c>
      <c r="AD62" s="16">
        <f t="shared" si="117"/>
        <v>289.8</v>
      </c>
      <c r="AE62" s="16">
        <f t="shared" si="118"/>
        <v>292.3906051264363</v>
      </c>
      <c r="AF62" s="16">
        <f t="shared" si="119"/>
        <v>293.30231487270134</v>
      </c>
      <c r="AG62" s="16">
        <f t="shared" si="120"/>
        <v>297.33069543190982</v>
      </c>
      <c r="AH62" s="450"/>
      <c r="AI62" s="16">
        <v>280.6373545075632</v>
      </c>
      <c r="AJ62" s="450"/>
      <c r="AK62" s="4"/>
      <c r="AL62" s="141">
        <f>+SUMIFS($B62:AF62,$B$4:AF$4,"="&amp;AL$3)</f>
        <v>775</v>
      </c>
      <c r="AM62" s="141">
        <f>+SUMIFS($B62:AG62,$B$4:AG$4,"="&amp;AM$3)</f>
        <v>1495</v>
      </c>
      <c r="AN62" s="141">
        <f>+SUMIFS($B62:AG62,$B$4:AG$4,"="&amp;AN$3)</f>
        <v>344</v>
      </c>
      <c r="AO62" s="141">
        <f>+SUMIFS($B62:AG62,$B$4:AG$4,"="&amp;AO$3)</f>
        <v>457</v>
      </c>
      <c r="AP62" s="141">
        <f>+SUMIFS($B62:AG62,$B$4:AG$4,"="&amp;AP$3)</f>
        <v>268</v>
      </c>
      <c r="AQ62" s="141">
        <f>+SUMIFS($B62:AG62,$B$4:AG$4,"="&amp;AQ$3)</f>
        <v>249</v>
      </c>
      <c r="AR62" s="141">
        <f>+SUMIFS($B62:AG62,$B$4:AG$4,"="&amp;AR$3)</f>
        <v>287.27603423372926</v>
      </c>
      <c r="AS62" s="141">
        <f>+SUMIFS($B62:AK62,$B$4:AK$4,"="&amp;AS$3)</f>
        <v>297.33069543190982</v>
      </c>
      <c r="AT62" s="16">
        <f t="shared" si="130"/>
        <v>307.73726977202671</v>
      </c>
      <c r="AU62" s="16">
        <f t="shared" si="131"/>
        <v>318.50807421404767</v>
      </c>
      <c r="AV62" s="16">
        <f t="shared" si="132"/>
        <v>329.65585681153937</v>
      </c>
      <c r="AW62" s="16">
        <f t="shared" si="133"/>
        <v>341.19381179994326</v>
      </c>
      <c r="AX62" s="16">
        <f t="shared" si="134"/>
        <v>353.13559521294133</v>
      </c>
      <c r="AY62" s="16">
        <f t="shared" si="135"/>
        <v>365.4953410453943</v>
      </c>
      <c r="AZ62" s="16">
        <f t="shared" si="136"/>
        <v>378.28767798198317</v>
      </c>
      <c r="BA62" s="16">
        <f t="shared" si="137"/>
        <v>391.52774671135262</v>
      </c>
      <c r="BB62" s="16">
        <f t="shared" si="138"/>
        <v>405.23121784624999</v>
      </c>
    </row>
    <row r="63" spans="1:54" x14ac:dyDescent="0.25">
      <c r="A63" s="30" t="s">
        <v>207</v>
      </c>
      <c r="B63" s="504"/>
      <c r="C63" s="504"/>
      <c r="D63" s="504"/>
      <c r="E63" s="504"/>
      <c r="F63" s="504"/>
      <c r="G63" s="504"/>
      <c r="H63" s="504"/>
      <c r="I63" s="504"/>
      <c r="J63" s="504"/>
      <c r="K63" s="504"/>
      <c r="L63" s="504"/>
      <c r="M63" s="504"/>
      <c r="N63" s="504"/>
      <c r="O63" s="504"/>
      <c r="P63" s="504"/>
      <c r="Q63" s="504"/>
      <c r="R63" s="504"/>
      <c r="S63" s="504"/>
      <c r="T63" s="504"/>
      <c r="U63" s="504"/>
      <c r="V63" s="504"/>
      <c r="W63" s="504"/>
      <c r="X63" s="504"/>
      <c r="Y63" s="504"/>
      <c r="Z63" s="504"/>
      <c r="AA63" s="148">
        <f t="shared" si="92"/>
        <v>0</v>
      </c>
      <c r="AB63" s="148">
        <f t="shared" si="92"/>
        <v>0</v>
      </c>
      <c r="AC63" s="148">
        <f t="shared" si="92"/>
        <v>0</v>
      </c>
      <c r="AD63" s="148">
        <f t="shared" si="92"/>
        <v>0</v>
      </c>
      <c r="AE63" s="148">
        <f t="shared" si="92"/>
        <v>0</v>
      </c>
      <c r="AF63" s="148">
        <f t="shared" si="92"/>
        <v>0</v>
      </c>
      <c r="AG63" s="148">
        <f t="shared" si="92"/>
        <v>0</v>
      </c>
      <c r="AH63" s="452"/>
      <c r="AI63" s="148">
        <v>0</v>
      </c>
      <c r="AJ63" s="452"/>
      <c r="AK63" s="4"/>
      <c r="AL63" s="141">
        <f>+SUMIFS($B63:AF63,$B$4:AF$4,"="&amp;AL$3)</f>
        <v>0</v>
      </c>
      <c r="AM63" s="141">
        <f>+SUMIFS($B63:AG63,$B$4:AG$4,"="&amp;AM$3)</f>
        <v>0</v>
      </c>
      <c r="AN63" s="141">
        <f>+SUMIFS($B63:AG63,$B$4:AG$4,"="&amp;AN$3)</f>
        <v>0</v>
      </c>
      <c r="AO63" s="141">
        <f>+SUMIFS($B63:AG63,$B$4:AG$4,"="&amp;AO$3)</f>
        <v>0</v>
      </c>
      <c r="AP63" s="141">
        <f>+SUMIFS($B63:AG63,$B$4:AG$4,"="&amp;AP$3)</f>
        <v>0</v>
      </c>
      <c r="AQ63" s="141">
        <f>+SUMIFS($B63:AG63,$B$4:AG$4,"="&amp;AQ$3)</f>
        <v>0</v>
      </c>
      <c r="AR63" s="141">
        <f>+SUMIFS($B63:AG63,$B$4:AG$4,"="&amp;AR$3)</f>
        <v>0</v>
      </c>
      <c r="AS63" s="141">
        <f>+SUMIFS($B63:AK63,$B$4:AK$4,"="&amp;AS$3)</f>
        <v>0</v>
      </c>
      <c r="AT63" s="148">
        <f t="shared" ref="AT63" si="139">+AS63</f>
        <v>0</v>
      </c>
      <c r="AU63" s="148">
        <f t="shared" ref="AU63" si="140">+AT63</f>
        <v>0</v>
      </c>
      <c r="AV63" s="148">
        <f t="shared" ref="AV63" si="141">+AU63</f>
        <v>0</v>
      </c>
      <c r="AW63" s="148">
        <f t="shared" ref="AW63" si="142">+AV63</f>
        <v>0</v>
      </c>
      <c r="AX63" s="148">
        <f t="shared" ref="AX63" si="143">+AW63</f>
        <v>0</v>
      </c>
      <c r="AY63" s="148">
        <f t="shared" ref="AY63" si="144">+AX63</f>
        <v>0</v>
      </c>
      <c r="AZ63" s="148">
        <f t="shared" ref="AZ63" si="145">+AY63</f>
        <v>0</v>
      </c>
      <c r="BA63" s="148">
        <f t="shared" ref="BA63" si="146">+AZ63</f>
        <v>0</v>
      </c>
      <c r="BB63" s="148">
        <f t="shared" ref="BB63" si="147">+BA63</f>
        <v>0</v>
      </c>
    </row>
    <row r="64" spans="1:54" x14ac:dyDescent="0.25">
      <c r="A64" s="30" t="s">
        <v>208</v>
      </c>
      <c r="B64" s="504">
        <v>5206</v>
      </c>
      <c r="C64" s="504">
        <v>3783</v>
      </c>
      <c r="D64" s="504">
        <v>4031</v>
      </c>
      <c r="E64" s="504">
        <v>4434</v>
      </c>
      <c r="F64" s="504">
        <v>4094</v>
      </c>
      <c r="G64" s="504">
        <v>4151</v>
      </c>
      <c r="H64" s="504">
        <v>5080</v>
      </c>
      <c r="I64" s="504">
        <v>4996</v>
      </c>
      <c r="J64" s="504">
        <v>4812</v>
      </c>
      <c r="K64" s="504">
        <v>5931</v>
      </c>
      <c r="L64" s="504">
        <v>7282</v>
      </c>
      <c r="M64" s="504">
        <v>5109</v>
      </c>
      <c r="N64" s="112">
        <f>10239+1132+507</f>
        <v>11878</v>
      </c>
      <c r="O64" s="112">
        <f>6356+1125+401</f>
        <v>7882</v>
      </c>
      <c r="P64" s="112">
        <f>8076+1114+469</f>
        <v>9659</v>
      </c>
      <c r="Q64" s="112">
        <f>6278+1090+589</f>
        <v>7957</v>
      </c>
      <c r="R64" s="112">
        <f>1112+7254+646</f>
        <v>9012</v>
      </c>
      <c r="S64" s="112">
        <f>1152+6400+476</f>
        <v>8028</v>
      </c>
      <c r="T64" s="112">
        <f>1140+7885+557</f>
        <v>9582</v>
      </c>
      <c r="U64" s="112">
        <f>1103+7755+746</f>
        <v>9604</v>
      </c>
      <c r="V64" s="112">
        <f>1265+9142+819</f>
        <v>11226</v>
      </c>
      <c r="W64" s="112">
        <f>1274+10243+605</f>
        <v>12122</v>
      </c>
      <c r="X64" s="112">
        <f>1292+11792+686</f>
        <v>13770</v>
      </c>
      <c r="Y64" s="112">
        <f>+Y51-Y52-Y58-Y59-Y60-Y61-Y62-Y56-Y57-Y65</f>
        <v>7146</v>
      </c>
      <c r="Z64" s="112">
        <f t="shared" ref="Z64:AG64" si="148">+Y64*(1+Z$1)</f>
        <v>7208.7837244198945</v>
      </c>
      <c r="AA64" s="16">
        <f t="shared" si="148"/>
        <v>7273.2251049300821</v>
      </c>
      <c r="AB64" s="16">
        <f t="shared" si="148"/>
        <v>7295.9039123154189</v>
      </c>
      <c r="AC64" s="16">
        <f t="shared" si="148"/>
        <v>7396.11</v>
      </c>
      <c r="AD64" s="16">
        <f t="shared" si="148"/>
        <v>7461.09115477459</v>
      </c>
      <c r="AE64" s="16">
        <f t="shared" si="148"/>
        <v>7527.7879836026341</v>
      </c>
      <c r="AF64" s="16">
        <f t="shared" si="148"/>
        <v>7551.2605492464581</v>
      </c>
      <c r="AG64" s="16">
        <f t="shared" si="148"/>
        <v>7654.9738499999994</v>
      </c>
      <c r="AH64" s="450"/>
      <c r="AI64" s="16">
        <v>13900.634430104839</v>
      </c>
      <c r="AJ64" s="450"/>
      <c r="AK64" s="4"/>
      <c r="AL64" s="141">
        <f>+SUMIFS($B64:AF64,$B$4:AF$4,"="&amp;AL$3)</f>
        <v>4434</v>
      </c>
      <c r="AM64" s="141">
        <f>+SUMIFS($B64:AG64,$B$4:AG$4,"="&amp;AM$3)</f>
        <v>4996</v>
      </c>
      <c r="AN64" s="141">
        <f>+SUMIFS($B64:AG64,$B$4:AG$4,"="&amp;AN$3)</f>
        <v>5109</v>
      </c>
      <c r="AO64" s="141">
        <f>+SUMIFS($B64:AG64,$B$4:AG$4,"="&amp;AO$3)</f>
        <v>7957</v>
      </c>
      <c r="AP64" s="141">
        <f>+SUMIFS($B64:AG64,$B$4:AG$4,"="&amp;AP$3)</f>
        <v>9604</v>
      </c>
      <c r="AQ64" s="141">
        <f>+SUMIFS($B64:AG64,$B$4:AG$4,"="&amp;AQ$3)</f>
        <v>7146</v>
      </c>
      <c r="AR64" s="141">
        <f>+SUMIFS($B64:AG64,$B$4:AG$4,"="&amp;AR$3)</f>
        <v>7396.11</v>
      </c>
      <c r="AS64" s="141">
        <f>+SUMIFS($B64:AK64,$B$4:AK$4,"="&amp;AS$3)</f>
        <v>7654.9738499999994</v>
      </c>
      <c r="AT64" s="16">
        <f t="shared" ref="AT64:BB64" si="149">+AS64*(1+AT$1)</f>
        <v>7922.8979347500008</v>
      </c>
      <c r="AU64" s="16">
        <f t="shared" si="149"/>
        <v>8200.1993624662518</v>
      </c>
      <c r="AV64" s="16">
        <f t="shared" si="149"/>
        <v>8487.206340152572</v>
      </c>
      <c r="AW64" s="16">
        <f t="shared" si="149"/>
        <v>8784.2585620579139</v>
      </c>
      <c r="AX64" s="16">
        <f t="shared" si="149"/>
        <v>9091.7076117299421</v>
      </c>
      <c r="AY64" s="16">
        <f t="shared" si="149"/>
        <v>9409.9173781404916</v>
      </c>
      <c r="AZ64" s="16">
        <f t="shared" si="149"/>
        <v>9739.2644863754103</v>
      </c>
      <c r="BA64" s="16">
        <f t="shared" si="149"/>
        <v>10080.138743398551</v>
      </c>
      <c r="BB64" s="16">
        <f t="shared" si="149"/>
        <v>10432.943599417502</v>
      </c>
    </row>
    <row r="65" spans="1:54" x14ac:dyDescent="0.25">
      <c r="A65" s="30" t="s">
        <v>209</v>
      </c>
      <c r="B65" s="504">
        <v>401</v>
      </c>
      <c r="C65" s="504">
        <v>374</v>
      </c>
      <c r="D65" s="504">
        <v>401</v>
      </c>
      <c r="E65" s="504">
        <v>376</v>
      </c>
      <c r="F65" s="504">
        <v>366</v>
      </c>
      <c r="G65" s="504">
        <v>371</v>
      </c>
      <c r="H65" s="504">
        <v>194</v>
      </c>
      <c r="I65" s="504">
        <v>233</v>
      </c>
      <c r="J65" s="504">
        <v>237</v>
      </c>
      <c r="K65" s="504">
        <v>259</v>
      </c>
      <c r="L65" s="504">
        <v>274</v>
      </c>
      <c r="M65" s="504">
        <v>314</v>
      </c>
      <c r="N65" s="112">
        <v>292</v>
      </c>
      <c r="O65" s="112">
        <v>303</v>
      </c>
      <c r="P65" s="112">
        <v>327</v>
      </c>
      <c r="Q65" s="112">
        <v>20</v>
      </c>
      <c r="R65" s="112">
        <v>38</v>
      </c>
      <c r="S65" s="112">
        <v>31</v>
      </c>
      <c r="T65" s="112">
        <v>41</v>
      </c>
      <c r="U65" s="112">
        <v>20</v>
      </c>
      <c r="V65" s="112">
        <v>18</v>
      </c>
      <c r="W65" s="112">
        <v>16</v>
      </c>
      <c r="X65" s="112">
        <v>18</v>
      </c>
      <c r="Y65" s="502">
        <v>416</v>
      </c>
      <c r="Z65" s="502">
        <v>416</v>
      </c>
      <c r="AA65" s="148">
        <f t="shared" si="92"/>
        <v>416</v>
      </c>
      <c r="AB65" s="148">
        <f t="shared" si="92"/>
        <v>416</v>
      </c>
      <c r="AC65" s="148">
        <f t="shared" si="92"/>
        <v>416</v>
      </c>
      <c r="AD65" s="148">
        <f t="shared" si="92"/>
        <v>416</v>
      </c>
      <c r="AE65" s="148">
        <f t="shared" si="92"/>
        <v>416</v>
      </c>
      <c r="AF65" s="148">
        <f t="shared" si="92"/>
        <v>416</v>
      </c>
      <c r="AG65" s="148">
        <f t="shared" si="92"/>
        <v>416</v>
      </c>
      <c r="AH65" s="452"/>
      <c r="AI65" s="148">
        <v>18</v>
      </c>
      <c r="AJ65" s="452"/>
      <c r="AK65" s="4"/>
      <c r="AL65" s="141">
        <f>+SUMIFS($B65:AF65,$B$4:AF$4,"="&amp;AL$3)</f>
        <v>376</v>
      </c>
      <c r="AM65" s="141">
        <f>+SUMIFS($B65:AG65,$B$4:AG$4,"="&amp;AM$3)</f>
        <v>233</v>
      </c>
      <c r="AN65" s="141">
        <f>+SUMIFS($B65:AG65,$B$4:AG$4,"="&amp;AN$3)</f>
        <v>314</v>
      </c>
      <c r="AO65" s="141">
        <f>+SUMIFS($B65:AG65,$B$4:AG$4,"="&amp;AO$3)</f>
        <v>20</v>
      </c>
      <c r="AP65" s="141">
        <f>+SUMIFS($B65:AG65,$B$4:AG$4,"="&amp;AP$3)</f>
        <v>20</v>
      </c>
      <c r="AQ65" s="141">
        <f>+SUMIFS($B65:AG65,$B$4:AG$4,"="&amp;AQ$3)</f>
        <v>416</v>
      </c>
      <c r="AR65" s="141">
        <f>+SUMIFS($B65:AG65,$B$4:AG$4,"="&amp;AR$3)</f>
        <v>416</v>
      </c>
      <c r="AS65" s="141">
        <f>+SUMIFS($B65:AK65,$B$4:AK$4,"="&amp;AS$3)</f>
        <v>416</v>
      </c>
      <c r="AT65" s="16">
        <f t="shared" ref="AT65" si="150">+AS65*(1+AT$1)</f>
        <v>430.56000000000006</v>
      </c>
      <c r="AU65" s="16">
        <f t="shared" ref="AU65" si="151">+AT65*(1+AU$1)</f>
        <v>445.6296000000001</v>
      </c>
      <c r="AV65" s="16">
        <f t="shared" ref="AV65" si="152">+AU65*(1+AV$1)</f>
        <v>461.22663600000016</v>
      </c>
      <c r="AW65" s="16">
        <f t="shared" ref="AW65" si="153">+AV65*(1+AW$1)</f>
        <v>477.36956826000022</v>
      </c>
      <c r="AX65" s="16">
        <f t="shared" ref="AX65" si="154">+AW65*(1+AX$1)</f>
        <v>494.07750314910032</v>
      </c>
      <c r="AY65" s="16">
        <f t="shared" ref="AY65" si="155">+AX65*(1+AY$1)</f>
        <v>511.37021575931891</v>
      </c>
      <c r="AZ65" s="16">
        <f t="shared" ref="AZ65" si="156">+AY65*(1+AZ$1)</f>
        <v>529.26817331089512</v>
      </c>
      <c r="BA65" s="16">
        <f t="shared" ref="BA65" si="157">+AZ65*(1+BA$1)</f>
        <v>547.79255937677658</v>
      </c>
      <c r="BB65" s="16">
        <f t="shared" ref="BB65" si="158">+BA65*(1+BB$1)</f>
        <v>566.96529895496383</v>
      </c>
    </row>
    <row r="67" spans="1:54" s="163" customFormat="1" x14ac:dyDescent="0.25">
      <c r="A67" s="150" t="s">
        <v>210</v>
      </c>
      <c r="B67" s="159">
        <v>17210</v>
      </c>
      <c r="C67" s="159">
        <v>17961</v>
      </c>
      <c r="D67" s="159">
        <v>18794</v>
      </c>
      <c r="E67" s="159">
        <v>19687</v>
      </c>
      <c r="F67" s="159">
        <v>20486</v>
      </c>
      <c r="G67" s="160">
        <v>20984</v>
      </c>
      <c r="H67" s="160">
        <v>21809</v>
      </c>
      <c r="I67" s="160">
        <v>22190</v>
      </c>
      <c r="J67" s="160">
        <v>23244</v>
      </c>
      <c r="K67" s="160">
        <v>22493</v>
      </c>
      <c r="L67" s="160">
        <v>23508</v>
      </c>
      <c r="M67" s="160">
        <v>24408</v>
      </c>
      <c r="N67" s="161">
        <v>21481</v>
      </c>
      <c r="O67" s="161">
        <v>22707</v>
      </c>
      <c r="P67" s="161">
        <v>23921</v>
      </c>
      <c r="Q67" s="161">
        <v>25238</v>
      </c>
      <c r="R67" s="161">
        <v>26302</v>
      </c>
      <c r="S67" s="161">
        <v>26347</v>
      </c>
      <c r="T67" s="161">
        <v>28003</v>
      </c>
      <c r="U67" s="161">
        <v>28298</v>
      </c>
      <c r="V67" s="161">
        <v>29934</v>
      </c>
      <c r="W67" s="161">
        <v>30285</v>
      </c>
      <c r="X67" s="161">
        <v>31885</v>
      </c>
      <c r="Y67" s="509">
        <v>32408</v>
      </c>
      <c r="Z67" s="509">
        <v>34195</v>
      </c>
      <c r="AA67" s="344">
        <f>+Z67+AA20-AA72</f>
        <v>34204.25</v>
      </c>
      <c r="AB67" s="344">
        <f t="shared" ref="AB67:AG67" si="159">+AA67+AB20-AB72</f>
        <v>35734.25</v>
      </c>
      <c r="AC67" s="344">
        <f t="shared" si="159"/>
        <v>37551.25</v>
      </c>
      <c r="AD67" s="344">
        <f t="shared" si="159"/>
        <v>39283.532544473157</v>
      </c>
      <c r="AE67" s="344">
        <f t="shared" si="159"/>
        <v>38819.126092820406</v>
      </c>
      <c r="AF67" s="344">
        <f t="shared" si="159"/>
        <v>40392.416761872119</v>
      </c>
      <c r="AG67" s="344">
        <f t="shared" si="159"/>
        <v>41958.334824516649</v>
      </c>
      <c r="AH67" s="457"/>
      <c r="AI67" s="344">
        <v>30045.683239632606</v>
      </c>
      <c r="AJ67" s="457"/>
      <c r="AK67" s="162"/>
      <c r="AL67" s="156">
        <f>+SUMIFS($B67:AF67,$B$4:AF$4,"="&amp;AL$3)</f>
        <v>19687</v>
      </c>
      <c r="AM67" s="156">
        <f>+SUMIFS($B67:AG67,$B$4:AG$4,"="&amp;AM$3)</f>
        <v>22190</v>
      </c>
      <c r="AN67" s="156">
        <f>+SUMIFS($B67:AG67,$B$4:AG$4,"="&amp;AN$3)</f>
        <v>24408</v>
      </c>
      <c r="AO67" s="156">
        <f>+SUMIFS($B67:AG67,$B$4:AG$4,"="&amp;AO$3)</f>
        <v>25238</v>
      </c>
      <c r="AP67" s="156">
        <f>+SUMIFS($B67:AG67,$B$4:AG$4,"="&amp;AP$3)</f>
        <v>28298</v>
      </c>
      <c r="AQ67" s="156">
        <f>+SUMIFS($B67:AG67,$B$4:AG$4,"="&amp;AQ$3)</f>
        <v>32408</v>
      </c>
      <c r="AR67" s="156">
        <f>+SUMIFS($B67:AG67,$B$4:AG$4,"="&amp;AR$3)</f>
        <v>37551.25</v>
      </c>
      <c r="AS67" s="156">
        <f>+SUMIFS($B67:AK67,$B$4:AK$4,"="&amp;AS$3)</f>
        <v>41958.334824516649</v>
      </c>
      <c r="AT67" s="344">
        <f t="shared" ref="AT67:BB67" si="160">+AS67+AT20-AT72</f>
        <v>47288.360791465144</v>
      </c>
      <c r="AU67" s="344">
        <f t="shared" si="160"/>
        <v>53229.02565687953</v>
      </c>
      <c r="AV67" s="344">
        <f t="shared" si="160"/>
        <v>59653.107268976557</v>
      </c>
      <c r="AW67" s="344">
        <f t="shared" si="160"/>
        <v>66669.938459302051</v>
      </c>
      <c r="AX67" s="344">
        <f t="shared" si="160"/>
        <v>74325.343052325959</v>
      </c>
      <c r="AY67" s="344">
        <f t="shared" si="160"/>
        <v>82517.044072270175</v>
      </c>
      <c r="AZ67" s="344">
        <f t="shared" si="160"/>
        <v>91224.125163836798</v>
      </c>
      <c r="BA67" s="344">
        <f t="shared" si="160"/>
        <v>100515.87394599352</v>
      </c>
      <c r="BB67" s="344">
        <f t="shared" si="160"/>
        <v>110435.04128069326</v>
      </c>
    </row>
    <row r="68" spans="1:54" x14ac:dyDescent="0.25">
      <c r="A68" s="30" t="s">
        <v>211</v>
      </c>
      <c r="B68" s="33"/>
      <c r="C68" s="33"/>
      <c r="D68" s="33"/>
      <c r="E68" s="33"/>
      <c r="F68" s="33"/>
      <c r="G68" s="33"/>
      <c r="H68" s="33"/>
      <c r="I68" s="33"/>
      <c r="J68" s="34">
        <v>0</v>
      </c>
      <c r="K68" s="34">
        <v>0</v>
      </c>
      <c r="L68" s="34">
        <v>0</v>
      </c>
      <c r="M68" s="34">
        <v>0</v>
      </c>
      <c r="N68" s="135">
        <v>0</v>
      </c>
      <c r="O68" s="135">
        <v>0</v>
      </c>
      <c r="P68" s="135">
        <v>0</v>
      </c>
      <c r="Q68" s="135">
        <v>0</v>
      </c>
      <c r="R68" s="135">
        <v>0</v>
      </c>
      <c r="S68" s="135">
        <v>0</v>
      </c>
      <c r="T68" s="135">
        <v>0</v>
      </c>
      <c r="U68" s="135"/>
      <c r="V68" s="135">
        <v>0</v>
      </c>
      <c r="W68" s="135"/>
      <c r="X68" s="135"/>
      <c r="Y68" s="135"/>
      <c r="Z68" s="135"/>
      <c r="AA68" s="4"/>
      <c r="AB68" s="4"/>
      <c r="AC68" s="4"/>
      <c r="AD68" s="4"/>
      <c r="AE68" s="4"/>
      <c r="AF68" s="4"/>
      <c r="AG68" s="4"/>
      <c r="AH68" s="458"/>
      <c r="AI68" s="4"/>
      <c r="AJ68" s="458"/>
      <c r="AK68" s="4"/>
      <c r="AL68" s="141">
        <f>+SUMIFS($B68:AF68,$B$4:AF$4,"="&amp;AL$3)</f>
        <v>0</v>
      </c>
      <c r="AM68" s="141">
        <f>+SUMIFS($B68:AG68,$B$4:AG$4,"="&amp;AM$3)</f>
        <v>0</v>
      </c>
      <c r="AN68" s="141">
        <f>+SUMIFS($B68:AG68,$B$4:AG$4,"="&amp;AN$3)</f>
        <v>0</v>
      </c>
      <c r="AO68" s="141">
        <f>+SUMIFS($B68:AG68,$B$4:AG$4,"="&amp;AO$3)</f>
        <v>0</v>
      </c>
      <c r="AP68" s="141">
        <f>+SUMIFS($B68:AG68,$B$4:AG$4,"="&amp;AP$3)</f>
        <v>0</v>
      </c>
      <c r="AQ68" s="141">
        <f>+SUMIFS($B68:AG68,$B$4:AG$4,"="&amp;AQ$3)</f>
        <v>0</v>
      </c>
      <c r="AR68" s="141">
        <f>+SUMIFS($B68:AG68,$B$4:AG$4,"="&amp;AR$3)</f>
        <v>0</v>
      </c>
      <c r="AS68" s="141">
        <f>+SUMIFS($B68:AK68,$B$4:AK$4,"="&amp;AS$3)</f>
        <v>0</v>
      </c>
      <c r="AT68" s="141">
        <f>+SUMIFS($B68:AL68,$B$4:AL$4,"="&amp;AT$3)</f>
        <v>0</v>
      </c>
      <c r="AU68" s="141">
        <f>+SUMIFS($B68:AM68,$B$4:AM$4,"="&amp;AU$3)</f>
        <v>0</v>
      </c>
      <c r="AV68" s="141">
        <f>+SUMIFS($B68:AN68,$B$4:AN$4,"="&amp;AV$3)</f>
        <v>0</v>
      </c>
      <c r="AW68" s="141">
        <f>+SUMIFS($B68:AO68,$B$4:AO$4,"="&amp;AW$3)</f>
        <v>0</v>
      </c>
      <c r="AX68" s="141">
        <f>+SUMIFS($B68:AP68,$B$4:AP$4,"="&amp;AX$3)</f>
        <v>0</v>
      </c>
      <c r="AY68" s="141">
        <f>+SUMIFS($B68:AQ68,$B$4:AQ$4,"="&amp;AY$3)</f>
        <v>0</v>
      </c>
      <c r="AZ68" s="141">
        <f>+SUMIFS($B68:AR68,$B$4:AR$4,"="&amp;AZ$3)</f>
        <v>0</v>
      </c>
      <c r="BA68" s="141">
        <f>+SUMIFS($B68:AS68,$B$4:AS$4,"="&amp;BA$3)</f>
        <v>0</v>
      </c>
      <c r="BB68" s="141">
        <f>+SUMIFS($B68:AT68,$B$4:AT$4,"="&amp;BB$3)</f>
        <v>0</v>
      </c>
    </row>
    <row r="69" spans="1:54" x14ac:dyDescent="0.25">
      <c r="A69" s="30" t="s">
        <v>212</v>
      </c>
      <c r="B69" s="23">
        <f t="shared" ref="B69:AG69" si="161">+B67+B51-B28</f>
        <v>0</v>
      </c>
      <c r="C69" s="23">
        <f t="shared" si="161"/>
        <v>0</v>
      </c>
      <c r="D69" s="23">
        <f t="shared" si="161"/>
        <v>0</v>
      </c>
      <c r="E69" s="23">
        <f t="shared" si="161"/>
        <v>0</v>
      </c>
      <c r="F69" s="23">
        <f t="shared" si="161"/>
        <v>0</v>
      </c>
      <c r="G69" s="23">
        <f t="shared" si="161"/>
        <v>0</v>
      </c>
      <c r="H69" s="23">
        <f t="shared" si="161"/>
        <v>0</v>
      </c>
      <c r="I69" s="23">
        <f t="shared" si="161"/>
        <v>0</v>
      </c>
      <c r="J69" s="23">
        <f t="shared" si="161"/>
        <v>0</v>
      </c>
      <c r="K69" s="23">
        <f t="shared" si="161"/>
        <v>0</v>
      </c>
      <c r="L69" s="23">
        <f t="shared" si="161"/>
        <v>0</v>
      </c>
      <c r="M69" s="23">
        <f t="shared" si="161"/>
        <v>0</v>
      </c>
      <c r="N69" s="23">
        <f t="shared" si="161"/>
        <v>0</v>
      </c>
      <c r="O69" s="23">
        <f t="shared" si="161"/>
        <v>1</v>
      </c>
      <c r="P69" s="23">
        <f t="shared" si="161"/>
        <v>0</v>
      </c>
      <c r="Q69" s="23">
        <f t="shared" si="161"/>
        <v>0</v>
      </c>
      <c r="R69" s="23">
        <f t="shared" si="161"/>
        <v>0</v>
      </c>
      <c r="S69" s="23">
        <f t="shared" si="161"/>
        <v>0</v>
      </c>
      <c r="T69" s="23">
        <f t="shared" si="161"/>
        <v>0</v>
      </c>
      <c r="U69" s="23">
        <f t="shared" si="161"/>
        <v>0</v>
      </c>
      <c r="V69" s="23">
        <f t="shared" si="161"/>
        <v>0</v>
      </c>
      <c r="W69" s="23">
        <f t="shared" si="161"/>
        <v>0</v>
      </c>
      <c r="X69" s="23">
        <f t="shared" si="161"/>
        <v>0</v>
      </c>
      <c r="Y69" s="23">
        <f t="shared" ref="Y69" si="162">+Y67+Y51-Y28</f>
        <v>0</v>
      </c>
      <c r="Z69" s="23">
        <f t="shared" si="161"/>
        <v>0</v>
      </c>
      <c r="AA69" s="4">
        <f t="shared" si="161"/>
        <v>0</v>
      </c>
      <c r="AB69" s="4">
        <f t="shared" si="161"/>
        <v>0</v>
      </c>
      <c r="AC69" s="4">
        <f t="shared" si="161"/>
        <v>0</v>
      </c>
      <c r="AD69" s="4">
        <f t="shared" si="161"/>
        <v>0</v>
      </c>
      <c r="AE69" s="4">
        <f t="shared" si="161"/>
        <v>0</v>
      </c>
      <c r="AF69" s="4">
        <f t="shared" si="161"/>
        <v>0</v>
      </c>
      <c r="AG69" s="4">
        <f t="shared" si="161"/>
        <v>0</v>
      </c>
      <c r="AH69" s="458"/>
      <c r="AI69" s="4">
        <v>0</v>
      </c>
      <c r="AJ69" s="458"/>
      <c r="AK69" s="4"/>
      <c r="AL69" s="4">
        <f t="shared" ref="AL69:AS69" si="163">+AL67+AL51-AL28</f>
        <v>0</v>
      </c>
      <c r="AM69" s="4">
        <f t="shared" si="163"/>
        <v>0</v>
      </c>
      <c r="AN69" s="4">
        <f t="shared" si="163"/>
        <v>0</v>
      </c>
      <c r="AO69" s="4">
        <f t="shared" si="163"/>
        <v>0</v>
      </c>
      <c r="AP69" s="4">
        <f t="shared" si="163"/>
        <v>0</v>
      </c>
      <c r="AQ69" s="4">
        <f t="shared" si="163"/>
        <v>0</v>
      </c>
      <c r="AR69" s="4">
        <f t="shared" si="163"/>
        <v>0</v>
      </c>
      <c r="AS69" s="4">
        <f t="shared" si="163"/>
        <v>0</v>
      </c>
      <c r="AT69" s="4">
        <f t="shared" ref="AT69:BB69" si="164">+AT67+AT51-AT28</f>
        <v>0</v>
      </c>
      <c r="AU69" s="4">
        <f t="shared" si="164"/>
        <v>0</v>
      </c>
      <c r="AV69" s="4">
        <f t="shared" si="164"/>
        <v>0</v>
      </c>
      <c r="AW69" s="4">
        <f t="shared" si="164"/>
        <v>0</v>
      </c>
      <c r="AX69" s="4">
        <f t="shared" si="164"/>
        <v>0</v>
      </c>
      <c r="AY69" s="4">
        <f t="shared" si="164"/>
        <v>0</v>
      </c>
      <c r="AZ69" s="4">
        <f t="shared" si="164"/>
        <v>0</v>
      </c>
      <c r="BA69" s="4">
        <f t="shared" si="164"/>
        <v>0</v>
      </c>
      <c r="BB69" s="4">
        <f t="shared" si="164"/>
        <v>0</v>
      </c>
    </row>
    <row r="72" spans="1:54" s="137" customFormat="1" x14ac:dyDescent="0.25">
      <c r="A72" s="136" t="s">
        <v>213</v>
      </c>
      <c r="B72" s="511">
        <v>0</v>
      </c>
      <c r="C72" s="511">
        <v>1147.7596585000001</v>
      </c>
      <c r="D72" s="511">
        <v>0</v>
      </c>
      <c r="E72" s="511">
        <v>0</v>
      </c>
      <c r="F72" s="511">
        <v>0</v>
      </c>
      <c r="G72" s="511">
        <v>0</v>
      </c>
      <c r="H72" s="511">
        <v>0</v>
      </c>
      <c r="I72" s="511">
        <v>0</v>
      </c>
      <c r="J72" s="511">
        <v>0</v>
      </c>
      <c r="K72" s="511">
        <v>1803.6223315</v>
      </c>
      <c r="L72" s="511">
        <v>0</v>
      </c>
      <c r="M72" s="511">
        <v>0</v>
      </c>
      <c r="N72" s="511">
        <v>0</v>
      </c>
      <c r="O72" s="511">
        <v>3984.3656959499999</v>
      </c>
      <c r="P72" s="511"/>
      <c r="Q72" s="511"/>
      <c r="R72" s="511">
        <v>0</v>
      </c>
      <c r="S72" s="511">
        <v>1246.1390653999999</v>
      </c>
      <c r="T72" s="511"/>
      <c r="U72" s="511"/>
      <c r="V72" s="511"/>
      <c r="W72" s="511">
        <v>1246.1390653999999</v>
      </c>
      <c r="X72" s="175"/>
      <c r="Y72" s="175"/>
      <c r="Z72" s="175"/>
      <c r="AA72" s="175">
        <f>+AA73*SUM(V20:Y20)</f>
        <v>1629.75</v>
      </c>
      <c r="AB72" s="175"/>
      <c r="AC72" s="175"/>
      <c r="AD72" s="175"/>
      <c r="AE72" s="175">
        <f>+AE73*SUM(Z20:AC20)</f>
        <v>1985.25</v>
      </c>
      <c r="AF72" s="175"/>
      <c r="AG72" s="175"/>
      <c r="AH72" s="175"/>
      <c r="AI72" s="175"/>
      <c r="AJ72" s="175"/>
      <c r="AL72" s="173">
        <f>+SUMIFS($B72:AF72,$B$4:AF$4,"&lt;="&amp;AL$3,$B$4:AF$4,"&gt;"&amp;AK$3)</f>
        <v>0</v>
      </c>
      <c r="AM72" s="173">
        <f>+SUMIFS($B72:AG72,$B$4:AG$4,"&lt;="&amp;AM$3,$B$4:AG$4,"&gt;"&amp;AL$3)</f>
        <v>0</v>
      </c>
      <c r="AN72" s="173">
        <f>+SUMIFS($B72:AG72,$B$4:AG$4,"&lt;="&amp;AN$3,$B$4:AG$4,"&gt;"&amp;AM$3)</f>
        <v>1803.6223315</v>
      </c>
      <c r="AO72" s="173">
        <f>+SUMIFS($B72:AG72,$B$4:AG$4,"&lt;="&amp;AO$3,$B$4:AG$4,"&gt;"&amp;AN$3)</f>
        <v>3984.3656959499999</v>
      </c>
      <c r="AP72" s="173">
        <f>+SUMIFS($B72:AG72,$B$4:AG$4,"&lt;="&amp;AP$3,$B$4:AG$4,"&gt;"&amp;AO$3)</f>
        <v>1246.1390653999999</v>
      </c>
      <c r="AQ72" s="173">
        <f>+SUMIFS($B72:AG72,$B$4:AG$4,"&lt;="&amp;AQ$3,$B$4:AG$4,"&gt;"&amp;AP$3)</f>
        <v>1246.1390653999999</v>
      </c>
      <c r="AR72" s="173">
        <f>+SUMIFS($B72:AG72,$B$4:AG$4,"&lt;="&amp;AR$3,$B$4:AG$4,"&gt;"&amp;AQ$3)</f>
        <v>1629.75</v>
      </c>
      <c r="AS72" s="173">
        <f>+SUMIFS($B72:AK72,$B$4:AK$4,"&lt;="&amp;AS$3,$B$4:AK$4,"&gt;"&amp;AR$3)</f>
        <v>1985.25</v>
      </c>
      <c r="AT72" s="175">
        <f>+AT73*SUM(AS20)</f>
        <v>1917.700447354993</v>
      </c>
      <c r="AU72" s="175">
        <f t="shared" ref="AU72:BB72" si="165">+AU73*SUM(AT20)</f>
        <v>2174.3179242910451</v>
      </c>
      <c r="AV72" s="175">
        <f t="shared" si="165"/>
        <v>2434.4948369116296</v>
      </c>
      <c r="AW72" s="175">
        <f t="shared" si="165"/>
        <v>2657.5729347025986</v>
      </c>
      <c r="AX72" s="175">
        <f t="shared" si="165"/>
        <v>2902.3212375084267</v>
      </c>
      <c r="AY72" s="175">
        <f t="shared" si="165"/>
        <v>3167.3177491596989</v>
      </c>
      <c r="AZ72" s="175">
        <f t="shared" si="165"/>
        <v>3407.7056307311741</v>
      </c>
      <c r="BA72" s="175">
        <f t="shared" si="165"/>
        <v>3634.4360166893362</v>
      </c>
      <c r="BB72" s="175">
        <f t="shared" si="165"/>
        <v>3877.8554396538161</v>
      </c>
    </row>
    <row r="73" spans="1:54" x14ac:dyDescent="0.25">
      <c r="A73" t="s">
        <v>214</v>
      </c>
      <c r="C73" s="3">
        <f>+C72/C20</f>
        <v>1.1605254383215371</v>
      </c>
      <c r="K73" s="1">
        <f>+K72/SUM(F20:I20)</f>
        <v>0.49837588601823707</v>
      </c>
      <c r="O73" s="1">
        <f>+O72/SUM(J20:M20)</f>
        <v>0.94820697190623515</v>
      </c>
      <c r="S73" s="1">
        <f>+S72/SUM(N20:Q20)</f>
        <v>0.2140948484494459</v>
      </c>
      <c r="W73" s="1">
        <f>+W72/SUM(R20:U20)</f>
        <v>0.21966138998766083</v>
      </c>
      <c r="AA73" s="174">
        <v>0.25</v>
      </c>
      <c r="AE73" s="174">
        <v>0.3</v>
      </c>
      <c r="AN73" s="1">
        <f t="shared" ref="AN73:AP73" si="166">+AN72/SUM(AM20)</f>
        <v>0.49837588601823707</v>
      </c>
      <c r="AO73" s="1">
        <f t="shared" si="166"/>
        <v>0.94820697190623515</v>
      </c>
      <c r="AP73" s="1">
        <f t="shared" si="166"/>
        <v>0.2140948484494459</v>
      </c>
      <c r="AQ73" s="1">
        <f>+AQ72/SUM(AP20)</f>
        <v>0.21966138998766083</v>
      </c>
      <c r="AR73" s="1">
        <f t="shared" ref="AR73:AS73" si="167">+AR72/SUM(AQ20)</f>
        <v>0.25</v>
      </c>
      <c r="AS73" s="1">
        <f t="shared" si="167"/>
        <v>0.3</v>
      </c>
      <c r="AT73" s="174">
        <v>0.3</v>
      </c>
      <c r="AU73" s="174">
        <f>+AT73</f>
        <v>0.3</v>
      </c>
      <c r="AV73" s="174">
        <f t="shared" ref="AV73:BB73" si="168">+AU73</f>
        <v>0.3</v>
      </c>
      <c r="AW73" s="174">
        <f t="shared" si="168"/>
        <v>0.3</v>
      </c>
      <c r="AX73" s="174">
        <f t="shared" si="168"/>
        <v>0.3</v>
      </c>
      <c r="AY73" s="174">
        <f t="shared" si="168"/>
        <v>0.3</v>
      </c>
      <c r="AZ73" s="174">
        <f t="shared" si="168"/>
        <v>0.3</v>
      </c>
      <c r="BA73" s="174">
        <f t="shared" si="168"/>
        <v>0.3</v>
      </c>
      <c r="BB73" s="174">
        <f t="shared" si="168"/>
        <v>0.3</v>
      </c>
    </row>
    <row r="75" spans="1:54" s="163" customFormat="1" x14ac:dyDescent="0.25">
      <c r="A75" s="152" t="s">
        <v>40</v>
      </c>
      <c r="F75" s="176">
        <f t="shared" ref="F75:AG75" si="169">+SUM(C20:F20)/F67</f>
        <v>0.20599433759640731</v>
      </c>
      <c r="G75" s="176">
        <f t="shared" si="169"/>
        <v>0.20039077392298896</v>
      </c>
      <c r="H75" s="176">
        <f t="shared" si="169"/>
        <v>0.18308955018570314</v>
      </c>
      <c r="I75" s="176">
        <f t="shared" si="169"/>
        <v>0.16309148264984227</v>
      </c>
      <c r="J75" s="176">
        <f t="shared" si="169"/>
        <v>0.14950094648081225</v>
      </c>
      <c r="K75" s="176">
        <f t="shared" si="169"/>
        <v>0.16151691637398302</v>
      </c>
      <c r="L75" s="176">
        <f t="shared" si="169"/>
        <v>0.15790369236004764</v>
      </c>
      <c r="M75" s="176">
        <f t="shared" si="169"/>
        <v>0.17215666994428055</v>
      </c>
      <c r="N75" s="176">
        <f t="shared" si="169"/>
        <v>0.21423583632046925</v>
      </c>
      <c r="O75" s="176">
        <f t="shared" si="169"/>
        <v>0.21429515127493726</v>
      </c>
      <c r="P75" s="176">
        <f t="shared" si="169"/>
        <v>0.22467706199573598</v>
      </c>
      <c r="Q75" s="176">
        <f t="shared" si="169"/>
        <v>0.23062445518662333</v>
      </c>
      <c r="R75" s="176">
        <f t="shared" si="169"/>
        <v>0.2162383088738499</v>
      </c>
      <c r="S75" s="176">
        <f t="shared" si="169"/>
        <v>0.21226325577864652</v>
      </c>
      <c r="T75" s="176">
        <f t="shared" si="169"/>
        <v>0.20126415026961397</v>
      </c>
      <c r="U75" s="176">
        <f t="shared" si="169"/>
        <v>0.20047353169835325</v>
      </c>
      <c r="V75" s="176">
        <f t="shared" si="169"/>
        <v>0.20381505979822276</v>
      </c>
      <c r="W75" s="176">
        <f t="shared" si="169"/>
        <v>0.21162291563480271</v>
      </c>
      <c r="X75" s="176">
        <f t="shared" si="169"/>
        <v>0.20225811510114475</v>
      </c>
      <c r="Y75" s="176">
        <f t="shared" si="169"/>
        <v>0.20115403604048382</v>
      </c>
      <c r="Z75" s="176">
        <f t="shared" si="169"/>
        <v>0.19112443339669544</v>
      </c>
      <c r="AA75" s="176">
        <f t="shared" si="169"/>
        <v>0.19194983079588063</v>
      </c>
      <c r="AB75" s="176">
        <f t="shared" si="169"/>
        <v>0.18168843616418423</v>
      </c>
      <c r="AC75" s="176">
        <f t="shared" si="169"/>
        <v>0.17622582470623482</v>
      </c>
      <c r="AD75" s="176">
        <f t="shared" si="169"/>
        <v>0.17102032605818596</v>
      </c>
      <c r="AE75" s="176">
        <f t="shared" si="169"/>
        <v>0.1700225316005014</v>
      </c>
      <c r="AF75" s="176">
        <f t="shared" si="169"/>
        <v>0.16447188097304144</v>
      </c>
      <c r="AG75" s="176">
        <f t="shared" si="169"/>
        <v>0.15234958325327874</v>
      </c>
      <c r="AH75" s="459"/>
      <c r="AI75" s="176">
        <v>0.22346620949908624</v>
      </c>
      <c r="AJ75" s="459"/>
      <c r="AL75" s="176">
        <f t="shared" ref="AL75:BB75" si="170">+SUM(AL20)/AL67</f>
        <v>0</v>
      </c>
      <c r="AM75" s="176">
        <f>+SUM(AM20)/AVERAGE(F67:I67)</f>
        <v>0.16937135101615791</v>
      </c>
      <c r="AN75" s="176">
        <f>+SUM(AN20)/AVERAGE(J67:M67)</f>
        <v>0.17947102602159035</v>
      </c>
      <c r="AO75" s="176">
        <f>+SUM(AO20)/AVERAGE(N67:Q67)</f>
        <v>0.24941347874061298</v>
      </c>
      <c r="AP75" s="176">
        <f>+SUM(AP20)/AVERAGE(R67:U67)</f>
        <v>0.20827902707664067</v>
      </c>
      <c r="AQ75" s="176">
        <f>+SUM(AQ20)/AVERAGE(V67:Y67)</f>
        <v>0.20942559753276793</v>
      </c>
      <c r="AR75" s="176">
        <f>+SUM(AR20)/AVERAGE(Z67:AC67)</f>
        <v>0.18682321139007549</v>
      </c>
      <c r="AS75" s="176">
        <f>+SUM(AS20)/AVERAGE(AD67:AG67)</f>
        <v>0.15935678314609381</v>
      </c>
      <c r="AT75" s="176">
        <f t="shared" si="170"/>
        <v>0.15326660288067318</v>
      </c>
      <c r="AU75" s="176">
        <f t="shared" si="170"/>
        <v>0.15245409228445309</v>
      </c>
      <c r="AV75" s="176">
        <f t="shared" si="170"/>
        <v>0.14850150905073958</v>
      </c>
      <c r="AW75" s="176">
        <f t="shared" si="170"/>
        <v>0.1451089403799844</v>
      </c>
      <c r="AX75" s="176">
        <f t="shared" si="170"/>
        <v>0.14204745510692848</v>
      </c>
      <c r="AY75" s="176">
        <f t="shared" si="170"/>
        <v>0.13765663684166199</v>
      </c>
      <c r="AZ75" s="176">
        <f t="shared" si="170"/>
        <v>0.13280244343850775</v>
      </c>
      <c r="BA75" s="176">
        <f t="shared" si="170"/>
        <v>0.12859844213055546</v>
      </c>
      <c r="BB75" s="176">
        <f t="shared" si="170"/>
        <v>0.12493337815925289</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8FEFE-43E7-457C-8910-A8CB48FA2D93}">
  <dimension ref="B2:K32"/>
  <sheetViews>
    <sheetView workbookViewId="0">
      <selection activeCell="D21" sqref="D21"/>
    </sheetView>
  </sheetViews>
  <sheetFormatPr defaultColWidth="9.140625" defaultRowHeight="15" x14ac:dyDescent="0.25"/>
  <cols>
    <col min="2" max="2" width="41.140625" customWidth="1"/>
    <col min="5" max="5" width="17" customWidth="1"/>
    <col min="8" max="8" width="18.28515625" bestFit="1" customWidth="1"/>
    <col min="9" max="9" width="13.5703125" bestFit="1" customWidth="1"/>
    <col min="10" max="10" width="10.28515625" bestFit="1" customWidth="1"/>
    <col min="11" max="11" width="7.140625" customWidth="1"/>
  </cols>
  <sheetData>
    <row r="2" spans="2:11" x14ac:dyDescent="0.25">
      <c r="B2" t="s">
        <v>270</v>
      </c>
      <c r="C2" s="528">
        <v>45283</v>
      </c>
      <c r="D2" s="528">
        <f>+C2+365</f>
        <v>45648</v>
      </c>
      <c r="I2" s="529"/>
      <c r="J2" s="529"/>
    </row>
    <row r="3" spans="2:11" x14ac:dyDescent="0.25">
      <c r="B3" s="2" t="s">
        <v>271</v>
      </c>
      <c r="C3" s="2"/>
      <c r="D3" s="2"/>
      <c r="E3" s="2" t="s">
        <v>272</v>
      </c>
      <c r="I3" s="530">
        <v>2023</v>
      </c>
      <c r="J3" s="530">
        <f>+I3+1</f>
        <v>2024</v>
      </c>
    </row>
    <row r="4" spans="2:11" x14ac:dyDescent="0.25">
      <c r="B4" t="s">
        <v>273</v>
      </c>
      <c r="C4" s="531"/>
      <c r="D4" s="531">
        <f>+J8</f>
        <v>10.708399693955624</v>
      </c>
      <c r="H4" s="2" t="s">
        <v>274</v>
      </c>
      <c r="I4" s="532">
        <f>+RESUMO!F11/macro!DK42*1000</f>
        <v>729790.24275276926</v>
      </c>
      <c r="J4" s="532">
        <f>+RESUMO!G11/macro!DL42*1000</f>
        <v>690299.22409157257</v>
      </c>
      <c r="K4" t="s">
        <v>275</v>
      </c>
    </row>
    <row r="5" spans="2:11" x14ac:dyDescent="0.25">
      <c r="B5" t="s">
        <v>276</v>
      </c>
      <c r="C5" s="533"/>
      <c r="D5" s="533">
        <f>+J12</f>
        <v>20.586824863814147</v>
      </c>
    </row>
    <row r="6" spans="2:11" x14ac:dyDescent="0.25">
      <c r="B6" t="s">
        <v>277</v>
      </c>
      <c r="C6" s="534" t="s">
        <v>288</v>
      </c>
      <c r="D6" s="534" t="s">
        <v>288</v>
      </c>
      <c r="I6" s="535"/>
      <c r="J6" s="535" t="s">
        <v>278</v>
      </c>
    </row>
    <row r="7" spans="2:11" x14ac:dyDescent="0.25">
      <c r="H7" s="536" t="s">
        <v>279</v>
      </c>
      <c r="I7" s="537"/>
      <c r="J7" s="537">
        <v>7392</v>
      </c>
      <c r="K7" t="s">
        <v>280</v>
      </c>
    </row>
    <row r="8" spans="2:11" x14ac:dyDescent="0.25">
      <c r="B8" t="s">
        <v>270</v>
      </c>
      <c r="C8" s="528">
        <f>+C$2</f>
        <v>45283</v>
      </c>
      <c r="D8" s="528">
        <f>+D$2</f>
        <v>45648</v>
      </c>
      <c r="H8" s="536" t="s">
        <v>281</v>
      </c>
      <c r="I8" s="3">
        <f>+I7*1000/I4</f>
        <v>0</v>
      </c>
      <c r="J8" s="3">
        <f>+J7*1000/J4</f>
        <v>10.708399693955624</v>
      </c>
      <c r="K8" t="s">
        <v>282</v>
      </c>
    </row>
    <row r="9" spans="2:11" x14ac:dyDescent="0.25">
      <c r="B9" s="2" t="s">
        <v>283</v>
      </c>
    </row>
    <row r="10" spans="2:11" x14ac:dyDescent="0.25">
      <c r="B10" t="s">
        <v>284</v>
      </c>
      <c r="C10" s="538"/>
      <c r="D10" s="538">
        <v>0.19500000000000001</v>
      </c>
      <c r="H10" s="536" t="s">
        <v>285</v>
      </c>
      <c r="I10" s="535"/>
      <c r="J10" s="535"/>
      <c r="K10" s="539" t="s">
        <v>286</v>
      </c>
    </row>
    <row r="11" spans="2:11" x14ac:dyDescent="0.25">
      <c r="B11" t="s">
        <v>287</v>
      </c>
      <c r="C11" s="540" t="s">
        <v>288</v>
      </c>
      <c r="D11" s="540" t="s">
        <v>288</v>
      </c>
      <c r="H11" s="536" t="s">
        <v>289</v>
      </c>
      <c r="I11" s="23">
        <f>+I10*$I$14</f>
        <v>0</v>
      </c>
      <c r="J11" s="535">
        <v>14211069.23</v>
      </c>
      <c r="K11" s="539" t="s">
        <v>290</v>
      </c>
    </row>
    <row r="12" spans="2:11" x14ac:dyDescent="0.25">
      <c r="B12" t="s">
        <v>291</v>
      </c>
      <c r="C12" s="541"/>
      <c r="D12" s="541">
        <v>0.45500000000000002</v>
      </c>
      <c r="H12" s="536" t="s">
        <v>292</v>
      </c>
      <c r="I12" s="3">
        <f>+I11/I4</f>
        <v>0</v>
      </c>
      <c r="J12" s="3">
        <f>+J11/J4</f>
        <v>20.586824863814147</v>
      </c>
      <c r="K12" t="s">
        <v>293</v>
      </c>
    </row>
    <row r="13" spans="2:11" x14ac:dyDescent="0.25">
      <c r="B13" s="539" t="s">
        <v>294</v>
      </c>
      <c r="C13" s="542">
        <f>1589/56988</f>
        <v>2.7883063101003719E-2</v>
      </c>
      <c r="D13" s="534" t="s">
        <v>311</v>
      </c>
      <c r="I13" s="539"/>
      <c r="J13" s="539"/>
    </row>
    <row r="14" spans="2:11" x14ac:dyDescent="0.25">
      <c r="H14" s="543" t="s">
        <v>295</v>
      </c>
      <c r="I14">
        <v>277.77800000000002</v>
      </c>
      <c r="J14" s="539" t="s">
        <v>296</v>
      </c>
    </row>
    <row r="15" spans="2:11" x14ac:dyDescent="0.25">
      <c r="B15" t="s">
        <v>270</v>
      </c>
      <c r="C15" s="528">
        <f>+C$2</f>
        <v>45283</v>
      </c>
      <c r="D15" s="528">
        <f>+D$2</f>
        <v>45648</v>
      </c>
      <c r="H15" s="543"/>
      <c r="J15" s="539"/>
    </row>
    <row r="16" spans="2:11" x14ac:dyDescent="0.25">
      <c r="B16" s="2" t="s">
        <v>297</v>
      </c>
    </row>
    <row r="17" spans="2:4" x14ac:dyDescent="0.25">
      <c r="B17" t="s">
        <v>298</v>
      </c>
      <c r="C17" s="22">
        <v>14</v>
      </c>
      <c r="D17" s="22">
        <v>14</v>
      </c>
    </row>
    <row r="18" spans="2:4" x14ac:dyDescent="0.25">
      <c r="B18" t="s">
        <v>299</v>
      </c>
      <c r="C18" s="544"/>
      <c r="D18" s="544">
        <v>7.0000000000000007E-2</v>
      </c>
    </row>
    <row r="19" spans="2:4" x14ac:dyDescent="0.25">
      <c r="B19" t="s">
        <v>300</v>
      </c>
      <c r="C19" s="545"/>
      <c r="D19" s="545">
        <v>0.64</v>
      </c>
    </row>
    <row r="20" spans="2:4" x14ac:dyDescent="0.25">
      <c r="B20" t="s">
        <v>301</v>
      </c>
      <c r="C20" s="534" t="s">
        <v>302</v>
      </c>
      <c r="D20" s="534" t="s">
        <v>288</v>
      </c>
    </row>
    <row r="21" spans="2:4" x14ac:dyDescent="0.25">
      <c r="B21" t="s">
        <v>303</v>
      </c>
      <c r="C21" s="534" t="s">
        <v>302</v>
      </c>
      <c r="D21" s="534" t="s">
        <v>302</v>
      </c>
    </row>
    <row r="22" spans="2:4" x14ac:dyDescent="0.25">
      <c r="B22" t="s">
        <v>304</v>
      </c>
      <c r="C22" s="540" t="s">
        <v>288</v>
      </c>
      <c r="D22" s="540" t="s">
        <v>288</v>
      </c>
    </row>
    <row r="23" spans="2:4" x14ac:dyDescent="0.25">
      <c r="B23" s="546" t="s">
        <v>305</v>
      </c>
      <c r="C23" s="534" t="s">
        <v>302</v>
      </c>
      <c r="D23" s="534" t="s">
        <v>302</v>
      </c>
    </row>
    <row r="24" spans="2:4" x14ac:dyDescent="0.25">
      <c r="B24" t="s">
        <v>306</v>
      </c>
      <c r="C24" s="534" t="s">
        <v>302</v>
      </c>
      <c r="D24" s="534" t="s">
        <v>302</v>
      </c>
    </row>
    <row r="28" spans="2:4" x14ac:dyDescent="0.25">
      <c r="B28" t="s">
        <v>307</v>
      </c>
    </row>
    <row r="29" spans="2:4" x14ac:dyDescent="0.25">
      <c r="B29" t="s">
        <v>308</v>
      </c>
    </row>
    <row r="31" spans="2:4" x14ac:dyDescent="0.25">
      <c r="B31" t="s">
        <v>309</v>
      </c>
    </row>
    <row r="32" spans="2:4" x14ac:dyDescent="0.25">
      <c r="B32" s="547" t="s">
        <v>310</v>
      </c>
    </row>
  </sheetData>
  <hyperlinks>
    <hyperlink ref="B32" r:id="rId1" xr:uid="{06503562-39A8-492F-8798-11DA66E76C23}"/>
  </hyperlinks>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31328f4-1add-4fa9-ad71-037c9361886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14AAC60D01E84E99F2B81F67E36546" ma:contentTypeVersion="18" ma:contentTypeDescription="Create a new document." ma:contentTypeScope="" ma:versionID="00f77bd5b1fccd2ff2acc726eb800ea6">
  <xsd:schema xmlns:xsd="http://www.w3.org/2001/XMLSchema" xmlns:xs="http://www.w3.org/2001/XMLSchema" xmlns:p="http://schemas.microsoft.com/office/2006/metadata/properties" xmlns:ns3="efca2dfc-ed96-4e65-8080-bcad811dc6f3" xmlns:ns4="a31328f4-1add-4fa9-ad71-037c93618862" targetNamespace="http://schemas.microsoft.com/office/2006/metadata/properties" ma:root="true" ma:fieldsID="6c12ffe1486637a66be331881e897b5f" ns3:_="" ns4:_="">
    <xsd:import namespace="efca2dfc-ed96-4e65-8080-bcad811dc6f3"/>
    <xsd:import namespace="a31328f4-1add-4fa9-ad71-037c9361886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ca2dfc-ed96-4e65-8080-bcad811dc6f3"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1328f4-1add-4fa9-ad71-037c93618862"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Location" ma:index="15" nillable="true" ma:displayName="MediaServiceLocation" ma:description="" ma:internalName="MediaServiceLocation"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5A4633-0466-486F-9951-1DEBAEDAAB4E}">
  <ds:schemaRefs>
    <ds:schemaRef ds:uri="http://schemas.microsoft.com/office/2006/metadata/properties"/>
    <ds:schemaRef ds:uri="http://www.w3.org/2000/xmlns/"/>
    <ds:schemaRef ds:uri="a31328f4-1add-4fa9-ad71-037c93618862"/>
    <ds:schemaRef ds:uri="http://www.w3.org/2001/XMLSchema-instance"/>
    <ds:schemaRef ds:uri="http://schemas.microsoft.com/office/infopath/2007/PartnerControls"/>
  </ds:schemaRefs>
</ds:datastoreItem>
</file>

<file path=customXml/itemProps2.xml><?xml version="1.0" encoding="utf-8"?>
<ds:datastoreItem xmlns:ds="http://schemas.openxmlformats.org/officeDocument/2006/customXml" ds:itemID="{CBCAFF69-4461-4D2D-9CA7-0D417F641B52}">
  <ds:schemaRefs>
    <ds:schemaRef ds:uri="http://schemas.microsoft.com/sharepoint/v3/contenttype/forms"/>
  </ds:schemaRefs>
</ds:datastoreItem>
</file>

<file path=customXml/itemProps3.xml><?xml version="1.0" encoding="utf-8"?>
<ds:datastoreItem xmlns:ds="http://schemas.openxmlformats.org/officeDocument/2006/customXml" ds:itemID="{A0B6E0AC-0707-4CE9-AD0B-0AB2D3E28A7C}">
  <ds:schemaRefs>
    <ds:schemaRef ds:uri="http://schemas.microsoft.com/office/2006/metadata/contentType"/>
    <ds:schemaRef ds:uri="http://schemas.microsoft.com/office/2006/metadata/properties/metaAttributes"/>
    <ds:schemaRef ds:uri="http://www.w3.org/2000/xmlns/"/>
    <ds:schemaRef ds:uri="http://www.w3.org/2001/XMLSchema"/>
    <ds:schemaRef ds:uri="efca2dfc-ed96-4e65-8080-bcad811dc6f3"/>
    <ds:schemaRef ds:uri="a31328f4-1add-4fa9-ad71-037c93618862"/>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RESUMO</vt:lpstr>
      <vt:lpstr>FAT</vt:lpstr>
      <vt:lpstr>Graficos</vt:lpstr>
      <vt:lpstr>macro</vt:lpstr>
      <vt:lpstr>PROJ</vt:lpstr>
      <vt:lpstr>ESG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Sebastian Luparia</dc:creator>
  <cp:keywords/>
  <dc:description/>
  <cp:lastModifiedBy>Camila Rivilli</cp:lastModifiedBy>
  <cp:revision/>
  <dcterms:created xsi:type="dcterms:W3CDTF">2022-06-06T19:18:35Z</dcterms:created>
  <dcterms:modified xsi:type="dcterms:W3CDTF">2026-02-18T19:36:17Z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0x010100F214AAC60D01E84E99F2B81F67E36546</vt:lpwstr>
  </property>
</Properties>
</file>