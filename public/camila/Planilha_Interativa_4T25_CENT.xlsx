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Drives compartilhados\Backup pasta Zefiro (ofc)\RI\Release\2025\Release 4T25\Planilha Site\"/>
    </mc:Choice>
  </mc:AlternateContent>
  <bookViews>
    <workbookView xWindow="-105" yWindow="-105" windowWidth="19425" windowHeight="10425" tabRatio="914"/>
  </bookViews>
  <sheets>
    <sheet name="Capa | Cover" sheetId="19" r:id="rId1"/>
    <sheet name="BP |  BalanceSheet" sheetId="2" r:id="rId2"/>
    <sheet name="Fluxo de Caixa | CashFlow" sheetId="35" r:id="rId3"/>
    <sheet name="CashFlow Management" sheetId="36" r:id="rId4"/>
    <sheet name="Working Capital" sheetId="37" r:id="rId5"/>
    <sheet name="DRE I IncomeStatement" sheetId="31" r:id="rId6"/>
    <sheet name="DREajustada I Adj. Income Stat." sheetId="32" r:id="rId7"/>
    <sheet name="Centauro Indicadores" sheetId="21" r:id="rId8"/>
    <sheet name="Fisia Indicadores" sheetId="22" r:id="rId9"/>
    <sheet name="DespPorNat. | ExpensesPerNature" sheetId="6" r:id="rId10"/>
    <sheet name="CAPEX" sheetId="8" r:id="rId11"/>
    <sheet name="# Lojas | Stores" sheetId="17" r:id="rId12"/>
    <sheet name="ListaLojas | StoresList" sheetId="18" r:id="rId13"/>
    <sheet name="DRE ex-IFRS | IS ex-FRS" sheetId="5" state="hidden" r:id="rId14"/>
    <sheet name="BP ex-IFRS | BS ex-IFRS" sheetId="3" r:id="rId15"/>
    <sheet name="DespPorNat | ExpensesPerNa" sheetId="34" r:id="rId16"/>
    <sheet name="DesPorNat ex-IFRS | EPN ex-IFRS" sheetId="7" r:id="rId17"/>
  </sheets>
  <externalReferences>
    <externalReference r:id="rId18"/>
    <externalReference r:id="rId19"/>
    <externalReference r:id="rId20"/>
  </externalReferences>
  <definedNames>
    <definedName name="_xlnm._FilterDatabase" localSheetId="5" hidden="1">'DRE I IncomeStatement'!$AV$34:$AV$38</definedName>
    <definedName name="_xlnm._FilterDatabase" localSheetId="2" hidden="1">'Fluxo de Caixa | CashFlow'!$N$2:$T$1007</definedName>
    <definedName name="_xlnm._FilterDatabase" localSheetId="12" hidden="1">'ListaLojas | StoresList'!$B$2:$K$283</definedName>
    <definedName name="a">[1]Base!$L:$L</definedName>
    <definedName name="aq">[2]Base!$G:$G</definedName>
    <definedName name="CONSOL">[3]Base!$L:$L</definedName>
    <definedName name="DF">[3]Base!$F:$F</definedName>
    <definedName name="f">[1]Base!$F:$F</definedName>
    <definedName name="fsf">[1]Base!$L:$L</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48576" i="7" l="1"/>
  <c r="R1048576" i="7"/>
  <c r="Q1048576" i="7"/>
  <c r="P1048576" i="7"/>
  <c r="O1048576" i="7"/>
  <c r="N1048576" i="7"/>
  <c r="M1048576" i="7"/>
  <c r="L1048576" i="7"/>
  <c r="K1048576" i="7"/>
  <c r="J1048576" i="7"/>
  <c r="I1048576" i="7"/>
  <c r="H1048576" i="7"/>
  <c r="G1048576" i="7"/>
  <c r="F1048576" i="7"/>
  <c r="E1048576" i="7"/>
  <c r="D1048576" i="7"/>
  <c r="XFD27" i="7"/>
  <c r="XFD26" i="7"/>
  <c r="XFD25" i="7"/>
  <c r="XFD24" i="7"/>
  <c r="XFD23" i="7"/>
  <c r="XFD22" i="7"/>
  <c r="XFD21" i="7"/>
  <c r="XFD20" i="7"/>
  <c r="XFD19" i="7"/>
  <c r="XFD18" i="7"/>
  <c r="XFD15" i="7"/>
  <c r="XFD14" i="7"/>
  <c r="XFD13" i="7"/>
  <c r="XFD12" i="7"/>
  <c r="XFD11" i="7"/>
  <c r="XFD10" i="7"/>
  <c r="XFD9" i="7"/>
  <c r="XFD8" i="7"/>
  <c r="XFD7" i="7"/>
  <c r="XFD6" i="7"/>
  <c r="XFD5" i="7"/>
  <c r="AM29" i="34"/>
  <c r="AM28" i="34"/>
  <c r="AM27" i="34"/>
  <c r="AM26" i="34"/>
  <c r="AM25" i="34"/>
  <c r="AM24" i="34"/>
  <c r="AM23" i="34"/>
  <c r="AM22" i="34"/>
  <c r="AM21" i="34"/>
  <c r="AM20" i="34"/>
  <c r="AM16" i="34"/>
  <c r="AM15" i="34"/>
  <c r="AM14" i="34"/>
  <c r="AM13" i="34"/>
  <c r="AM12" i="34"/>
  <c r="AM11" i="34"/>
  <c r="AM10" i="34"/>
  <c r="AM9" i="34"/>
  <c r="AM8" i="34"/>
  <c r="AM7" i="34"/>
  <c r="AM6" i="34"/>
  <c r="S34" i="5"/>
  <c r="R34" i="5"/>
  <c r="Q34" i="5"/>
  <c r="P34" i="5"/>
  <c r="O34" i="5"/>
  <c r="N34" i="5"/>
  <c r="M34" i="5"/>
  <c r="L34" i="5"/>
  <c r="K34" i="5"/>
  <c r="J34" i="5"/>
  <c r="I34" i="5"/>
  <c r="H34" i="5"/>
  <c r="G34" i="5"/>
  <c r="F34" i="5"/>
  <c r="E34" i="5"/>
  <c r="D34" i="5"/>
  <c r="S23" i="5"/>
  <c r="R23" i="5"/>
  <c r="Q23" i="5"/>
  <c r="P23" i="5"/>
  <c r="O23" i="5"/>
  <c r="N23" i="5"/>
  <c r="M23" i="5"/>
  <c r="L23" i="5"/>
  <c r="K23" i="5"/>
  <c r="J23" i="5"/>
  <c r="I23" i="5"/>
  <c r="H23" i="5"/>
  <c r="G23" i="5"/>
  <c r="F23" i="5"/>
  <c r="E23" i="5"/>
  <c r="D23" i="5"/>
  <c r="AM30" i="34" l="1"/>
  <c r="AM17" i="34"/>
</calcChain>
</file>

<file path=xl/sharedStrings.xml><?xml version="1.0" encoding="utf-8"?>
<sst xmlns="http://schemas.openxmlformats.org/spreadsheetml/2006/main" count="3829" uniqueCount="1103">
  <si>
    <t>2Q20</t>
  </si>
  <si>
    <t>1Q20</t>
  </si>
  <si>
    <t>4Q19</t>
  </si>
  <si>
    <t>3Q19</t>
  </si>
  <si>
    <t>2Q19</t>
  </si>
  <si>
    <t>1Q19</t>
  </si>
  <si>
    <t>4Q18</t>
  </si>
  <si>
    <t>3Q18</t>
  </si>
  <si>
    <t>2Q18</t>
  </si>
  <si>
    <t>1Q18</t>
  </si>
  <si>
    <t>4Q17</t>
  </si>
  <si>
    <t>3Q17</t>
  </si>
  <si>
    <t>2Q17</t>
  </si>
  <si>
    <t>1Q17</t>
  </si>
  <si>
    <t>Ativo circulante</t>
  </si>
  <si>
    <t>Current assets</t>
  </si>
  <si>
    <t>Caixa e equivalentes de caixa</t>
  </si>
  <si>
    <t>Cash and cash equivalents</t>
  </si>
  <si>
    <t>Contas a receber</t>
  </si>
  <si>
    <t>Accounts receivables</t>
  </si>
  <si>
    <t>Estoques</t>
  </si>
  <si>
    <t>Inventory</t>
  </si>
  <si>
    <t>Tributos a recuperar</t>
  </si>
  <si>
    <t>Recoverable taxes</t>
  </si>
  <si>
    <t>Despesas antecipadas</t>
  </si>
  <si>
    <t>Prepaid expenses</t>
  </si>
  <si>
    <t>Ativo não circulante</t>
  </si>
  <si>
    <t>Non-current assets</t>
  </si>
  <si>
    <t>Realizável a longo Prazo</t>
  </si>
  <si>
    <t>Long-term receivables</t>
  </si>
  <si>
    <t>Aplicações financeiras</t>
  </si>
  <si>
    <t>Financial investments</t>
  </si>
  <si>
    <t>Tributos diferidos</t>
  </si>
  <si>
    <t>Deferred income and social contribution</t>
  </si>
  <si>
    <t>Outros créditos</t>
  </si>
  <si>
    <t>Other credits</t>
  </si>
  <si>
    <t>Imobilizado</t>
  </si>
  <si>
    <t>Property and equipment</t>
  </si>
  <si>
    <t>Intangível</t>
  </si>
  <si>
    <t>Intangible</t>
  </si>
  <si>
    <t>Total do ativo</t>
  </si>
  <si>
    <t>Total assets</t>
  </si>
  <si>
    <t>Passivo circulante</t>
  </si>
  <si>
    <t>Current liabilities</t>
  </si>
  <si>
    <t>Empréstimos e financiamentos</t>
  </si>
  <si>
    <t>Loans and financing</t>
  </si>
  <si>
    <t>Arrendamento</t>
  </si>
  <si>
    <t>Lease</t>
  </si>
  <si>
    <t>Fornecedores</t>
  </si>
  <si>
    <t>Suppliers</t>
  </si>
  <si>
    <t>Outras obrigações</t>
  </si>
  <si>
    <t>Other liabilities</t>
  </si>
  <si>
    <t>Parcelamento de Tributos</t>
  </si>
  <si>
    <t>Tax installment payment</t>
  </si>
  <si>
    <t>Obrigações tributárias</t>
  </si>
  <si>
    <t>Tax liabilities</t>
  </si>
  <si>
    <t>Passivo não circulante</t>
  </si>
  <si>
    <t>Non-current liabilities</t>
  </si>
  <si>
    <t>Partes relacionadas</t>
  </si>
  <si>
    <t>Related parties</t>
  </si>
  <si>
    <t>Adiantamento para futuro aumento de capital</t>
  </si>
  <si>
    <t>Advances for future capital increase</t>
  </si>
  <si>
    <t>Tax installment</t>
  </si>
  <si>
    <t>Provisões</t>
  </si>
  <si>
    <t>Provisions</t>
  </si>
  <si>
    <t>Patrimônio líquido</t>
  </si>
  <si>
    <t>Shareholders' equity</t>
  </si>
  <si>
    <t>Capital social</t>
  </si>
  <si>
    <t>Capital stock</t>
  </si>
  <si>
    <t>Reserva de capital</t>
  </si>
  <si>
    <t>Capital reserve</t>
  </si>
  <si>
    <t>Reserva de incentivo</t>
  </si>
  <si>
    <t>Incentive reserve</t>
  </si>
  <si>
    <t>Lucros/Prejuízos acumulados</t>
  </si>
  <si>
    <t>Accumulated losses</t>
  </si>
  <si>
    <t>Total do passivo e patrimônio líquido</t>
  </si>
  <si>
    <t>Total liabilities and shareholders' equity</t>
  </si>
  <si>
    <t>2Q20 
Ex-IFRS 16</t>
  </si>
  <si>
    <t>1Q20 
Ex-IFRS 16</t>
  </si>
  <si>
    <t>4Q19 
Ex-IFRS 16</t>
  </si>
  <si>
    <t>3Q19 
Ex-IFRS 16</t>
  </si>
  <si>
    <t>2Q19 
Ex-IFRS 16</t>
  </si>
  <si>
    <t>1Q19 
Ex-IFRS 16</t>
  </si>
  <si>
    <t>DRE
(R$ mil)</t>
  </si>
  <si>
    <t>Income Statement
(R$ thousand)</t>
  </si>
  <si>
    <t>4Q16</t>
  </si>
  <si>
    <t>3Q16</t>
  </si>
  <si>
    <t>1Q16</t>
  </si>
  <si>
    <t>Receita operacional bruta</t>
  </si>
  <si>
    <t>Gross revenue</t>
  </si>
  <si>
    <t>Lojas Físicas</t>
  </si>
  <si>
    <t>Brick-and-Mortar</t>
  </si>
  <si>
    <t>Plataforma Digital</t>
  </si>
  <si>
    <t>Digital Plataform</t>
  </si>
  <si>
    <t>Receita operacional líquida</t>
  </si>
  <si>
    <t>Net revenue</t>
  </si>
  <si>
    <t>Custo dos produtos vendidos</t>
  </si>
  <si>
    <t>Cost of sales</t>
  </si>
  <si>
    <t>Lucro bruto</t>
  </si>
  <si>
    <t>Gross profit</t>
  </si>
  <si>
    <t>Despesas operacionais:¹</t>
  </si>
  <si>
    <t>Operating Expenses:¹</t>
  </si>
  <si>
    <t>Despesas com Vendas</t>
  </si>
  <si>
    <t>Outras receitas operacionais, líquidas</t>
  </si>
  <si>
    <t>Other operating income, net</t>
  </si>
  <si>
    <t>EBITDA</t>
  </si>
  <si>
    <t>Depreciação</t>
  </si>
  <si>
    <t>Depreciation</t>
  </si>
  <si>
    <t>Lucro antes do resultado financeiro</t>
  </si>
  <si>
    <t>Income before financial result</t>
  </si>
  <si>
    <t>Resultado Financeiro</t>
  </si>
  <si>
    <t>Financial result</t>
  </si>
  <si>
    <t>Lucro antes do IR e CS</t>
  </si>
  <si>
    <t>Income before income taxes</t>
  </si>
  <si>
    <t>Imposto de renda e contribuição social</t>
  </si>
  <si>
    <t>Income tax and social contribution</t>
  </si>
  <si>
    <t>Lucro (Prejuízo) líquido do exercício</t>
  </si>
  <si>
    <t>Net income for period</t>
  </si>
  <si>
    <t>(1) Despesas Operacionais incluindo Depreciação.</t>
  </si>
  <si>
    <t>(1) Operating Expenses including Depreciation.</t>
  </si>
  <si>
    <t>Despesas por Natureza
(R$ mil)</t>
  </si>
  <si>
    <t>Expenses per Nature
(R$ thousand)</t>
  </si>
  <si>
    <t>Selling Expenses</t>
  </si>
  <si>
    <t>Pessoal</t>
  </si>
  <si>
    <t>Personnel</t>
  </si>
  <si>
    <t>Depreciação de direito de uso</t>
  </si>
  <si>
    <t>Depreciation of rights of use</t>
  </si>
  <si>
    <t>Ocupação</t>
  </si>
  <si>
    <t>Occupation</t>
  </si>
  <si>
    <t>Utilidades e serviços</t>
  </si>
  <si>
    <t>Utilities and services</t>
  </si>
  <si>
    <t>Promoções</t>
  </si>
  <si>
    <t>Promotions</t>
  </si>
  <si>
    <t>Depreciação e amortização</t>
  </si>
  <si>
    <t>Depreciation and amortization</t>
  </si>
  <si>
    <t>Taxa administrativa</t>
  </si>
  <si>
    <t>MDR</t>
  </si>
  <si>
    <t>Serviços de terceiros</t>
  </si>
  <si>
    <t>Third party services</t>
  </si>
  <si>
    <t>Contingências</t>
  </si>
  <si>
    <t>Contingencies</t>
  </si>
  <si>
    <t>Outras despesas</t>
  </si>
  <si>
    <t>Other expenses</t>
  </si>
  <si>
    <t>Total das despesas com vendas</t>
  </si>
  <si>
    <t>Total selling expenses</t>
  </si>
  <si>
    <t>Despesas Administrativas</t>
  </si>
  <si>
    <t>Administrative Expenses</t>
  </si>
  <si>
    <t>Total das despesas administrativas</t>
  </si>
  <si>
    <t>Total administrative expenses</t>
  </si>
  <si>
    <t>2Q20
Ex-IFRS 16</t>
  </si>
  <si>
    <t>1Q20
Ex-IFRS 16</t>
  </si>
  <si>
    <t>CAPEX 
(R$ mil)</t>
  </si>
  <si>
    <t>CAPEX
(R$ thousand)</t>
  </si>
  <si>
    <t>3Q20</t>
  </si>
  <si>
    <t>Novas lojas</t>
  </si>
  <si>
    <t>New Stores</t>
  </si>
  <si>
    <t>Stores Refurbishment</t>
  </si>
  <si>
    <t>Technology</t>
  </si>
  <si>
    <t>Outros</t>
  </si>
  <si>
    <t>Others</t>
  </si>
  <si>
    <t>Total</t>
  </si>
  <si>
    <t>Same-Store Sales</t>
  </si>
  <si>
    <t>Lojas Físicas (SSS)</t>
  </si>
  <si>
    <t>Brick-and-Mortar (SSS)</t>
  </si>
  <si>
    <t>Plataforma Digital (GMV)</t>
  </si>
  <si>
    <t>Digital Plataform (GMV)</t>
  </si>
  <si>
    <t>-</t>
  </si>
  <si>
    <t>Número de lojas</t>
  </si>
  <si>
    <t>Number of Stores</t>
  </si>
  <si>
    <t>Área Total (m²)</t>
  </si>
  <si>
    <t>Total sales area (sqm)</t>
  </si>
  <si>
    <t>Total de Lojas</t>
  </si>
  <si>
    <t>Total number of stores</t>
  </si>
  <si>
    <t>ByTennis</t>
  </si>
  <si>
    <t>ByTennis stores</t>
  </si>
  <si>
    <t>Shopping</t>
  </si>
  <si>
    <t>Região</t>
  </si>
  <si>
    <t>Estado</t>
  </si>
  <si>
    <t>Cidade</t>
  </si>
  <si>
    <t>Modelo de Loja</t>
  </si>
  <si>
    <t>Área (m²)</t>
  </si>
  <si>
    <t>Region</t>
  </si>
  <si>
    <t>State</t>
  </si>
  <si>
    <t>City</t>
  </si>
  <si>
    <t>Store Model</t>
  </si>
  <si>
    <t>Inauguration Quarter</t>
  </si>
  <si>
    <t>Area (sqm)</t>
  </si>
  <si>
    <t>Park Shopping Brasília</t>
  </si>
  <si>
    <t>Centro-Oeste</t>
  </si>
  <si>
    <t>DF</t>
  </si>
  <si>
    <t>Brasília</t>
  </si>
  <si>
    <t>3Q97</t>
  </si>
  <si>
    <t>Flamboyant Shopping Center</t>
  </si>
  <si>
    <t>GO</t>
  </si>
  <si>
    <t>Goiânia</t>
  </si>
  <si>
    <t>4Q03</t>
  </si>
  <si>
    <t>Passeio das Águas Shopping</t>
  </si>
  <si>
    <t>Shopping Bosque dos Ipês</t>
  </si>
  <si>
    <t>MS</t>
  </si>
  <si>
    <t>Campo Grande</t>
  </si>
  <si>
    <t>MT</t>
  </si>
  <si>
    <t>Cuiabá</t>
  </si>
  <si>
    <t>Shopping Barra BA</t>
  </si>
  <si>
    <t>Nordeste</t>
  </si>
  <si>
    <t>BA</t>
  </si>
  <si>
    <t>Salvador</t>
  </si>
  <si>
    <t>4Q01</t>
  </si>
  <si>
    <t xml:space="preserve">Boulevard Shopping Vitória da Conquista </t>
  </si>
  <si>
    <t>Parque Shopping Bahia</t>
  </si>
  <si>
    <t>Lauro de Freitas</t>
  </si>
  <si>
    <t>North Shopping Joquei</t>
  </si>
  <si>
    <t>CE</t>
  </si>
  <si>
    <t>Fortaleza</t>
  </si>
  <si>
    <t>Shopping Iguatemi CE</t>
  </si>
  <si>
    <t>3Q03</t>
  </si>
  <si>
    <t>Partage Shopping Campina Grande</t>
  </si>
  <si>
    <t>PB</t>
  </si>
  <si>
    <t>Shopping Center Recife</t>
  </si>
  <si>
    <t>PE</t>
  </si>
  <si>
    <t>Recife</t>
  </si>
  <si>
    <t>3Q05</t>
  </si>
  <si>
    <t>Camará Shopping</t>
  </si>
  <si>
    <t>CAMARAGIBE</t>
  </si>
  <si>
    <t>Shopping Rio Poty</t>
  </si>
  <si>
    <t>PI</t>
  </si>
  <si>
    <t>TERESINA</t>
  </si>
  <si>
    <t>RN</t>
  </si>
  <si>
    <t>Natal</t>
  </si>
  <si>
    <t>2Q05</t>
  </si>
  <si>
    <t>Shopping Jardins</t>
  </si>
  <si>
    <t>SE</t>
  </si>
  <si>
    <t>Aracajú</t>
  </si>
  <si>
    <t>2Q06</t>
  </si>
  <si>
    <t>Shopping Bosque Grão Pará</t>
  </si>
  <si>
    <t>Norte</t>
  </si>
  <si>
    <t>PA</t>
  </si>
  <si>
    <t>Belém</t>
  </si>
  <si>
    <t>Shopping Pátio Belém</t>
  </si>
  <si>
    <t>Shopping Metrópole Ananindeua</t>
  </si>
  <si>
    <t>Pátio Roraima Shopping</t>
  </si>
  <si>
    <t>RR</t>
  </si>
  <si>
    <t>BH Shopping</t>
  </si>
  <si>
    <t>Sudeste</t>
  </si>
  <si>
    <t>MG</t>
  </si>
  <si>
    <t>Belo Horizonte</t>
  </si>
  <si>
    <t>4Q02</t>
  </si>
  <si>
    <t>RJ</t>
  </si>
  <si>
    <t>Rio de Janeiro</t>
  </si>
  <si>
    <t>Nova Iguaçu</t>
  </si>
  <si>
    <t>Shopping Leblon</t>
  </si>
  <si>
    <t>4Q06</t>
  </si>
  <si>
    <t>Américas Shopping</t>
  </si>
  <si>
    <t>Litoral Plaza Shopping</t>
  </si>
  <si>
    <t>SP</t>
  </si>
  <si>
    <t>Praia Grande</t>
  </si>
  <si>
    <t>4Q07</t>
  </si>
  <si>
    <t>Mooca Plaza Shopping</t>
  </si>
  <si>
    <t>São Paulo</t>
  </si>
  <si>
    <t>4Q11</t>
  </si>
  <si>
    <t>Novo Shopping Center</t>
  </si>
  <si>
    <t>Ribeirão Preto</t>
  </si>
  <si>
    <t>1Q08</t>
  </si>
  <si>
    <t>ParkShopping São Caetano</t>
  </si>
  <si>
    <t>São Caetano do Sul</t>
  </si>
  <si>
    <t>Shopping Anália Franco</t>
  </si>
  <si>
    <t>4Q09</t>
  </si>
  <si>
    <t>Shopping Bourbon SP</t>
  </si>
  <si>
    <t>3Q01</t>
  </si>
  <si>
    <t>Shopping Center Penha</t>
  </si>
  <si>
    <t>4Q10</t>
  </si>
  <si>
    <t>Shopping Center Vale</t>
  </si>
  <si>
    <t>São José dos Campos</t>
  </si>
  <si>
    <t>2Q08</t>
  </si>
  <si>
    <t>Shopping Eldorado</t>
  </si>
  <si>
    <t>2Q03</t>
  </si>
  <si>
    <t>Shopping Granja Viana</t>
  </si>
  <si>
    <t>Cotia</t>
  </si>
  <si>
    <t>Shopping Ibirapuera</t>
  </si>
  <si>
    <t>Shopping Internacional Guarulhos</t>
  </si>
  <si>
    <t>Guarulhos</t>
  </si>
  <si>
    <t>Shopping Jardim Sul</t>
  </si>
  <si>
    <t>Shopping Metrô Tatuapé</t>
  </si>
  <si>
    <t>Shopping Parque Dom Pedro</t>
  </si>
  <si>
    <t>Campinas</t>
  </si>
  <si>
    <t>1Q02</t>
  </si>
  <si>
    <t>Shopping Praça das Moças</t>
  </si>
  <si>
    <t>Diadema</t>
  </si>
  <si>
    <t>2Q09</t>
  </si>
  <si>
    <t>Shopping Tamboré</t>
  </si>
  <si>
    <t>União Shopping</t>
  </si>
  <si>
    <t>Osasco</t>
  </si>
  <si>
    <t>Boulevard Shopping Bauru</t>
  </si>
  <si>
    <t>Bauru</t>
  </si>
  <si>
    <t>Avenida Paulista</t>
  </si>
  <si>
    <t>Catuaí Shopping Maringá</t>
  </si>
  <si>
    <t>Sul</t>
  </si>
  <si>
    <t>PR</t>
  </si>
  <si>
    <t>Maringá</t>
  </si>
  <si>
    <t>Curitiba</t>
  </si>
  <si>
    <t>Shopping Palladium - Curitiba</t>
  </si>
  <si>
    <t>Barra Shopping Sul</t>
  </si>
  <si>
    <t>RS</t>
  </si>
  <si>
    <t>Porto Alegre</t>
  </si>
  <si>
    <t>Park Shopping</t>
  </si>
  <si>
    <t>Canoas</t>
  </si>
  <si>
    <t>Partage Shopping Rio Grande</t>
  </si>
  <si>
    <t xml:space="preserve">Balneário Camboriú Shopping </t>
  </si>
  <si>
    <t>SC</t>
  </si>
  <si>
    <t>Balneário Camboriú</t>
  </si>
  <si>
    <t>Shopping Itaguaçu</t>
  </si>
  <si>
    <t>SÃO JOSÉ</t>
  </si>
  <si>
    <t>Nações Shopping</t>
  </si>
  <si>
    <t>Brasília Shopping</t>
  </si>
  <si>
    <t>2Q97</t>
  </si>
  <si>
    <t>Shopping Boulevard DF</t>
  </si>
  <si>
    <t>Shopping Conjunto Nacional</t>
  </si>
  <si>
    <t>2Q98</t>
  </si>
  <si>
    <t>Shopping Pátio Brasil</t>
  </si>
  <si>
    <t>Shopping Taguatinga</t>
  </si>
  <si>
    <t>3Q09</t>
  </si>
  <si>
    <t>Brasil Park Shopping</t>
  </si>
  <si>
    <t>Anápolis</t>
  </si>
  <si>
    <t>4Q08</t>
  </si>
  <si>
    <t xml:space="preserve">Buriti Shopping </t>
  </si>
  <si>
    <t>Aparecida de Goiânia</t>
  </si>
  <si>
    <t>Goiânia Shopping</t>
  </si>
  <si>
    <t>Shopping Bougainville</t>
  </si>
  <si>
    <t>Shopping Sul</t>
  </si>
  <si>
    <t>Valparaíso de Goiás</t>
  </si>
  <si>
    <t>Shopping Norte Sul Plaza</t>
  </si>
  <si>
    <t>2Q11</t>
  </si>
  <si>
    <t>Pantanal Shopping</t>
  </si>
  <si>
    <t>4Q15</t>
  </si>
  <si>
    <t xml:space="preserve">Arapiraca Garden Shopping </t>
  </si>
  <si>
    <t>AL</t>
  </si>
  <si>
    <t>Arapiraca</t>
  </si>
  <si>
    <t>2Q14</t>
  </si>
  <si>
    <t>Parque Shopping Maceió</t>
  </si>
  <si>
    <t>Maceió</t>
  </si>
  <si>
    <t>Shopping Pátio Maceió</t>
  </si>
  <si>
    <t>Feira de Santana</t>
  </si>
  <si>
    <t>Jequitibá Plaza Shopping</t>
  </si>
  <si>
    <t>Itabuna</t>
  </si>
  <si>
    <t>Salvador Shopping</t>
  </si>
  <si>
    <t>2Q07</t>
  </si>
  <si>
    <t>Shopping Bela Vista</t>
  </si>
  <si>
    <t>3Q12</t>
  </si>
  <si>
    <t>4Q05</t>
  </si>
  <si>
    <t>Shopping Paralela</t>
  </si>
  <si>
    <t>Shopping Salvador Norte</t>
  </si>
  <si>
    <t xml:space="preserve">Cariri Garden Shopping </t>
  </si>
  <si>
    <t>Juazeiro do Norte</t>
  </si>
  <si>
    <t>2Q12</t>
  </si>
  <si>
    <t>Norte Shopping Fortaleza</t>
  </si>
  <si>
    <t>2Q10</t>
  </si>
  <si>
    <t>Shopping Parangaba</t>
  </si>
  <si>
    <t>4Q13</t>
  </si>
  <si>
    <t>Shopping Riomar Fortaleza</t>
  </si>
  <si>
    <t>4Q14</t>
  </si>
  <si>
    <t>Via Sul Shopping</t>
  </si>
  <si>
    <t>Imperial Shopping</t>
  </si>
  <si>
    <t>MA</t>
  </si>
  <si>
    <t>Imperatriz</t>
  </si>
  <si>
    <t>4Q12</t>
  </si>
  <si>
    <t>Rio Anil Shopping</t>
  </si>
  <si>
    <t>São Luís</t>
  </si>
  <si>
    <t>Manaíra Shopping</t>
  </si>
  <si>
    <t>João Pessoa</t>
  </si>
  <si>
    <t>Mangabeira Shopping</t>
  </si>
  <si>
    <t>River Shopping Petrolina</t>
  </si>
  <si>
    <t>Petrolina</t>
  </si>
  <si>
    <t>3Q11</t>
  </si>
  <si>
    <t>Shopping Casa Forte</t>
  </si>
  <si>
    <t>3Q07</t>
  </si>
  <si>
    <t>Shopping Guararapes</t>
  </si>
  <si>
    <t>Jaboatão dos Guararapes</t>
  </si>
  <si>
    <t>Shopping Tacarunã</t>
  </si>
  <si>
    <t>Natal Shopping</t>
  </si>
  <si>
    <t>Via Verde Shopping</t>
  </si>
  <si>
    <t>AC</t>
  </si>
  <si>
    <t>Rio Branco</t>
  </si>
  <si>
    <t>AM</t>
  </si>
  <si>
    <t>Manaus</t>
  </si>
  <si>
    <t>1Q13</t>
  </si>
  <si>
    <t>Shopping Manauara</t>
  </si>
  <si>
    <t>Park Shopping Belém</t>
  </si>
  <si>
    <t>Shopping Pátio Maraba</t>
  </si>
  <si>
    <t>Marabá</t>
  </si>
  <si>
    <t>3Q13</t>
  </si>
  <si>
    <t>Porto Velho Shopping</t>
  </si>
  <si>
    <t>RO</t>
  </si>
  <si>
    <t>Porto Velho</t>
  </si>
  <si>
    <t>Shopping Capim Dourado</t>
  </si>
  <si>
    <t>TO</t>
  </si>
  <si>
    <t>Palmas</t>
  </si>
  <si>
    <t>3Q10</t>
  </si>
  <si>
    <t>ES</t>
  </si>
  <si>
    <t>1Q12</t>
  </si>
  <si>
    <t>Vila Velha</t>
  </si>
  <si>
    <t>Vitória</t>
  </si>
  <si>
    <t>2Q02</t>
  </si>
  <si>
    <t>Extrema</t>
  </si>
  <si>
    <t>Center Shopping 7 Lagoas</t>
  </si>
  <si>
    <t>Sete Lagoas</t>
  </si>
  <si>
    <t>Center Shopping Uberlândia</t>
  </si>
  <si>
    <t>Uberlândia</t>
  </si>
  <si>
    <t>Minas Shopping</t>
  </si>
  <si>
    <t>Montes Claros Shopping</t>
  </si>
  <si>
    <t>Montes Claros</t>
  </si>
  <si>
    <t>Shopping Cidade</t>
  </si>
  <si>
    <t>3Q08</t>
  </si>
  <si>
    <t>Shopping Del Rey</t>
  </si>
  <si>
    <t>3Q96</t>
  </si>
  <si>
    <t>Shopping Estação BH</t>
  </si>
  <si>
    <t>Shopping Indepedência</t>
  </si>
  <si>
    <t>Juíz de Fora</t>
  </si>
  <si>
    <t>Shopping Itaú Power</t>
  </si>
  <si>
    <t>Contagem</t>
  </si>
  <si>
    <t>Shopping Metropolitan Garden</t>
  </si>
  <si>
    <t>Betim</t>
  </si>
  <si>
    <t>Shopping Pátio Savassi</t>
  </si>
  <si>
    <t>Shopping Poços de Caldas</t>
  </si>
  <si>
    <t>Poços de Caldas</t>
  </si>
  <si>
    <t>Uberlândia Shopping</t>
  </si>
  <si>
    <t>ViaShopping Barreiro</t>
  </si>
  <si>
    <t>Bangu Shopping</t>
  </si>
  <si>
    <t>4Q99</t>
  </si>
  <si>
    <t>Botafogo Praia Shopping</t>
  </si>
  <si>
    <t>São Gonçalo</t>
  </si>
  <si>
    <t>2Q13</t>
  </si>
  <si>
    <t>Norte Shopping RJ</t>
  </si>
  <si>
    <t>Park Shopping Campo Grande</t>
  </si>
  <si>
    <t>Plaza Shopping Niterói</t>
  </si>
  <si>
    <t>Niterói</t>
  </si>
  <si>
    <t xml:space="preserve">Shopping Boulevard Campo dos Goytacazes </t>
  </si>
  <si>
    <t>Campo dos Goytacazes</t>
  </si>
  <si>
    <t>Shopping Grande Rio</t>
  </si>
  <si>
    <t>São João de Meriti</t>
  </si>
  <si>
    <t>Macaé</t>
  </si>
  <si>
    <t>Shopping Ilha Plaza</t>
  </si>
  <si>
    <t>Shopping Madureira</t>
  </si>
  <si>
    <t>Shopping Metropolitano Barra</t>
  </si>
  <si>
    <t>Shopping Nova América</t>
  </si>
  <si>
    <t>Shopping Pátio Resende</t>
  </si>
  <si>
    <t>Resende</t>
  </si>
  <si>
    <t>Shopping Rio Sul</t>
  </si>
  <si>
    <t>Shopping São Gonçalo</t>
  </si>
  <si>
    <t>Shopping Tijuca</t>
  </si>
  <si>
    <t>1Q10</t>
  </si>
  <si>
    <t>West Shopping Rio</t>
  </si>
  <si>
    <t>Campinas Shopping</t>
  </si>
  <si>
    <t>2Q15</t>
  </si>
  <si>
    <t>Central Plaza Shopping</t>
  </si>
  <si>
    <t>Franca Shopping Center</t>
  </si>
  <si>
    <t>Franca</t>
  </si>
  <si>
    <t>Golden Square Shopping</t>
  </si>
  <si>
    <t>São Bernardo do Campo</t>
  </si>
  <si>
    <t>Itapetininga Shopping</t>
  </si>
  <si>
    <t>Itapetininga</t>
  </si>
  <si>
    <t>Jundiaí Shopping</t>
  </si>
  <si>
    <t>Jundiaí</t>
  </si>
  <si>
    <t>Mogi Shopping</t>
  </si>
  <si>
    <t>Mogi das Cruzes</t>
  </si>
  <si>
    <t>Morumbi Shopping</t>
  </si>
  <si>
    <t>4Q00</t>
  </si>
  <si>
    <t>Parque Shopping Barueri</t>
  </si>
  <si>
    <t>Barueri</t>
  </si>
  <si>
    <t>Plaza Shopping Itú</t>
  </si>
  <si>
    <t>Itú</t>
  </si>
  <si>
    <t>Polo Shopping</t>
  </si>
  <si>
    <t>Indaiatuba</t>
  </si>
  <si>
    <t>Prudenshopping</t>
  </si>
  <si>
    <t>Presidente Prudente</t>
  </si>
  <si>
    <t>Ribeirão Preto Shopping</t>
  </si>
  <si>
    <t>1Q03</t>
  </si>
  <si>
    <t>Santana Park Shopping</t>
  </si>
  <si>
    <t>São Bernardo Plaza Shopping</t>
  </si>
  <si>
    <t>Serramar Parque Shopping</t>
  </si>
  <si>
    <t>Caraguatatuba</t>
  </si>
  <si>
    <t>Shopping ABC</t>
  </si>
  <si>
    <t>Santo André</t>
  </si>
  <si>
    <t>Marília</t>
  </si>
  <si>
    <t>Shopping Bauru</t>
  </si>
  <si>
    <t>Shopping Bonsucesso</t>
  </si>
  <si>
    <t>Shopping Center Piracicaba</t>
  </si>
  <si>
    <t>Piracicaba</t>
  </si>
  <si>
    <t>Shopping Cidade Sorocaba</t>
  </si>
  <si>
    <t>Sorocaba</t>
  </si>
  <si>
    <t>Shopping Grande Plaza ABC</t>
  </si>
  <si>
    <t>Shopping Higienópolis</t>
  </si>
  <si>
    <t>Shopping Mauá</t>
  </si>
  <si>
    <t>Mauá</t>
  </si>
  <si>
    <t>Shopping Metrô Santa Cruz</t>
  </si>
  <si>
    <t>Shopping Metrô Tucuruvi</t>
  </si>
  <si>
    <t>Shopping Parque das Bandeiras</t>
  </si>
  <si>
    <t>Shopping Pátio Limeira</t>
  </si>
  <si>
    <t>Limeira</t>
  </si>
  <si>
    <t>Shopping Rio Claro</t>
  </si>
  <si>
    <t>Rio Claro</t>
  </si>
  <si>
    <t>Shopping Suzano</t>
  </si>
  <si>
    <t>Suzano</t>
  </si>
  <si>
    <t>Shopping Taboão</t>
  </si>
  <si>
    <t>Taboão da Serra</t>
  </si>
  <si>
    <t>Super Shopping Osasco</t>
  </si>
  <si>
    <t>Tietê Plaza Shopping</t>
  </si>
  <si>
    <t>Boulevard Londrina Shopping</t>
  </si>
  <si>
    <t>Londrina</t>
  </si>
  <si>
    <t>Shopping Barigui</t>
  </si>
  <si>
    <t>Shopping Catuaí</t>
  </si>
  <si>
    <t>Shopping Estação PR</t>
  </si>
  <si>
    <t>3Q04</t>
  </si>
  <si>
    <t>Shopping Mueller</t>
  </si>
  <si>
    <t>Shopping Palladium - Ponta Grossa</t>
  </si>
  <si>
    <t>Ponta Grossa</t>
  </si>
  <si>
    <t>Shopping Pátio Batel</t>
  </si>
  <si>
    <t>Shopping São José</t>
  </si>
  <si>
    <t>São José dos Pinhais</t>
  </si>
  <si>
    <t>Bourbon Shopping</t>
  </si>
  <si>
    <t>São Leopoldo</t>
  </si>
  <si>
    <t>Bourbon Shopping Novo Hamburgo</t>
  </si>
  <si>
    <t>Novo Hamburgo</t>
  </si>
  <si>
    <t>Shopping Bourbon RS</t>
  </si>
  <si>
    <t>Shopping Iguatemi Caxias</t>
  </si>
  <si>
    <t>Caxias do Sul</t>
  </si>
  <si>
    <t>Shopping Pelotas</t>
  </si>
  <si>
    <t>Pelotas</t>
  </si>
  <si>
    <t>Beiramar Shopping</t>
  </si>
  <si>
    <t>Florianópolis</t>
  </si>
  <si>
    <t>Blumenau Norte Shopping</t>
  </si>
  <si>
    <t>Blumenau</t>
  </si>
  <si>
    <t>Continente Park Shopping</t>
  </si>
  <si>
    <t>São José</t>
  </si>
  <si>
    <t>Floripa Shopping</t>
  </si>
  <si>
    <t>Joinville Garden Shopping</t>
  </si>
  <si>
    <t>Joinville</t>
  </si>
  <si>
    <t>Shopping Neumarkt</t>
  </si>
  <si>
    <t>Shopping Pátio Chapecó</t>
  </si>
  <si>
    <t>Chapecó</t>
  </si>
  <si>
    <t>Boulevard Shopping São Gonçalo</t>
  </si>
  <si>
    <t>Debêntures</t>
  </si>
  <si>
    <t>Debentures</t>
  </si>
  <si>
    <t>3Q20 
Ex-IFRS 16</t>
  </si>
  <si>
    <t>3Q20
Ex-IFRS 16</t>
  </si>
  <si>
    <t>9M20</t>
  </si>
  <si>
    <t>9M19</t>
  </si>
  <si>
    <t>9M18</t>
  </si>
  <si>
    <t>9M17</t>
  </si>
  <si>
    <t>9M19 
Ex-IFRS 16</t>
  </si>
  <si>
    <t>2019 
Ex-IFRS 16</t>
  </si>
  <si>
    <t>9M20 
Ex-IFRS 16</t>
  </si>
  <si>
    <t>2020
Ex-IFRS 16</t>
  </si>
  <si>
    <t>4Q20</t>
  </si>
  <si>
    <t>4Q20
Ex-IFRS 16</t>
  </si>
  <si>
    <t>Atacado</t>
  </si>
  <si>
    <t>Shopping Iguatemi São José do Rio Preto</t>
  </si>
  <si>
    <t>São José do Rio Preto</t>
  </si>
  <si>
    <t>Shopping Iguatemi Campinas</t>
  </si>
  <si>
    <t>Shopping Light</t>
  </si>
  <si>
    <t>Carrefour Autonomistas</t>
  </si>
  <si>
    <t>Shopping Catarina Outlet</t>
  </si>
  <si>
    <t>Outlet Premium - SP</t>
  </si>
  <si>
    <t>Outlet Premium Grande - SP</t>
  </si>
  <si>
    <t>Shopping Vale Sul</t>
  </si>
  <si>
    <t>Outlet Premium - RJ</t>
  </si>
  <si>
    <t>Shopping Boulevard</t>
  </si>
  <si>
    <t>Shopping I Fashion Outlet</t>
  </si>
  <si>
    <t>Shopping Araguaia</t>
  </si>
  <si>
    <t>São Roque</t>
  </si>
  <si>
    <t>Itupeva</t>
  </si>
  <si>
    <t>Itaquaquecetuba</t>
  </si>
  <si>
    <t>Alexânia</t>
  </si>
  <si>
    <t>Caucaia</t>
  </si>
  <si>
    <t>Outlet Premium - BA</t>
  </si>
  <si>
    <t>Wholesale</t>
  </si>
  <si>
    <t>*valores já incluem FISIA</t>
  </si>
  <si>
    <t>4Q20*</t>
  </si>
  <si>
    <t>4Q20*
Ex-IFRS 16</t>
  </si>
  <si>
    <t>Receita Bruta Centauro</t>
  </si>
  <si>
    <t>Receita Bruta Fisia</t>
  </si>
  <si>
    <t>(-) Eliminação intercompany</t>
  </si>
  <si>
    <t>Gross Revenue Centauro</t>
  </si>
  <si>
    <t>Gross Revenue Fisia</t>
  </si>
  <si>
    <t>(-) Intercompany Elimination</t>
  </si>
  <si>
    <t>Shopping RioMar Recife</t>
  </si>
  <si>
    <t>Shopping RioMar Aracaju</t>
  </si>
  <si>
    <t>Receita operacional líquida (ajustado)</t>
  </si>
  <si>
    <t>Net revenue (adjusted)</t>
  </si>
  <si>
    <t>Unidade de Negócio</t>
  </si>
  <si>
    <t>Business Unit</t>
  </si>
  <si>
    <t>Centauro</t>
  </si>
  <si>
    <t>Fisia</t>
  </si>
  <si>
    <t>1Q21</t>
  </si>
  <si>
    <t>Receita Líquida Centauro</t>
  </si>
  <si>
    <t>Net Revenue Centauro</t>
  </si>
  <si>
    <t>Receita Líquida Fisia</t>
  </si>
  <si>
    <t>Net Revenue Fisia</t>
  </si>
  <si>
    <t>Amazonas Shopping Center</t>
  </si>
  <si>
    <t>Jockey Plaza Shopping</t>
  </si>
  <si>
    <t>Marília Shopping / Shopping Aquarius</t>
  </si>
  <si>
    <t>Midway Mall Shopping</t>
  </si>
  <si>
    <t>Outlet Extrema</t>
  </si>
  <si>
    <t>Shopping Eldorado Campo Grande</t>
  </si>
  <si>
    <t>Shopping Estação Cuiabá</t>
  </si>
  <si>
    <t xml:space="preserve">Shopping Iguatemi Porto Alegre </t>
  </si>
  <si>
    <t>Shopping Nova Iguaçu</t>
  </si>
  <si>
    <t>Shopping Plaza Macaé / Granja dos Cavaleiros</t>
  </si>
  <si>
    <t>Shopping Riomar Kennedy</t>
  </si>
  <si>
    <t>Visão descontinuada a partir do 1Q21</t>
  </si>
  <si>
    <t>Lucro Bruto (ajustado)</t>
  </si>
  <si>
    <t>Gross profit (adjusted)</t>
  </si>
  <si>
    <t>Gross margin (adjusted)</t>
  </si>
  <si>
    <t>Margem Bruta (ajustada)</t>
  </si>
  <si>
    <t>Ativo
(R$ mil)</t>
  </si>
  <si>
    <t>Assets
(R$ thousand)</t>
  </si>
  <si>
    <t>Liabilities
(R$ thousand)</t>
  </si>
  <si>
    <t>Passivo
(R$ mil)</t>
  </si>
  <si>
    <t>Derivatives</t>
  </si>
  <si>
    <t>Derivativos</t>
  </si>
  <si>
    <t>2Q21</t>
  </si>
  <si>
    <t>Shopping Pátio Cianê</t>
  </si>
  <si>
    <t>Trimais Places</t>
  </si>
  <si>
    <t>Cantareira Norte Shopping</t>
  </si>
  <si>
    <t>Umuarama</t>
  </si>
  <si>
    <t>Shopping Palladium Umuarama</t>
  </si>
  <si>
    <t>1Q21
*reapresentado</t>
  </si>
  <si>
    <t>SSS Total¹</t>
  </si>
  <si>
    <t>Total SSS¹</t>
  </si>
  <si>
    <t xml:space="preserve">1. SSS or Same Store Sales means the change in our revenue disregarding the revenue of stores that were closed for renovation or had not been opened in the equivalent months of the two periods analyzed. Our methodology does not exclude stores closed due to the pandemic from the base. </t>
  </si>
  <si>
    <t>1. SSS (Same Store Sales) significa a variação da nossa receita desconsiderando a receita de lojas fechadas para reforma ou que não haviam sido inauguradas nos meses equivalentes dos dois períodos analisados Nossa metodologia não exclui da base lojas fechadas por causa da pandemia.</t>
  </si>
  <si>
    <t>9M21</t>
  </si>
  <si>
    <t>3Q21</t>
  </si>
  <si>
    <t>Araras</t>
  </si>
  <si>
    <t>BAURU</t>
  </si>
  <si>
    <t>Boulevard Shopping Belém</t>
  </si>
  <si>
    <t>Boulevard Shopping Belo Horizonte</t>
  </si>
  <si>
    <t>Boulevard Shopping Feira da Santana</t>
  </si>
  <si>
    <t>VITÓRIA DA CONQUISTA</t>
  </si>
  <si>
    <t>Extra Anchieta</t>
  </si>
  <si>
    <t>Loja De Rua</t>
  </si>
  <si>
    <t>Loja De Rua - Curitiba</t>
  </si>
  <si>
    <t>CRICIÚMA</t>
  </si>
  <si>
    <t>Duque De Caxias</t>
  </si>
  <si>
    <t>Outlet Premium (Off) - CE</t>
  </si>
  <si>
    <t>Outlet Premium Brasília</t>
  </si>
  <si>
    <t>Parque Shopping Maia</t>
  </si>
  <si>
    <t>CAMPINA GRANDE</t>
  </si>
  <si>
    <t>RIO GRANDE</t>
  </si>
  <si>
    <t>BOA VISTA</t>
  </si>
  <si>
    <t>CAMPO GRANDE</t>
  </si>
  <si>
    <t>BELÉM</t>
  </si>
  <si>
    <t>Shopping Iguatemi Brasília</t>
  </si>
  <si>
    <t>Shopping Iguatemi Ribeirão Preto</t>
  </si>
  <si>
    <t>Shopping Maringá Park</t>
  </si>
  <si>
    <t>Shopping Metro Itaquera</t>
  </si>
  <si>
    <t>ANANINDEUA</t>
  </si>
  <si>
    <t>Rio De Janeiro</t>
  </si>
  <si>
    <t>Shopping Passo Fundo</t>
  </si>
  <si>
    <t>Passo Fundo</t>
  </si>
  <si>
    <t>Shopping Patteo Olinda</t>
  </si>
  <si>
    <t>Shopping Serra Sul</t>
  </si>
  <si>
    <t>Pouso Alegre</t>
  </si>
  <si>
    <t>Tivoli Shopping</t>
  </si>
  <si>
    <t>Santa Barbara D'Oeste</t>
  </si>
  <si>
    <t>Ano Inauguração</t>
  </si>
  <si>
    <t>Inauguration Year</t>
  </si>
  <si>
    <t>Tri Inauguração</t>
  </si>
  <si>
    <t>Shopping Só Marcas Outlet (Contagem)</t>
  </si>
  <si>
    <t>Shopping Só Marcas Outlet (Guarulhos)</t>
  </si>
  <si>
    <t xml:space="preserve">Shopping Nova América </t>
  </si>
  <si>
    <t xml:space="preserve">Shopping São Gonçalo </t>
  </si>
  <si>
    <t>4Q21</t>
  </si>
  <si>
    <t>Centauro Total</t>
  </si>
  <si>
    <t>Total Centauro</t>
  </si>
  <si>
    <t>Dividendos a pagar</t>
  </si>
  <si>
    <t>Dividends payable</t>
  </si>
  <si>
    <t>Imposto de renda e contribuição social a recolher</t>
  </si>
  <si>
    <t>Income tax and social contribution payable</t>
  </si>
  <si>
    <t>Ajustes de avaliação patrimonial</t>
  </si>
  <si>
    <t>Equity valuation adjustments</t>
  </si>
  <si>
    <t>Perda por redução ao valor recuperável de contas a receber</t>
  </si>
  <si>
    <t>Loss due to impairment of accounts receivable</t>
  </si>
  <si>
    <t>Shopping Iguatemi JK</t>
  </si>
  <si>
    <t>Shopping Iguatemi São Paulo</t>
  </si>
  <si>
    <t>Shopping Sinop</t>
  </si>
  <si>
    <t>Mato Grosso</t>
  </si>
  <si>
    <t>1Q22</t>
  </si>
  <si>
    <t>Logistics</t>
  </si>
  <si>
    <t>Logística</t>
  </si>
  <si>
    <t>Investimentos</t>
  </si>
  <si>
    <t>Investments</t>
  </si>
  <si>
    <t>Passivo fiscal diferido</t>
  </si>
  <si>
    <t>Deferred tax liability</t>
  </si>
  <si>
    <t>Shopping Araçatuba</t>
  </si>
  <si>
    <t>Shopping Curitiba</t>
  </si>
  <si>
    <t>Shopping I Fashion Outlet SC</t>
  </si>
  <si>
    <t>Shopping Itaquera</t>
  </si>
  <si>
    <t>Tijucas</t>
  </si>
  <si>
    <t>Margem bruta</t>
  </si>
  <si>
    <t>Gross margin</t>
  </si>
  <si>
    <t>Margem EBITDA</t>
  </si>
  <si>
    <t>Margem líquida</t>
  </si>
  <si>
    <t>Net margin</t>
  </si>
  <si>
    <t>EBITDA margin</t>
  </si>
  <si>
    <t>2Q22</t>
  </si>
  <si>
    <t>Nike Value Store (Fisia)</t>
  </si>
  <si>
    <t>Nike Value Store (Fisia) Inaugurações no tri</t>
  </si>
  <si>
    <t>Nike Value Store (Fisia) Inaugurations in the quarter</t>
  </si>
  <si>
    <t>Nike Value Store store area (sqm)</t>
  </si>
  <si>
    <t>Área Nike Value Store (m²)</t>
  </si>
  <si>
    <t>Shopping da Bahia (Iguatemi)</t>
  </si>
  <si>
    <t>Shopping Interlagos</t>
  </si>
  <si>
    <t>SSS total (NVS + digital)</t>
  </si>
  <si>
    <t xml:space="preserve">SSS Nike Value Store </t>
  </si>
  <si>
    <t>GMV Digital</t>
  </si>
  <si>
    <t>2Q16</t>
  </si>
  <si>
    <t>Mútuos a receber</t>
  </si>
  <si>
    <t>Loans receivable</t>
  </si>
  <si>
    <t>9M22</t>
  </si>
  <si>
    <t>3Q22</t>
  </si>
  <si>
    <t>Despesas com Vendas/Adm</t>
  </si>
  <si>
    <t>SG&amp;A</t>
  </si>
  <si>
    <t>1H22</t>
  </si>
  <si>
    <t>1H21</t>
  </si>
  <si>
    <t>1H20</t>
  </si>
  <si>
    <t>1H19</t>
  </si>
  <si>
    <t>1H18</t>
  </si>
  <si>
    <t>1H17</t>
  </si>
  <si>
    <t>1H20 
Ex-IFRS 16</t>
  </si>
  <si>
    <t>1H19 
Ex-IFRS 16</t>
  </si>
  <si>
    <t>Mútuos a pagar</t>
  </si>
  <si>
    <t>Loans to pay</t>
  </si>
  <si>
    <t>Nike Direct Inline Store (Fisia)</t>
  </si>
  <si>
    <t>Nike Direct Inline Store (Fisia) Inaugurações no tri</t>
  </si>
  <si>
    <t>Nike Direct Inline Store (Fisia) Inaugurations in the quarter</t>
  </si>
  <si>
    <t>Carioca Shopping</t>
  </si>
  <si>
    <t>Shopping Ibirapuera (Fisia)</t>
  </si>
  <si>
    <t>Shopping Iguatemi Fortaleza</t>
  </si>
  <si>
    <t>Shopping Pato Branco</t>
  </si>
  <si>
    <t>Pato Branco</t>
  </si>
  <si>
    <t>Área Nike Direct Inline Store (m²)</t>
  </si>
  <si>
    <t>Nike Direct Inline Store store area (sqm)</t>
  </si>
  <si>
    <t>2019
Ex-IFRS 16</t>
  </si>
  <si>
    <t>4Q22</t>
  </si>
  <si>
    <t>City Center Outlet</t>
  </si>
  <si>
    <t>Campo Largo</t>
  </si>
  <si>
    <t>Shopping Aricanduva (Centauro)</t>
  </si>
  <si>
    <t>Shopping Aricanduva (Fisia)</t>
  </si>
  <si>
    <t>Shopping da Ilha (Centauro)</t>
  </si>
  <si>
    <t>Shopping da Ilha (Fisia)</t>
  </si>
  <si>
    <t>Shopping Flamboyant</t>
  </si>
  <si>
    <t>Goiania</t>
  </si>
  <si>
    <t>Shopping Iguatemi Porto Alegre</t>
  </si>
  <si>
    <t>Shopping Mangabeira</t>
  </si>
  <si>
    <t>Shopping SP Market (Centauro)</t>
  </si>
  <si>
    <t>Shopping Vitória (Centauro)</t>
  </si>
  <si>
    <t>Shopping Vitória (Fisia)</t>
  </si>
  <si>
    <t>Shoppinga Passeio das Águas</t>
  </si>
  <si>
    <t>Total Fisia</t>
  </si>
  <si>
    <t>Fisia Total</t>
  </si>
  <si>
    <t>Imposto de renda e contribuição social diferidos</t>
  </si>
  <si>
    <t>Deferred income tax and social contribution</t>
  </si>
  <si>
    <t>Operating Expenses (w/o depreciation)</t>
  </si>
  <si>
    <t>1Q23</t>
  </si>
  <si>
    <t>Depreciation and Amortization</t>
  </si>
  <si>
    <t>Financial Income (Expenses), net</t>
  </si>
  <si>
    <t>(+) Impactos IFRS16 nas Despesas com Vendas</t>
  </si>
  <si>
    <t>(+) IFRS16 Impacts on Operating Expenses</t>
  </si>
  <si>
    <t>(+) Impactos IFRS16 nas Despesas Operacionais</t>
  </si>
  <si>
    <t>Despesas Operacionais (sem depreciação) (ex-IFRS16)</t>
  </si>
  <si>
    <t>Outras receitas operacionais, líquidas (ex-IFRS16)</t>
  </si>
  <si>
    <t xml:space="preserve">EBITDA Reconciliation </t>
  </si>
  <si>
    <t>(+) Depreciação e amortização - Direito de Uso (IFRS16)</t>
  </si>
  <si>
    <t>(+) Depreciation and Amortization - Right of Use (IFRS16)</t>
  </si>
  <si>
    <t>(+) Despesas Financeiras - Direito de Uso (IFRS16)</t>
  </si>
  <si>
    <t>(+) Finance costs - Right of Use (IFRS16)</t>
  </si>
  <si>
    <t>(+) Imposto de Renda (IFRS16)</t>
  </si>
  <si>
    <t>(+) Income and Social Contribution (IFRS16)</t>
  </si>
  <si>
    <t>Net Income (ex IFRS16)</t>
  </si>
  <si>
    <t>EBITDA (ex IFRS16)</t>
  </si>
  <si>
    <t>Margem líquida (ex-IFRS16)</t>
  </si>
  <si>
    <t>Shopping Barra Salvador</t>
  </si>
  <si>
    <t>Shopping Barra Sul</t>
  </si>
  <si>
    <t>Shopping Center Norte (Centauro)</t>
  </si>
  <si>
    <t>Shopping Center Norte (Fisia)</t>
  </si>
  <si>
    <t>Shopping Litoral Plaza</t>
  </si>
  <si>
    <t>Shopping Metropolitano Ananindeua</t>
  </si>
  <si>
    <t>Ananindeua</t>
  </si>
  <si>
    <t>Shopping SP Market</t>
  </si>
  <si>
    <t>DRE ex-IFRS
(R$ mil)</t>
  </si>
  <si>
    <t>Reconciliação EBITDA e Lucro Líquido</t>
  </si>
  <si>
    <t>EBITDA (ex-IFRS16)</t>
  </si>
  <si>
    <t>EBITDA (c/ IFRS16)</t>
  </si>
  <si>
    <t>Lucro Líquido (ex-IFRS16)</t>
  </si>
  <si>
    <t>Lucro Líquido (c/ IFRS16)</t>
  </si>
  <si>
    <t>(+) Impactos IFRS16 nas Outras Despesas</t>
  </si>
  <si>
    <t>(+) Impactos IFRS16 nas Despesas Adm. e Gerais</t>
  </si>
  <si>
    <t>Despesas com Vendas (sem depreciação) (ex-IFRS16)</t>
  </si>
  <si>
    <t>Despesas Administrativas e Gerais (sem depreciação) (ex-IFRS16)</t>
  </si>
  <si>
    <t>Margem EBITDA (ex-IFRS16)</t>
  </si>
  <si>
    <t>Depreciação e Amortização (ex-IFRS16)</t>
  </si>
  <si>
    <t>Lucro antes do resultado financeiro (ex-IFRS16)</t>
  </si>
  <si>
    <t>Resultado Financeiro (ex-IFRS16)</t>
  </si>
  <si>
    <t xml:space="preserve">Receitas Financeiras Líquidas </t>
  </si>
  <si>
    <t>Despesas Financeiras (ex-IFRS16)</t>
  </si>
  <si>
    <t>Lucro antes do IR e CS (ex-IFRS16)</t>
  </si>
  <si>
    <t>Imposto de renda e contribuição social (ex-IFRS16)</t>
  </si>
  <si>
    <t>Lucro (Prejuízo) líquido do exercício (ex-IFRS16)</t>
  </si>
  <si>
    <t>Margem líquida (c/ IFRS16)</t>
  </si>
  <si>
    <t>Margem EBITDA (c/ IFRS16)</t>
  </si>
  <si>
    <t>DRE ex-IFRS Ajustada
(R$ mil)</t>
  </si>
  <si>
    <t>(+) Eliminação intercompany</t>
  </si>
  <si>
    <t>Lucro Bruto Centauro</t>
  </si>
  <si>
    <t>Lucro Bruto Fisia</t>
  </si>
  <si>
    <t>EBITDA (with IFRS16)</t>
  </si>
  <si>
    <t>Net Income (with IFRS16)</t>
  </si>
  <si>
    <t>Net margin (with IFRS16)</t>
  </si>
  <si>
    <t>EBITDA margin (with IFRS16)</t>
  </si>
  <si>
    <t>(+) IFRS16 Impacts on Selling Expenses</t>
  </si>
  <si>
    <t>(+) IFRS16 Impacts on General and Administrative Expenses</t>
  </si>
  <si>
    <t>(+) IFRS16 Impacts on Other Expenses</t>
  </si>
  <si>
    <t>Despesas com Vendas (sem depreciação) (ex-IFRS16)¹</t>
  </si>
  <si>
    <t>(1) Para 2017, os valores das despesas estão apresentados de forma consolidada ADM+VENDA</t>
  </si>
  <si>
    <t>1H23</t>
  </si>
  <si>
    <t>2Q23</t>
  </si>
  <si>
    <t>Barra Shopping (Fisia)</t>
  </si>
  <si>
    <t>NDIS (NSP/Nike Store)</t>
  </si>
  <si>
    <t>Nike Value Store</t>
  </si>
  <si>
    <t>Shopping BH Outlet</t>
  </si>
  <si>
    <t>Shopping Iguatemi Alphaville (Centauro)</t>
  </si>
  <si>
    <t>Shopping Mueller Joinville</t>
  </si>
  <si>
    <t>Shopping Praia de Belas - Iguatemi (Centauro)</t>
  </si>
  <si>
    <t>Shopping Praia de Belas - Iguatemi (Fisia)</t>
  </si>
  <si>
    <t>Shopping União Osasco</t>
  </si>
  <si>
    <t>&gt; Para o ano de 2020, os Resultados do Grupo incluem APENAS Centauro e os Resultados de FISIA incluem apenas o mês de dezembro.</t>
  </si>
  <si>
    <t>&gt; As Despesas Operacionais, Despesas de Venda e Despesas Administrativas e Gerais estão apresentadas sem Depreciação.</t>
  </si>
  <si>
    <t>Ativo não-circulante</t>
  </si>
  <si>
    <t>Passivo não-circulante</t>
  </si>
  <si>
    <t>9M23</t>
  </si>
  <si>
    <t>3Q23</t>
  </si>
  <si>
    <t>Continente Park Shopping (Fisia)</t>
  </si>
  <si>
    <t>Tributos a compensar</t>
  </si>
  <si>
    <t>Outras contas a receber</t>
  </si>
  <si>
    <t>Ativo fiscal diferido</t>
  </si>
  <si>
    <t>Outros valores a receber</t>
  </si>
  <si>
    <t>Impostos parcelados</t>
  </si>
  <si>
    <t>Reservas de capital</t>
  </si>
  <si>
    <t>4Q23</t>
  </si>
  <si>
    <t>4T23</t>
  </si>
  <si>
    <t>CAPEX</t>
  </si>
  <si>
    <t>Reformas</t>
  </si>
  <si>
    <t>Tecnologia e Inovação</t>
  </si>
  <si>
    <t>Contencioso</t>
  </si>
  <si>
    <t>Publicidade e Propaganda</t>
  </si>
  <si>
    <t>Comissão de Cartão</t>
  </si>
  <si>
    <t>Comissão de cartão</t>
  </si>
  <si>
    <t>Contensioso</t>
  </si>
  <si>
    <t/>
  </si>
  <si>
    <t>Selling expenses (w/o depreciation) (ex-IFRS16)¹</t>
  </si>
  <si>
    <t>Accounting Income Statement ex-IFRS
(R$ thousand)</t>
  </si>
  <si>
    <t>EBITDA margin (ex-IFRS16)</t>
  </si>
  <si>
    <t>Income before financial result (ex-IFRS16)</t>
  </si>
  <si>
    <t>Financial result (ex-IFRS16)</t>
  </si>
  <si>
    <t>Finance costs (ex-IFRS16)</t>
  </si>
  <si>
    <t>Income before income taxes (ex-IFRS16)</t>
  </si>
  <si>
    <t>Income tax and social contribution (ex-IFRS16)</t>
  </si>
  <si>
    <t>Net income for period (ex-IFRS16)</t>
  </si>
  <si>
    <t>Net margin (ex-IFRS16)</t>
  </si>
  <si>
    <t>Selling expenses (w/o depreciation) (ex-IFRS16)</t>
  </si>
  <si>
    <t>Administrative and general expenses (w/o depreciation) (ex-IFRS16)</t>
  </si>
  <si>
    <t>Other operating income, net (ex-IFRS16)</t>
  </si>
  <si>
    <t>Operating Expenses (w/o depreciation) (ex-IFRS16)</t>
  </si>
  <si>
    <t>Depósitos judiciais</t>
  </si>
  <si>
    <t>Outras contas a pagar</t>
  </si>
  <si>
    <t>Outras Obrigações</t>
  </si>
  <si>
    <t>Dividendos Propostos</t>
  </si>
  <si>
    <t>Proposed Dividends</t>
  </si>
  <si>
    <t>1Q24</t>
  </si>
  <si>
    <t>Depreciação de Direito de Uso</t>
  </si>
  <si>
    <t>Fretes e Transportes</t>
  </si>
  <si>
    <t>Taxa de Cartão e Serviços Financeiros</t>
  </si>
  <si>
    <t>Facilities e Utilities</t>
  </si>
  <si>
    <t>Depreciação e Amortização</t>
  </si>
  <si>
    <t>Informática e Telecomunicações</t>
  </si>
  <si>
    <t>Embalagens e Outros Materiais</t>
  </si>
  <si>
    <t>Contencioso e Despesas Jurídicas</t>
  </si>
  <si>
    <t>Outras Despesas</t>
  </si>
  <si>
    <t>Financial Services</t>
  </si>
  <si>
    <t>IT and Telecommunications</t>
  </si>
  <si>
    <t>Shipping and Transportation</t>
  </si>
  <si>
    <t>Packaging and Other Materials</t>
  </si>
  <si>
    <t>Advertising</t>
  </si>
  <si>
    <t>Visão descontinuada a partir do 1Q24</t>
  </si>
  <si>
    <t xml:space="preserve">Atualizado em </t>
  </si>
  <si>
    <t>2Q24</t>
  </si>
  <si>
    <t>3Q24</t>
  </si>
  <si>
    <t>1H24</t>
  </si>
  <si>
    <t>9M24</t>
  </si>
  <si>
    <t>Fluxo de Caixa 
(em R$ milhões)</t>
  </si>
  <si>
    <t xml:space="preserve">Lucro antes dos impostos </t>
  </si>
  <si>
    <t>Grupo SBF</t>
  </si>
  <si>
    <t>Ajustado por:</t>
  </si>
  <si>
    <t>Juros</t>
  </si>
  <si>
    <t>Interest rates</t>
  </si>
  <si>
    <t>Impairment losses on accounts receivables</t>
  </si>
  <si>
    <t>Resultado de equivalência patrimonial</t>
  </si>
  <si>
    <t>Equity Income</t>
  </si>
  <si>
    <t>Pagamento baseado em ações</t>
  </si>
  <si>
    <t>Share-based payment</t>
  </si>
  <si>
    <t>Resultado da baixa de ativo imobilizado e intangível</t>
  </si>
  <si>
    <t>Result of the write-off of fixed and intangible assets</t>
  </si>
  <si>
    <t>Provisão para obsolescência do estoque</t>
  </si>
  <si>
    <t>Provision for inventory obsolescence</t>
  </si>
  <si>
    <t>Constituição líquida de provisão para contencioso</t>
  </si>
  <si>
    <t>Net recording of provision for contingencies</t>
  </si>
  <si>
    <t>Descontos sobre arrendamentos</t>
  </si>
  <si>
    <t>Lease discounts</t>
  </si>
  <si>
    <t>Variações em:</t>
  </si>
  <si>
    <t>(Aumento) redução nos ativos</t>
  </si>
  <si>
    <t>(Increase) decrease in Assets</t>
  </si>
  <si>
    <t>Accounts receivable</t>
  </si>
  <si>
    <t xml:space="preserve">Derivative financial instruments </t>
  </si>
  <si>
    <t>Tributos a compensar, IRPJ e CSLL a compensar</t>
  </si>
  <si>
    <t>Deferred taxes, income tax and social contribution to be offset</t>
  </si>
  <si>
    <t>Judicial deposits</t>
  </si>
  <si>
    <t>Other accounts receivable</t>
  </si>
  <si>
    <t>Parcelamentos de tributos</t>
  </si>
  <si>
    <t>Contingências pagas</t>
  </si>
  <si>
    <t>Contingencies paid</t>
  </si>
  <si>
    <t>Obrigações trabalhistas e previdenciárias</t>
  </si>
  <si>
    <t>Labor and social security liabilities</t>
  </si>
  <si>
    <t>Other accounts payable</t>
  </si>
  <si>
    <t>Other obligations</t>
  </si>
  <si>
    <t>Variação nos ativos e passivos:</t>
  </si>
  <si>
    <t>Chg. in assets and liabilities:</t>
  </si>
  <si>
    <t>Juros pagos sobre financiamentos</t>
  </si>
  <si>
    <t>Interest rate paid on financing</t>
  </si>
  <si>
    <t>Juros pagos sobre debêntures</t>
  </si>
  <si>
    <t>Interest paid on debentures</t>
  </si>
  <si>
    <t>Juros pagos sobre arrendamentos</t>
  </si>
  <si>
    <t>Interest paid on leases</t>
  </si>
  <si>
    <t>Imposto de renda e contribuição social pagos</t>
  </si>
  <si>
    <t>Income tax and social contribution paid</t>
  </si>
  <si>
    <t>Caixa líq. das atividades operacionais</t>
  </si>
  <si>
    <t>Net cash (used in) generated by operating activities</t>
  </si>
  <si>
    <t>Fluxo de caixa das atividades de investimentos</t>
  </si>
  <si>
    <t>Cash flow from investing activities</t>
  </si>
  <si>
    <t>Adições de ativo imobilizado</t>
  </si>
  <si>
    <t>Additions to property and equipment</t>
  </si>
  <si>
    <t>Adições no intangível</t>
  </si>
  <si>
    <t>Additions to intangible assets</t>
  </si>
  <si>
    <t>Aquisição de controlada liquido do caixa recebido</t>
  </si>
  <si>
    <t>Aquisição participação minoritários - Network</t>
  </si>
  <si>
    <t>Aquisição de controlada liquido do caixa recebido - FitDance</t>
  </si>
  <si>
    <t>Aquisição de participação em coligada - X3M</t>
  </si>
  <si>
    <t>Ágio na aquisição de participação na X3M</t>
  </si>
  <si>
    <t>Caixa líq. das atividades de investimento</t>
  </si>
  <si>
    <t>Net cash (used in) investing activities</t>
  </si>
  <si>
    <t>Fluxo de caixa das atividades de financiamentos</t>
  </si>
  <si>
    <t>Cash flow from financing activities</t>
  </si>
  <si>
    <t>Empréstimos e financiamentos tomados</t>
  </si>
  <si>
    <t>Loans and financing raised</t>
  </si>
  <si>
    <t>Empréstimos e financiamentos pagos</t>
  </si>
  <si>
    <t>Loans and financing paid</t>
  </si>
  <si>
    <t>Emissão de debentures</t>
  </si>
  <si>
    <t>Issue of debentures</t>
  </si>
  <si>
    <t>Arrendamentos Pagos</t>
  </si>
  <si>
    <t>Lease Paid</t>
  </si>
  <si>
    <t>Advance for future capital increase</t>
  </si>
  <si>
    <t>Aumento de capital</t>
  </si>
  <si>
    <t>Capital increase</t>
  </si>
  <si>
    <t>Dividendos pagos</t>
  </si>
  <si>
    <t>Dividends paid</t>
  </si>
  <si>
    <t>Caixa líq. das atividades de financiamento</t>
  </si>
  <si>
    <t>Net cash (used in) financing activities</t>
  </si>
  <si>
    <t>Redução (aumento) de caixa e equivalentes de caixa</t>
  </si>
  <si>
    <t>Decrease/Increase of cash and cash equivalents</t>
  </si>
  <si>
    <t>Caixa e equivalentes de caixa no início do exercício</t>
  </si>
  <si>
    <t>Cash and cash equivalents at the beginning of the year</t>
  </si>
  <si>
    <t>Caixa e equivalentes de caixa no final do período</t>
  </si>
  <si>
    <t>Cash and cash equivalents at the end of the year</t>
  </si>
  <si>
    <t>Shopping Rio Sul (Fisia)</t>
  </si>
  <si>
    <t>Outlet Premium Imigrantes</t>
  </si>
  <si>
    <t>Instrumentos financeiros derivativos Passivo</t>
  </si>
  <si>
    <t>Instrumentos financeiros derivativos Ativo</t>
  </si>
  <si>
    <t>Resultado da baixa residual arrendamentos</t>
  </si>
  <si>
    <t>Results of Write-off of residual leases</t>
  </si>
  <si>
    <t>4Q24</t>
  </si>
  <si>
    <t>Shopping Plaza Sul</t>
  </si>
  <si>
    <t>Dividendos a receber</t>
  </si>
  <si>
    <t>Reversão por redução ao valor recuperável de contas a receber</t>
  </si>
  <si>
    <t>Ações em Tesouraria</t>
  </si>
  <si>
    <t>Reserva de lucros</t>
  </si>
  <si>
    <t>Acquisition of subsidiary net of cash received</t>
  </si>
  <si>
    <t>Acquisition of minority stake - Network</t>
  </si>
  <si>
    <t>Acquisition of subsidiary net of cash received - FitDance</t>
  </si>
  <si>
    <t>Acquisition of stake in associate - X3M</t>
  </si>
  <si>
    <t>Goodwill on acquisition of stake in X3M</t>
  </si>
  <si>
    <t>Recompra de Ações</t>
  </si>
  <si>
    <t>Recebimento de contrato de mútuo</t>
  </si>
  <si>
    <t>Receipt of loan agreement</t>
  </si>
  <si>
    <t>Share buyback</t>
  </si>
  <si>
    <t>Gross Profit Centauro</t>
  </si>
  <si>
    <t>Gross Profit Fisia</t>
  </si>
  <si>
    <t>Cash Flow
(R$ million)</t>
  </si>
  <si>
    <t>1Q25</t>
  </si>
  <si>
    <t xml:space="preserve">Barra Shopping </t>
  </si>
  <si>
    <t>1H25</t>
  </si>
  <si>
    <t>2Q25</t>
  </si>
  <si>
    <t>Outlet Santa Maria</t>
  </si>
  <si>
    <t>9M25</t>
  </si>
  <si>
    <t>3Q25</t>
  </si>
  <si>
    <t>Centauro stores area (sqm)</t>
  </si>
  <si>
    <t>Área Lojas Centauro (m²)</t>
  </si>
  <si>
    <t>Centauro Inaugurações no tri</t>
  </si>
  <si>
    <t>Centauro Inaugurations in the quarter</t>
  </si>
  <si>
    <t>2. Metodologia descontinuada em 2020 excluía da base de cálculo as lojas fechadas por decreto municipal em função da pandemia de COVID-19</t>
  </si>
  <si>
    <t>2. Discontinued calculus method in 2020 excluded from the calculation basis stores closed by municipal decree due to the COVID-19 pandemic</t>
  </si>
  <si>
    <t>Total SSS (discontinued calculus method)²</t>
  </si>
  <si>
    <t>Brick-and-Mortar (SSS) (discontinued calculus method)²</t>
  </si>
  <si>
    <t>Lojas Físicas (SSS) (metodologia de cálculo descontinuada)²</t>
  </si>
  <si>
    <t>SSS Total (metodologia de cálculo descontinuada)²</t>
  </si>
  <si>
    <t>EBITDA ajustado (ex-IFRS)</t>
  </si>
  <si>
    <t>Variação Capital de Giro¹</t>
  </si>
  <si>
    <t>Contas a pagar CMV</t>
  </si>
  <si>
    <t>Contas a pagar SG&amp;A</t>
  </si>
  <si>
    <t>Outros Ativos/Passivos</t>
  </si>
  <si>
    <t>Fluxo de Caixa Operacional</t>
  </si>
  <si>
    <t>M&amp;A</t>
  </si>
  <si>
    <t>Capex</t>
  </si>
  <si>
    <t>Fluxo de Caixa das Atividades de Investimento</t>
  </si>
  <si>
    <t>Fluxo de Caixa Livre</t>
  </si>
  <si>
    <t>Antecipação de Recebíveis</t>
  </si>
  <si>
    <t>Dividendos</t>
  </si>
  <si>
    <t>Capital</t>
  </si>
  <si>
    <t>Fluxo de Caixa de Financiamentos (FCF)</t>
  </si>
  <si>
    <t>Variação de Dívida Líquida</t>
  </si>
  <si>
    <t>Emissão/Pagamento Líquido de Dívidas²</t>
  </si>
  <si>
    <t>Variação de Caixa Total</t>
  </si>
  <si>
    <t>Fluxo de Caixa Gerencial
(em R$ milhões)</t>
  </si>
  <si>
    <t>Management Cash Flow
(R$ million)</t>
  </si>
  <si>
    <t>Capital de Giro
(em R$ milhões)</t>
  </si>
  <si>
    <t>Tributos e IR a compensar</t>
  </si>
  <si>
    <t>Ativo</t>
  </si>
  <si>
    <t>Fornecedores de revenda</t>
  </si>
  <si>
    <t>Arrendamento a pagar</t>
  </si>
  <si>
    <t>Obrigações Trabalhistas</t>
  </si>
  <si>
    <t>Passivo</t>
  </si>
  <si>
    <t>Capital de Giro Líquido</t>
  </si>
  <si>
    <t>Ativos mantidos para venda</t>
  </si>
  <si>
    <t>Ativos disponíveis para venda</t>
  </si>
  <si>
    <t>Lojas Centauro</t>
  </si>
  <si>
    <t>Shopping Rio Preto</t>
  </si>
  <si>
    <t>Caruaru Shopping</t>
  </si>
  <si>
    <t>Caruaru</t>
  </si>
  <si>
    <t>Available-for-Sale Assets</t>
  </si>
  <si>
    <t>Dividends receivable</t>
  </si>
  <si>
    <t>Treasury shares</t>
  </si>
  <si>
    <t xml:space="preserve"> Adjusted EBITDA (ex-IFRS)</t>
  </si>
  <si>
    <t xml:space="preserve"> Working Capital Variation¹</t>
  </si>
  <si>
    <t xml:space="preserve"> Accounts receivable</t>
  </si>
  <si>
    <t xml:space="preserve"> Inventory</t>
  </si>
  <si>
    <t xml:space="preserve"> COGS Payables</t>
  </si>
  <si>
    <t xml:space="preserve"> SG&amp;A Payables</t>
  </si>
  <si>
    <t xml:space="preserve"> Others Assets/Liabilities</t>
  </si>
  <si>
    <t xml:space="preserve"> Operating Cash Flow</t>
  </si>
  <si>
    <t>Cash Flow from Investing Activities</t>
  </si>
  <si>
    <t xml:space="preserve"> Free Cash Flow</t>
  </si>
  <si>
    <t xml:space="preserve"> Financial Result</t>
  </si>
  <si>
    <t xml:space="preserve"> Dividends</t>
  </si>
  <si>
    <t xml:space="preserve"> Capital</t>
  </si>
  <si>
    <t xml:space="preserve"> Shares buyback</t>
  </si>
  <si>
    <t>Cash Flow from Financing</t>
  </si>
  <si>
    <t xml:space="preserve"> Change in net Debt</t>
  </si>
  <si>
    <t xml:space="preserve"> Net Issuance / (Repayment) of Debt²</t>
  </si>
  <si>
    <t xml:space="preserve"> Total Change in Cash</t>
  </si>
  <si>
    <t>Liabilities</t>
  </si>
  <si>
    <t>Net Working Capital</t>
  </si>
  <si>
    <t>Accountsreceivable</t>
  </si>
  <si>
    <t>Taxesandincometaxtobeoffset</t>
  </si>
  <si>
    <t>Inventories</t>
  </si>
  <si>
    <t>Otheraccountsreceivable</t>
  </si>
  <si>
    <t>Otheraccountspayable</t>
  </si>
  <si>
    <t>Resalesuppliers</t>
  </si>
  <si>
    <t>Taxliabilities</t>
  </si>
  <si>
    <t>Leasepayable</t>
  </si>
  <si>
    <t>Laborliabilities</t>
  </si>
  <si>
    <t>Otherliabilities</t>
  </si>
  <si>
    <t>Assets</t>
  </si>
  <si>
    <t>Net Working Capital
(R$ Thousand)</t>
  </si>
  <si>
    <t>Última reforma</t>
  </si>
  <si>
    <t>Last Renovation</t>
  </si>
  <si>
    <t>2025</t>
  </si>
  <si>
    <t>4Q25</t>
  </si>
  <si>
    <t>Catuaí Shopping Cascavél</t>
  </si>
  <si>
    <t>Balneário Shopping</t>
  </si>
  <si>
    <t xml:space="preserve">Maxi Shopping Jundiaí </t>
  </si>
  <si>
    <t xml:space="preserve">Park Shopping Barigui </t>
  </si>
  <si>
    <t>Cascavél</t>
  </si>
  <si>
    <t>Recebimento na venda de investimento</t>
  </si>
  <si>
    <t>Receipt on sale of investment</t>
  </si>
  <si>
    <t>Perda no valor recuperável de investimentos</t>
  </si>
  <si>
    <t>Impairment loss on investments</t>
  </si>
  <si>
    <t>Shopping Iguatemi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</si>
</sst>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 #,##0.00_-;_-* &quot;-&quot;??_-;_-@_-"/>
    <numFmt numFmtId="164" formatCode="_(* #,##0_);_(* \(#,##0\);_(* &quot;-&quot;??_);_(@_)"/>
    <numFmt numFmtId="165" formatCode="0.0%"/>
    <numFmt numFmtId="166" formatCode="_(* #,##0.00000000_);_(* \(#,##0.00000000\);_(* &quot;-&quot;??_);_(@_)"/>
  </numFmts>
  <fonts count="59" x14ac:knownFonts="1">
    <font>
      <sz val="11"/>
      <color theme="1"/>
      <name val="Arial"/>
    </font>
    <font>
      <sz val="11"/>
      <color theme="1"/>
      <name val="Calibri"/>
      <family val="2"/>
    </font>
    <font>
      <b/>
      <sz val="8"/>
      <color theme="0"/>
      <name val="Arial"/>
      <family val="2"/>
    </font>
    <font>
      <b/>
      <sz val="8"/>
      <color theme="1"/>
      <name val="Arial"/>
      <family val="2"/>
    </font>
    <font>
      <sz val="8"/>
      <color theme="1"/>
      <name val="Arial"/>
      <family val="2"/>
    </font>
    <font>
      <sz val="9"/>
      <color theme="1"/>
      <name val="Arial"/>
      <family val="2"/>
    </font>
    <font>
      <i/>
      <sz val="8"/>
      <color theme="1"/>
      <name val="Arial"/>
      <family val="2"/>
    </font>
    <font>
      <b/>
      <sz val="9"/>
      <color theme="1"/>
      <name val="Arial"/>
      <family val="2"/>
    </font>
    <font>
      <sz val="11"/>
      <color theme="1"/>
      <name val="Arial"/>
      <family val="2"/>
    </font>
    <font>
      <i/>
      <sz val="11"/>
      <color theme="1"/>
      <name val="Arial"/>
      <family val="2"/>
    </font>
    <font>
      <i/>
      <sz val="11"/>
      <color rgb="FFFF0000"/>
      <name val="Oxanium SemiBold"/>
    </font>
    <font>
      <sz val="11"/>
      <color theme="1"/>
      <name val="Arial"/>
      <family val="2"/>
    </font>
    <font>
      <sz val="11"/>
      <color theme="1"/>
      <name val="Arial"/>
      <family val="2"/>
    </font>
    <font>
      <sz val="10"/>
      <color rgb="FF000000"/>
      <name val="Arial"/>
      <family val="2"/>
    </font>
    <font>
      <sz val="8"/>
      <name val="Arial"/>
      <family val="2"/>
    </font>
    <font>
      <sz val="11"/>
      <color theme="1"/>
      <name val="Arial"/>
      <family val="2"/>
    </font>
    <font>
      <sz val="9"/>
      <color rgb="FF000000"/>
      <name val="Mona Sans"/>
    </font>
    <font>
      <sz val="11"/>
      <color theme="1"/>
      <name val="Mona Sans"/>
    </font>
    <font>
      <sz val="8"/>
      <color theme="0" tint="-0.249977111117893"/>
      <name val="Mona Sans"/>
    </font>
    <font>
      <b/>
      <sz val="8"/>
      <color theme="0"/>
      <name val="Mona Sans"/>
    </font>
    <font>
      <b/>
      <sz val="8"/>
      <color theme="1"/>
      <name val="Mona Sans"/>
    </font>
    <font>
      <sz val="8"/>
      <color theme="1"/>
      <name val="Mona Sans"/>
    </font>
    <font>
      <i/>
      <sz val="8"/>
      <color theme="1"/>
      <name val="Mona Sans"/>
    </font>
    <font>
      <b/>
      <sz val="8"/>
      <name val="Mona Sans"/>
    </font>
    <font>
      <i/>
      <sz val="8"/>
      <name val="Mona Sans"/>
    </font>
    <font>
      <sz val="8"/>
      <color rgb="FF003D18"/>
      <name val="Mona Sans"/>
    </font>
    <font>
      <sz val="8"/>
      <name val="Mona Sans"/>
    </font>
    <font>
      <sz val="8"/>
      <color rgb="FF0070C0"/>
      <name val="Mona Sans"/>
    </font>
    <font>
      <b/>
      <sz val="11"/>
      <color theme="1"/>
      <name val="Mona Sans"/>
    </font>
    <font>
      <i/>
      <sz val="11"/>
      <color theme="1"/>
      <name val="Mona Sans"/>
    </font>
    <font>
      <sz val="8"/>
      <color rgb="FFFF0000"/>
      <name val="Mona Sans"/>
    </font>
    <font>
      <b/>
      <sz val="8"/>
      <color rgb="FFFFFFFF"/>
      <name val="Mona Sans"/>
    </font>
    <font>
      <i/>
      <sz val="8"/>
      <color rgb="FF0070C0"/>
      <name val="Mona Sans"/>
    </font>
    <font>
      <sz val="11"/>
      <color theme="0"/>
      <name val="Mona Sans"/>
    </font>
    <font>
      <sz val="11"/>
      <color rgb="FF0070C0"/>
      <name val="Mona Sans"/>
    </font>
    <font>
      <sz val="11"/>
      <name val="Mona Sans"/>
    </font>
    <font>
      <i/>
      <sz val="11"/>
      <name val="Mona Sans"/>
    </font>
    <font>
      <i/>
      <sz val="11"/>
      <color rgb="FF0070C0"/>
      <name val="Mona Sans"/>
    </font>
    <font>
      <b/>
      <sz val="11"/>
      <name val="Mona Sans"/>
    </font>
    <font>
      <b/>
      <sz val="8"/>
      <color rgb="FF0070C0"/>
      <name val="Mona Sans"/>
    </font>
    <font>
      <sz val="9"/>
      <color theme="1"/>
      <name val="Mona Sans"/>
    </font>
    <font>
      <b/>
      <i/>
      <sz val="8"/>
      <color indexed="8"/>
      <name val="Mona Sans"/>
    </font>
    <font>
      <sz val="8"/>
      <color rgb="FF7F7F7F"/>
      <name val="Mona Sans"/>
    </font>
    <font>
      <b/>
      <i/>
      <sz val="8"/>
      <color theme="1"/>
      <name val="Mona Sans"/>
    </font>
    <font>
      <sz val="8"/>
      <name val="Arial"/>
      <family val="2"/>
    </font>
    <font>
      <b/>
      <sz val="8"/>
      <color rgb="FF003D18"/>
      <name val="Mona Sans"/>
    </font>
    <font>
      <i/>
      <sz val="11"/>
      <color rgb="FFFF0000"/>
      <name val="Mona Sans"/>
    </font>
    <font>
      <i/>
      <sz val="8"/>
      <color rgb="FFFF0000"/>
      <name val="Mona Sans"/>
    </font>
    <font>
      <sz val="10"/>
      <color theme="1"/>
      <name val="Mona Sans"/>
    </font>
    <font>
      <sz val="8"/>
      <color rgb="FF000000"/>
      <name val="Mona Sans"/>
    </font>
    <font>
      <sz val="11"/>
      <color theme="1"/>
      <name val="Arial"/>
      <family val="2"/>
    </font>
    <font>
      <u/>
      <sz val="8"/>
      <color rgb="FF000000"/>
      <name val="Mona Sans"/>
    </font>
    <font>
      <sz val="9"/>
      <name val="Mona Sans"/>
    </font>
    <font>
      <b/>
      <sz val="9"/>
      <name val="Mona Sans"/>
    </font>
    <font>
      <b/>
      <sz val="8"/>
      <color rgb="FF000000"/>
      <name val="Mona Sans"/>
    </font>
    <font>
      <sz val="9"/>
      <color rgb="FF000000"/>
      <name val="Roboto Light"/>
    </font>
    <font>
      <sz val="8"/>
      <color rgb="FF000000"/>
      <name val="Roboto Light"/>
    </font>
    <font>
      <sz val="10"/>
      <color rgb="FF040C28"/>
      <name val="Arial"/>
      <family val="2"/>
    </font>
    <font>
      <b/>
      <sz val="9"/>
      <color theme="1"/>
      <name val="Mona Sans"/>
    </font>
  </fonts>
  <fills count="19">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rgb="FFFFFFFF"/>
        <bgColor rgb="FFFFFFFF"/>
      </patternFill>
    </fill>
    <fill>
      <patternFill patternType="solid">
        <fgColor rgb="FF90C747"/>
        <bgColor rgb="FFC00000"/>
      </patternFill>
    </fill>
    <fill>
      <patternFill patternType="solid">
        <fgColor theme="2"/>
        <bgColor indexed="64"/>
      </patternFill>
    </fill>
    <fill>
      <patternFill patternType="solid">
        <fgColor theme="0"/>
        <bgColor indexed="64"/>
      </patternFill>
    </fill>
    <fill>
      <patternFill patternType="solid">
        <fgColor rgb="FF003D18"/>
        <bgColor indexed="64"/>
      </patternFill>
    </fill>
    <fill>
      <patternFill patternType="solid">
        <fgColor rgb="FFEDFFD4"/>
        <bgColor indexed="64"/>
      </patternFill>
    </fill>
    <fill>
      <patternFill patternType="solid">
        <fgColor rgb="FFEDFFD4"/>
        <bgColor rgb="FFD8D8D8"/>
      </patternFill>
    </fill>
    <fill>
      <patternFill patternType="solid">
        <fgColor rgb="FF003D18"/>
        <bgColor rgb="FFC00000"/>
      </patternFill>
    </fill>
    <fill>
      <patternFill patternType="solid">
        <fgColor rgb="FFEDFFD4"/>
        <bgColor rgb="FFF2F2F2"/>
      </patternFill>
    </fill>
    <fill>
      <patternFill patternType="solid">
        <fgColor rgb="FFDDFFAF"/>
        <bgColor rgb="FFD8D8D8"/>
      </patternFill>
    </fill>
    <fill>
      <patternFill patternType="solid">
        <fgColor rgb="FFCFFF8F"/>
        <bgColor rgb="FFD8D8D8"/>
      </patternFill>
    </fill>
    <fill>
      <patternFill patternType="solid">
        <fgColor rgb="FFB5FF20"/>
        <bgColor indexed="64"/>
      </patternFill>
    </fill>
    <fill>
      <patternFill patternType="solid">
        <fgColor theme="0"/>
        <bgColor rgb="FFC00000"/>
      </patternFill>
    </fill>
    <fill>
      <patternFill patternType="solid">
        <fgColor theme="0"/>
        <bgColor rgb="FFD8D8D8"/>
      </patternFill>
    </fill>
    <fill>
      <patternFill patternType="solid">
        <fgColor theme="0"/>
        <bgColor rgb="FFFFFFFF"/>
      </patternFill>
    </fill>
  </fills>
  <borders count="10">
    <border>
      <left/>
      <right/>
      <top/>
      <bottom/>
      <diagonal/>
    </border>
    <border>
      <left/>
      <right style="thin">
        <color theme="0"/>
      </right>
      <top/>
      <bottom/>
      <diagonal/>
    </border>
    <border>
      <left style="thin">
        <color theme="0"/>
      </left>
      <right style="thin">
        <color theme="0"/>
      </right>
      <top/>
      <bottom/>
      <diagonal/>
    </border>
    <border>
      <left/>
      <right/>
      <top/>
      <bottom/>
      <diagonal/>
    </border>
    <border>
      <left style="thin">
        <color theme="0"/>
      </left>
      <right/>
      <top/>
      <bottom/>
      <diagonal/>
    </border>
    <border>
      <left/>
      <right/>
      <top/>
      <bottom/>
      <diagonal/>
    </border>
    <border>
      <left/>
      <right/>
      <top/>
      <bottom/>
      <diagonal/>
    </border>
    <border>
      <left style="thin">
        <color theme="2"/>
      </left>
      <right style="thin">
        <color theme="2"/>
      </right>
      <top style="thin">
        <color theme="2"/>
      </top>
      <bottom style="thin">
        <color theme="2"/>
      </bottom>
      <diagonal/>
    </border>
    <border>
      <left style="medium">
        <color rgb="FFCCCCCC"/>
      </left>
      <right style="medium">
        <color rgb="FFFFFFFF"/>
      </right>
      <top style="medium">
        <color rgb="FFCCCCCC"/>
      </top>
      <bottom style="medium">
        <color rgb="FFCCCCCC"/>
      </bottom>
      <diagonal/>
    </border>
    <border>
      <left/>
      <right style="thin">
        <color rgb="FFFFFFFF"/>
      </right>
      <top/>
      <bottom/>
      <diagonal/>
    </border>
  </borders>
  <cellStyleXfs count="11">
    <xf numFmtId="0" fontId="0" fillId="0" borderId="0"/>
    <xf numFmtId="0" fontId="8" fillId="0" borderId="6"/>
    <xf numFmtId="9" fontId="11" fillId="0" borderId="0" applyFont="0" applyFill="0" applyBorder="0" applyAlignment="0" applyProtection="0"/>
    <xf numFmtId="9" fontId="8" fillId="0" borderId="6" applyFont="0" applyFill="0" applyBorder="0" applyAlignment="0" applyProtection="0"/>
    <xf numFmtId="0" fontId="8" fillId="0" borderId="6"/>
    <xf numFmtId="43" fontId="12" fillId="0" borderId="0" applyFont="0" applyFill="0" applyBorder="0" applyAlignment="0" applyProtection="0"/>
    <xf numFmtId="0" fontId="13" fillId="0" borderId="6"/>
    <xf numFmtId="0" fontId="12" fillId="0" borderId="6"/>
    <xf numFmtId="0" fontId="15" fillId="0" borderId="6"/>
    <xf numFmtId="0" fontId="1" fillId="0" borderId="6"/>
    <xf numFmtId="0" fontId="50" fillId="0" borderId="6"/>
  </cellStyleXfs>
  <cellXfs count="302">
    <xf numFmtId="0" fontId="0" fillId="0" borderId="0" xfId="0"/>
    <xf numFmtId="0" fontId="3" fillId="2" borderId="3" xfId="0" applyFont="1" applyFill="1" applyBorder="1" applyAlignment="1">
      <alignment horizontal="left" vertical="center"/>
    </xf>
    <xf numFmtId="164" fontId="3" fillId="2" borderId="3" xfId="0" applyNumberFormat="1" applyFont="1" applyFill="1" applyBorder="1" applyAlignment="1">
      <alignment vertical="center"/>
    </xf>
    <xf numFmtId="0" fontId="4" fillId="0" borderId="0" xfId="0" applyFont="1" applyAlignment="1">
      <alignment horizontal="left" vertical="center"/>
    </xf>
    <xf numFmtId="164" fontId="4" fillId="0" borderId="0" xfId="0" applyNumberFormat="1" applyFont="1" applyAlignment="1">
      <alignment vertical="center"/>
    </xf>
    <xf numFmtId="0" fontId="1" fillId="0" borderId="0" xfId="0" applyFont="1"/>
    <xf numFmtId="0" fontId="3" fillId="2" borderId="3" xfId="0" applyFont="1" applyFill="1" applyBorder="1" applyAlignment="1">
      <alignment horizontal="left"/>
    </xf>
    <xf numFmtId="164" fontId="1" fillId="0" borderId="0" xfId="0" applyNumberFormat="1" applyFont="1"/>
    <xf numFmtId="0" fontId="4" fillId="0" borderId="0" xfId="0" applyFont="1" applyAlignment="1">
      <alignment horizontal="left"/>
    </xf>
    <xf numFmtId="164" fontId="3" fillId="2" borderId="3" xfId="0" applyNumberFormat="1" applyFont="1" applyFill="1" applyBorder="1" applyAlignment="1">
      <alignment horizontal="left"/>
    </xf>
    <xf numFmtId="0" fontId="4" fillId="0" borderId="0" xfId="0" applyFont="1"/>
    <xf numFmtId="164" fontId="4" fillId="0" borderId="0" xfId="0" applyNumberFormat="1" applyFont="1"/>
    <xf numFmtId="0" fontId="3" fillId="0" borderId="0" xfId="0" applyFont="1" applyAlignment="1">
      <alignment horizontal="left"/>
    </xf>
    <xf numFmtId="164" fontId="4" fillId="0" borderId="0" xfId="0" applyNumberFormat="1" applyFont="1" applyAlignment="1">
      <alignment horizontal="left"/>
    </xf>
    <xf numFmtId="164" fontId="5" fillId="0" borderId="0" xfId="0" applyNumberFormat="1" applyFont="1"/>
    <xf numFmtId="164" fontId="3" fillId="0" borderId="0" xfId="0" applyNumberFormat="1" applyFont="1" applyAlignment="1">
      <alignment vertical="center"/>
    </xf>
    <xf numFmtId="0" fontId="6" fillId="0" borderId="0" xfId="0" applyFont="1"/>
    <xf numFmtId="164" fontId="4" fillId="0" borderId="0" xfId="0" applyNumberFormat="1" applyFont="1" applyAlignment="1">
      <alignment horizontal="right" vertical="center"/>
    </xf>
    <xf numFmtId="0" fontId="9" fillId="0" borderId="0" xfId="0" applyFont="1"/>
    <xf numFmtId="164" fontId="6" fillId="0" borderId="0" xfId="0" applyNumberFormat="1" applyFont="1"/>
    <xf numFmtId="164" fontId="2" fillId="5" borderId="1" xfId="0" applyNumberFormat="1" applyFont="1" applyFill="1" applyBorder="1" applyAlignment="1">
      <alignment horizontal="center" vertical="center" wrapText="1"/>
    </xf>
    <xf numFmtId="164" fontId="2" fillId="5" borderId="2"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164" fontId="3" fillId="2" borderId="6" xfId="0" applyNumberFormat="1" applyFont="1" applyFill="1" applyBorder="1" applyAlignment="1">
      <alignment vertical="center"/>
    </xf>
    <xf numFmtId="164" fontId="4" fillId="6" borderId="0" xfId="0" applyNumberFormat="1" applyFont="1" applyFill="1" applyAlignment="1">
      <alignment vertical="center"/>
    </xf>
    <xf numFmtId="0" fontId="3" fillId="0" borderId="6" xfId="0" applyFont="1" applyBorder="1" applyAlignment="1">
      <alignment horizontal="left"/>
    </xf>
    <xf numFmtId="164" fontId="3" fillId="0" borderId="6" xfId="0" applyNumberFormat="1" applyFont="1" applyBorder="1" applyAlignment="1">
      <alignment vertical="center"/>
    </xf>
    <xf numFmtId="0" fontId="6" fillId="0" borderId="6" xfId="0" applyFont="1" applyBorder="1" applyAlignment="1">
      <alignment horizontal="left"/>
    </xf>
    <xf numFmtId="165" fontId="6" fillId="0" borderId="6" xfId="2" applyNumberFormat="1" applyFont="1" applyFill="1" applyBorder="1" applyAlignment="1">
      <alignment vertical="center"/>
    </xf>
    <xf numFmtId="0" fontId="6" fillId="0" borderId="0" xfId="0" applyFont="1" applyAlignment="1">
      <alignment horizontal="left" vertical="center"/>
    </xf>
    <xf numFmtId="0" fontId="16" fillId="0" borderId="6" xfId="0" applyFont="1" applyBorder="1" applyAlignment="1">
      <alignment horizontal="left" vertical="center" wrapText="1" readingOrder="1"/>
    </xf>
    <xf numFmtId="0" fontId="18" fillId="0" borderId="6" xfId="8" applyFont="1"/>
    <xf numFmtId="0" fontId="21" fillId="0" borderId="6" xfId="8" applyFont="1" applyAlignment="1">
      <alignment horizontal="left"/>
    </xf>
    <xf numFmtId="165" fontId="22" fillId="0" borderId="6" xfId="3" applyNumberFormat="1" applyFont="1" applyAlignment="1">
      <alignment vertical="center"/>
    </xf>
    <xf numFmtId="165" fontId="22" fillId="0" borderId="6" xfId="3" applyNumberFormat="1" applyFont="1" applyFill="1" applyBorder="1" applyAlignment="1">
      <alignment vertical="center"/>
    </xf>
    <xf numFmtId="0" fontId="17" fillId="0" borderId="0" xfId="0" applyFont="1"/>
    <xf numFmtId="165" fontId="21" fillId="0" borderId="6" xfId="3" applyNumberFormat="1" applyFont="1" applyAlignment="1">
      <alignment vertical="center"/>
    </xf>
    <xf numFmtId="165" fontId="21" fillId="0" borderId="6" xfId="3" applyNumberFormat="1" applyFont="1" applyAlignment="1">
      <alignment horizontal="left" vertical="center" indent="1"/>
    </xf>
    <xf numFmtId="164" fontId="21" fillId="0" borderId="6" xfId="0" applyNumberFormat="1" applyFont="1" applyBorder="1" applyAlignment="1">
      <alignment horizontal="center" vertical="center"/>
    </xf>
    <xf numFmtId="164" fontId="17" fillId="0" borderId="0" xfId="0" applyNumberFormat="1" applyFont="1"/>
    <xf numFmtId="0" fontId="26" fillId="0" borderId="0" xfId="0" applyFont="1" applyAlignment="1">
      <alignment horizontal="left" vertical="center" indent="1"/>
    </xf>
    <xf numFmtId="0" fontId="26" fillId="0" borderId="0" xfId="0" applyFont="1" applyAlignment="1">
      <alignment horizontal="left" vertical="center"/>
    </xf>
    <xf numFmtId="164" fontId="26" fillId="0" borderId="6" xfId="0" applyNumberFormat="1" applyFont="1" applyBorder="1" applyAlignment="1">
      <alignment horizontal="center" vertical="center"/>
    </xf>
    <xf numFmtId="164" fontId="21" fillId="0" borderId="0" xfId="0" applyNumberFormat="1" applyFont="1" applyAlignment="1">
      <alignment vertical="center"/>
    </xf>
    <xf numFmtId="164" fontId="27" fillId="0" borderId="6" xfId="0" applyNumberFormat="1" applyFont="1" applyBorder="1" applyAlignment="1">
      <alignment horizontal="center" vertical="center"/>
    </xf>
    <xf numFmtId="164" fontId="26" fillId="0" borderId="0" xfId="0" applyNumberFormat="1" applyFont="1" applyAlignment="1">
      <alignment vertical="center"/>
    </xf>
    <xf numFmtId="164" fontId="27" fillId="0" borderId="0" xfId="0" applyNumberFormat="1" applyFont="1" applyAlignment="1">
      <alignment vertical="center"/>
    </xf>
    <xf numFmtId="164" fontId="21" fillId="0" borderId="7" xfId="0" applyNumberFormat="1" applyFont="1" applyBorder="1" applyAlignment="1">
      <alignment vertical="center"/>
    </xf>
    <xf numFmtId="0" fontId="24" fillId="0" borderId="6" xfId="0" applyFont="1" applyBorder="1" applyAlignment="1">
      <alignment horizontal="left" vertical="center"/>
    </xf>
    <xf numFmtId="165" fontId="24" fillId="0" borderId="6" xfId="3" applyNumberFormat="1" applyFont="1" applyAlignment="1">
      <alignment vertical="center"/>
    </xf>
    <xf numFmtId="164" fontId="26" fillId="6" borderId="0" xfId="0" applyNumberFormat="1" applyFont="1" applyFill="1" applyAlignment="1">
      <alignment vertical="center"/>
    </xf>
    <xf numFmtId="164" fontId="21" fillId="6" borderId="0" xfId="0" applyNumberFormat="1" applyFont="1" applyFill="1" applyAlignment="1">
      <alignment vertical="center"/>
    </xf>
    <xf numFmtId="0" fontId="21" fillId="0" borderId="0" xfId="0" applyFont="1" applyAlignment="1">
      <alignment horizontal="left" vertical="center"/>
    </xf>
    <xf numFmtId="0" fontId="22" fillId="0" borderId="6" xfId="0" applyFont="1" applyBorder="1" applyAlignment="1">
      <alignment horizontal="left" vertical="center"/>
    </xf>
    <xf numFmtId="0" fontId="29" fillId="0" borderId="0" xfId="0" applyFont="1"/>
    <xf numFmtId="0" fontId="30" fillId="0" borderId="0" xfId="0" applyFont="1" applyAlignment="1">
      <alignment vertical="center"/>
    </xf>
    <xf numFmtId="0" fontId="21" fillId="0" borderId="6" xfId="0" applyFont="1" applyBorder="1" applyAlignment="1">
      <alignment horizontal="left" vertical="center"/>
    </xf>
    <xf numFmtId="0" fontId="21" fillId="0" borderId="3" xfId="0" applyFont="1" applyBorder="1" applyAlignment="1">
      <alignment horizontal="left" vertical="center"/>
    </xf>
    <xf numFmtId="164" fontId="21" fillId="0" borderId="3" xfId="0" applyNumberFormat="1" applyFont="1" applyBorder="1" applyAlignment="1">
      <alignment vertical="center"/>
    </xf>
    <xf numFmtId="0" fontId="21" fillId="0" borderId="0" xfId="0" applyFont="1" applyAlignment="1">
      <alignment horizontal="left" vertical="center" indent="1"/>
    </xf>
    <xf numFmtId="165" fontId="22" fillId="0" borderId="6" xfId="2" applyNumberFormat="1" applyFont="1" applyFill="1" applyBorder="1" applyAlignment="1">
      <alignment vertical="center"/>
    </xf>
    <xf numFmtId="164" fontId="20" fillId="0" borderId="0" xfId="0" applyNumberFormat="1" applyFont="1" applyAlignment="1">
      <alignment vertical="center"/>
    </xf>
    <xf numFmtId="0" fontId="20" fillId="0" borderId="0" xfId="0" applyFont="1" applyAlignment="1">
      <alignment horizontal="left" vertical="center"/>
    </xf>
    <xf numFmtId="0" fontId="21" fillId="0" borderId="0" xfId="0" applyFont="1" applyAlignment="1">
      <alignment vertical="center"/>
    </xf>
    <xf numFmtId="165" fontId="24" fillId="0" borderId="6" xfId="3" applyNumberFormat="1" applyFont="1" applyAlignment="1">
      <alignment horizontal="left" vertical="center"/>
    </xf>
    <xf numFmtId="165" fontId="26" fillId="0" borderId="6" xfId="3" applyNumberFormat="1" applyFont="1" applyAlignment="1">
      <alignment horizontal="left" vertical="center" indent="1"/>
    </xf>
    <xf numFmtId="0" fontId="26" fillId="0" borderId="6" xfId="0" applyFont="1" applyBorder="1" applyAlignment="1">
      <alignment horizontal="left" vertical="center"/>
    </xf>
    <xf numFmtId="0" fontId="22" fillId="0" borderId="0" xfId="0" applyFont="1"/>
    <xf numFmtId="0" fontId="22" fillId="0" borderId="3" xfId="0" applyFont="1" applyBorder="1" applyAlignment="1">
      <alignment horizontal="left" vertical="center"/>
    </xf>
    <xf numFmtId="0" fontId="20" fillId="0" borderId="3" xfId="0" applyFont="1" applyBorder="1" applyAlignment="1">
      <alignment horizontal="left" vertical="center"/>
    </xf>
    <xf numFmtId="164" fontId="20" fillId="0" borderId="0" xfId="0" applyNumberFormat="1" applyFont="1" applyAlignment="1">
      <alignment horizontal="left" vertical="center"/>
    </xf>
    <xf numFmtId="164" fontId="21" fillId="0" borderId="0" xfId="0" applyNumberFormat="1" applyFont="1"/>
    <xf numFmtId="0" fontId="27" fillId="0" borderId="0" xfId="0" applyFont="1" applyAlignment="1">
      <alignment vertical="center"/>
    </xf>
    <xf numFmtId="0" fontId="26" fillId="0" borderId="0" xfId="0" applyFont="1" applyAlignment="1">
      <alignment vertical="center"/>
    </xf>
    <xf numFmtId="0" fontId="21" fillId="0" borderId="0" xfId="0" applyFont="1"/>
    <xf numFmtId="0" fontId="32" fillId="0" borderId="0" xfId="0" applyFont="1" applyAlignment="1">
      <alignment vertical="center"/>
    </xf>
    <xf numFmtId="0" fontId="20" fillId="0" borderId="0" xfId="0" applyFont="1" applyAlignment="1">
      <alignment vertical="center"/>
    </xf>
    <xf numFmtId="0" fontId="22" fillId="0" borderId="0" xfId="0" applyFont="1" applyAlignment="1">
      <alignment vertical="center"/>
    </xf>
    <xf numFmtId="164" fontId="22" fillId="0" borderId="0" xfId="0" applyNumberFormat="1" applyFont="1" applyAlignment="1">
      <alignment vertical="center"/>
    </xf>
    <xf numFmtId="0" fontId="20" fillId="0" borderId="6" xfId="0" applyFont="1" applyBorder="1" applyAlignment="1">
      <alignment horizontal="left" vertical="center"/>
    </xf>
    <xf numFmtId="0" fontId="21" fillId="0" borderId="0" xfId="0" applyFont="1" applyAlignment="1">
      <alignment wrapText="1"/>
    </xf>
    <xf numFmtId="0" fontId="28" fillId="0" borderId="0" xfId="0" applyFont="1"/>
    <xf numFmtId="0" fontId="22" fillId="0" borderId="0" xfId="0" applyFont="1" applyAlignment="1">
      <alignment horizontal="left" vertical="center" indent="1"/>
    </xf>
    <xf numFmtId="164" fontId="21" fillId="0" borderId="0" xfId="0" applyNumberFormat="1" applyFont="1" applyAlignment="1">
      <alignment horizontal="right" vertical="center"/>
    </xf>
    <xf numFmtId="4" fontId="21" fillId="0" borderId="0" xfId="0" applyNumberFormat="1" applyFont="1" applyAlignment="1">
      <alignment horizontal="left" vertical="center"/>
    </xf>
    <xf numFmtId="0" fontId="17" fillId="0" borderId="0" xfId="0" applyFont="1" applyAlignment="1">
      <alignment horizontal="right"/>
    </xf>
    <xf numFmtId="164" fontId="26" fillId="0" borderId="0" xfId="0" applyNumberFormat="1" applyFont="1" applyAlignment="1">
      <alignment horizontal="right" vertical="center"/>
    </xf>
    <xf numFmtId="4" fontId="19" fillId="8" borderId="1" xfId="0" applyNumberFormat="1" applyFont="1" applyFill="1" applyBorder="1" applyAlignment="1">
      <alignment horizontal="center" vertical="center" wrapText="1"/>
    </xf>
    <xf numFmtId="0" fontId="19" fillId="8" borderId="1" xfId="0" applyFont="1" applyFill="1" applyBorder="1" applyAlignment="1">
      <alignment horizontal="center" vertical="center"/>
    </xf>
    <xf numFmtId="0" fontId="19" fillId="8" borderId="1" xfId="0" applyFont="1" applyFill="1" applyBorder="1" applyAlignment="1">
      <alignment horizontal="center" vertical="center" wrapText="1"/>
    </xf>
    <xf numFmtId="14" fontId="19" fillId="8" borderId="1" xfId="0" applyNumberFormat="1" applyFont="1" applyFill="1" applyBorder="1" applyAlignment="1">
      <alignment horizontal="center" vertical="center" wrapText="1"/>
    </xf>
    <xf numFmtId="14" fontId="19" fillId="8" borderId="1" xfId="0" applyNumberFormat="1" applyFont="1" applyFill="1" applyBorder="1" applyAlignment="1">
      <alignment horizontal="center" vertical="center"/>
    </xf>
    <xf numFmtId="164" fontId="19" fillId="8" borderId="1" xfId="0" applyNumberFormat="1" applyFont="1" applyFill="1" applyBorder="1" applyAlignment="1">
      <alignment horizontal="center" vertical="center" wrapText="1"/>
    </xf>
    <xf numFmtId="0" fontId="19" fillId="8" borderId="2" xfId="0" applyFont="1" applyFill="1" applyBorder="1" applyAlignment="1">
      <alignment horizontal="center" vertical="center"/>
    </xf>
    <xf numFmtId="164" fontId="19" fillId="8" borderId="2" xfId="0" applyNumberFormat="1" applyFont="1" applyFill="1" applyBorder="1" applyAlignment="1">
      <alignment horizontal="center" vertical="center"/>
    </xf>
    <xf numFmtId="4" fontId="19" fillId="11" borderId="1" xfId="0" applyNumberFormat="1" applyFont="1" applyFill="1" applyBorder="1" applyAlignment="1">
      <alignment horizontal="center" vertical="center" wrapText="1"/>
    </xf>
    <xf numFmtId="0" fontId="19" fillId="11" borderId="1" xfId="0" applyFont="1" applyFill="1" applyBorder="1" applyAlignment="1">
      <alignment horizontal="center" vertical="center"/>
    </xf>
    <xf numFmtId="0" fontId="19" fillId="11" borderId="1" xfId="0" applyFont="1" applyFill="1" applyBorder="1" applyAlignment="1">
      <alignment horizontal="center" vertical="center" wrapText="1"/>
    </xf>
    <xf numFmtId="14" fontId="19" fillId="11" borderId="1" xfId="0" applyNumberFormat="1" applyFont="1" applyFill="1" applyBorder="1" applyAlignment="1">
      <alignment horizontal="center" vertical="center" wrapText="1"/>
    </xf>
    <xf numFmtId="14" fontId="19" fillId="11" borderId="1" xfId="0" applyNumberFormat="1" applyFont="1" applyFill="1" applyBorder="1" applyAlignment="1">
      <alignment horizontal="center" vertical="center"/>
    </xf>
    <xf numFmtId="164" fontId="19" fillId="11" borderId="1" xfId="0" applyNumberFormat="1" applyFont="1" applyFill="1" applyBorder="1" applyAlignment="1">
      <alignment horizontal="center" vertical="center" wrapText="1"/>
    </xf>
    <xf numFmtId="0" fontId="19" fillId="11" borderId="2" xfId="0" applyFont="1" applyFill="1" applyBorder="1" applyAlignment="1">
      <alignment horizontal="center" vertical="center"/>
    </xf>
    <xf numFmtId="164" fontId="19" fillId="11" borderId="2" xfId="0" applyNumberFormat="1" applyFont="1" applyFill="1" applyBorder="1" applyAlignment="1">
      <alignment horizontal="center" vertical="center"/>
    </xf>
    <xf numFmtId="0" fontId="20" fillId="10" borderId="3" xfId="0" applyFont="1" applyFill="1" applyBorder="1" applyAlignment="1">
      <alignment horizontal="left" vertical="center"/>
    </xf>
    <xf numFmtId="164" fontId="20" fillId="10" borderId="3" xfId="0" applyNumberFormat="1" applyFont="1" applyFill="1" applyBorder="1" applyAlignment="1">
      <alignment vertical="center"/>
    </xf>
    <xf numFmtId="164" fontId="19" fillId="11" borderId="4" xfId="0" applyNumberFormat="1" applyFont="1" applyFill="1" applyBorder="1" applyAlignment="1">
      <alignment horizontal="center" vertical="center"/>
    </xf>
    <xf numFmtId="1" fontId="19" fillId="11" borderId="1" xfId="0" applyNumberFormat="1" applyFont="1" applyFill="1" applyBorder="1" applyAlignment="1">
      <alignment horizontal="center" vertical="center" wrapText="1"/>
    </xf>
    <xf numFmtId="0" fontId="31" fillId="8" borderId="8" xfId="0" applyFont="1" applyFill="1" applyBorder="1" applyAlignment="1">
      <alignment horizontal="center" wrapText="1"/>
    </xf>
    <xf numFmtId="0" fontId="23" fillId="10" borderId="3" xfId="0" applyFont="1" applyFill="1" applyBorder="1" applyAlignment="1">
      <alignment horizontal="left" vertical="center"/>
    </xf>
    <xf numFmtId="164" fontId="23" fillId="9" borderId="6" xfId="0" applyNumberFormat="1" applyFont="1" applyFill="1" applyBorder="1" applyAlignment="1">
      <alignment horizontal="center" vertical="center"/>
    </xf>
    <xf numFmtId="164" fontId="20" fillId="10" borderId="6" xfId="0" applyNumberFormat="1" applyFont="1" applyFill="1" applyBorder="1" applyAlignment="1">
      <alignment vertical="center"/>
    </xf>
    <xf numFmtId="164" fontId="20" fillId="9" borderId="6" xfId="0" applyNumberFormat="1" applyFont="1" applyFill="1" applyBorder="1" applyAlignment="1">
      <alignment horizontal="center" vertical="center"/>
    </xf>
    <xf numFmtId="164" fontId="23" fillId="10" borderId="3" xfId="0" applyNumberFormat="1" applyFont="1" applyFill="1" applyBorder="1" applyAlignment="1">
      <alignment vertical="center"/>
    </xf>
    <xf numFmtId="0" fontId="23" fillId="9" borderId="0" xfId="0" applyFont="1" applyFill="1" applyAlignment="1">
      <alignment horizontal="left" vertical="center"/>
    </xf>
    <xf numFmtId="164" fontId="20" fillId="9" borderId="0" xfId="0" applyNumberFormat="1" applyFont="1" applyFill="1" applyAlignment="1">
      <alignment vertical="center"/>
    </xf>
    <xf numFmtId="0" fontId="23" fillId="10" borderId="6" xfId="0" applyFont="1" applyFill="1" applyBorder="1" applyAlignment="1">
      <alignment horizontal="left" vertical="center"/>
    </xf>
    <xf numFmtId="0" fontId="20" fillId="10" borderId="6" xfId="0" applyFont="1" applyFill="1" applyBorder="1" applyAlignment="1">
      <alignment horizontal="left" vertical="center"/>
    </xf>
    <xf numFmtId="164" fontId="23" fillId="9" borderId="0" xfId="0" applyNumberFormat="1" applyFont="1" applyFill="1" applyAlignment="1">
      <alignment vertical="center"/>
    </xf>
    <xf numFmtId="0" fontId="20" fillId="9" borderId="0" xfId="0" applyFont="1" applyFill="1" applyAlignment="1">
      <alignment horizontal="left" vertical="center"/>
    </xf>
    <xf numFmtId="164" fontId="20" fillId="9" borderId="6" xfId="0" applyNumberFormat="1" applyFont="1" applyFill="1" applyBorder="1" applyAlignment="1">
      <alignment horizontal="left" vertical="center"/>
    </xf>
    <xf numFmtId="164" fontId="23" fillId="9" borderId="6" xfId="0" applyNumberFormat="1" applyFont="1" applyFill="1" applyBorder="1" applyAlignment="1">
      <alignment horizontal="left" vertical="center"/>
    </xf>
    <xf numFmtId="164" fontId="20" fillId="10" borderId="3" xfId="0" applyNumberFormat="1" applyFont="1" applyFill="1" applyBorder="1" applyAlignment="1">
      <alignment horizontal="left" vertical="center"/>
    </xf>
    <xf numFmtId="164" fontId="20" fillId="10" borderId="6" xfId="0" applyNumberFormat="1" applyFont="1" applyFill="1" applyBorder="1" applyAlignment="1">
      <alignment horizontal="center" vertical="center"/>
    </xf>
    <xf numFmtId="0" fontId="17" fillId="0" borderId="0" xfId="0" applyFont="1" applyAlignment="1">
      <alignment vertical="center"/>
    </xf>
    <xf numFmtId="164" fontId="17" fillId="0" borderId="0" xfId="0" applyNumberFormat="1" applyFont="1" applyAlignment="1">
      <alignment vertical="center"/>
    </xf>
    <xf numFmtId="0" fontId="21" fillId="0" borderId="0" xfId="0" applyFont="1" applyAlignment="1">
      <alignment vertical="center" wrapText="1"/>
    </xf>
    <xf numFmtId="0" fontId="34" fillId="0" borderId="0" xfId="0" applyFont="1" applyAlignment="1">
      <alignment vertical="center"/>
    </xf>
    <xf numFmtId="166" fontId="34" fillId="0" borderId="0" xfId="0" applyNumberFormat="1" applyFont="1" applyAlignment="1">
      <alignment vertical="center"/>
    </xf>
    <xf numFmtId="164" fontId="34" fillId="0" borderId="0" xfId="0" applyNumberFormat="1" applyFont="1" applyAlignment="1">
      <alignment vertical="center"/>
    </xf>
    <xf numFmtId="164" fontId="35" fillId="0" borderId="0" xfId="0" applyNumberFormat="1" applyFont="1" applyAlignment="1">
      <alignment vertical="center"/>
    </xf>
    <xf numFmtId="0" fontId="35" fillId="0" borderId="0" xfId="0" applyFont="1" applyAlignment="1">
      <alignment vertical="center"/>
    </xf>
    <xf numFmtId="164" fontId="26" fillId="0" borderId="7" xfId="0" applyNumberFormat="1" applyFont="1" applyBorder="1" applyAlignment="1">
      <alignment vertical="center"/>
    </xf>
    <xf numFmtId="165" fontId="24" fillId="0" borderId="6" xfId="2" applyNumberFormat="1" applyFont="1" applyFill="1" applyBorder="1" applyAlignment="1">
      <alignment vertical="center"/>
    </xf>
    <xf numFmtId="164" fontId="36" fillId="0" borderId="0" xfId="0" applyNumberFormat="1" applyFont="1" applyAlignment="1">
      <alignment vertical="center"/>
    </xf>
    <xf numFmtId="0" fontId="37" fillId="0" borderId="0" xfId="0" applyFont="1" applyAlignment="1">
      <alignment vertical="center"/>
    </xf>
    <xf numFmtId="0" fontId="38" fillId="0" borderId="0" xfId="0" applyFont="1" applyAlignment="1">
      <alignment vertical="center"/>
    </xf>
    <xf numFmtId="0" fontId="28" fillId="0" borderId="0" xfId="0" applyFont="1" applyAlignment="1">
      <alignment vertical="center"/>
    </xf>
    <xf numFmtId="14" fontId="19" fillId="11" borderId="6" xfId="0" applyNumberFormat="1" applyFont="1" applyFill="1" applyBorder="1" applyAlignment="1">
      <alignment horizontal="center" vertical="center" wrapText="1"/>
    </xf>
    <xf numFmtId="165" fontId="26" fillId="0" borderId="6" xfId="3" applyNumberFormat="1" applyFont="1" applyAlignment="1">
      <alignment horizontal="left" vertical="center"/>
    </xf>
    <xf numFmtId="165" fontId="26" fillId="0" borderId="6" xfId="3" applyNumberFormat="1" applyFont="1" applyAlignment="1">
      <alignment vertical="center"/>
    </xf>
    <xf numFmtId="165" fontId="32" fillId="0" borderId="6" xfId="3" applyNumberFormat="1" applyFont="1" applyAlignment="1">
      <alignment vertical="center"/>
    </xf>
    <xf numFmtId="0" fontId="40" fillId="0" borderId="3" xfId="0" applyFont="1" applyBorder="1" applyAlignment="1">
      <alignment horizontal="left" vertical="center"/>
    </xf>
    <xf numFmtId="0" fontId="40" fillId="0" borderId="6" xfId="0" applyFont="1" applyBorder="1" applyAlignment="1">
      <alignment horizontal="left" vertical="center"/>
    </xf>
    <xf numFmtId="0" fontId="40" fillId="0" borderId="0" xfId="0" applyFont="1" applyAlignment="1">
      <alignment vertical="center"/>
    </xf>
    <xf numFmtId="164" fontId="39" fillId="10" borderId="3" xfId="0" applyNumberFormat="1" applyFont="1" applyFill="1" applyBorder="1" applyAlignment="1">
      <alignment vertical="center"/>
    </xf>
    <xf numFmtId="14" fontId="19" fillId="11" borderId="7" xfId="0" applyNumberFormat="1" applyFont="1" applyFill="1" applyBorder="1" applyAlignment="1">
      <alignment horizontal="center" vertical="center" wrapText="1"/>
    </xf>
    <xf numFmtId="164" fontId="19" fillId="0" borderId="7" xfId="0" applyNumberFormat="1" applyFont="1" applyBorder="1" applyAlignment="1">
      <alignment horizontal="center" vertical="center"/>
    </xf>
    <xf numFmtId="0" fontId="19" fillId="11" borderId="7" xfId="0" applyFont="1" applyFill="1" applyBorder="1" applyAlignment="1">
      <alignment horizontal="center" vertical="center"/>
    </xf>
    <xf numFmtId="0" fontId="20" fillId="10" borderId="7" xfId="0" applyFont="1" applyFill="1" applyBorder="1" applyAlignment="1">
      <alignment horizontal="left"/>
    </xf>
    <xf numFmtId="164" fontId="20" fillId="10" borderId="7" xfId="0" applyNumberFormat="1" applyFont="1" applyFill="1" applyBorder="1" applyAlignment="1">
      <alignment vertical="center"/>
    </xf>
    <xf numFmtId="164" fontId="20" fillId="0" borderId="7" xfId="0" applyNumberFormat="1" applyFont="1" applyBorder="1" applyAlignment="1">
      <alignment vertical="center"/>
    </xf>
    <xf numFmtId="0" fontId="21" fillId="0" borderId="7" xfId="0" applyFont="1" applyBorder="1" applyAlignment="1">
      <alignment horizontal="left"/>
    </xf>
    <xf numFmtId="164" fontId="20" fillId="10" borderId="7" xfId="0" applyNumberFormat="1" applyFont="1" applyFill="1" applyBorder="1" applyAlignment="1">
      <alignment horizontal="left"/>
    </xf>
    <xf numFmtId="164" fontId="20" fillId="10" borderId="6" xfId="7" applyNumberFormat="1" applyFont="1" applyFill="1" applyAlignment="1">
      <alignment vertical="center"/>
    </xf>
    <xf numFmtId="164" fontId="20" fillId="0" borderId="6" xfId="7" applyNumberFormat="1" applyFont="1" applyAlignment="1">
      <alignment vertical="center"/>
    </xf>
    <xf numFmtId="165" fontId="21" fillId="0" borderId="7" xfId="2" applyNumberFormat="1" applyFont="1" applyBorder="1" applyAlignment="1">
      <alignment vertical="center"/>
    </xf>
    <xf numFmtId="165" fontId="21" fillId="0" borderId="7" xfId="2" applyNumberFormat="1" applyFont="1" applyFill="1" applyBorder="1" applyAlignment="1">
      <alignment vertical="center"/>
    </xf>
    <xf numFmtId="0" fontId="19" fillId="11" borderId="7" xfId="0" applyFont="1" applyFill="1" applyBorder="1" applyAlignment="1">
      <alignment horizontal="center" vertical="center" wrapText="1"/>
    </xf>
    <xf numFmtId="0" fontId="20" fillId="10" borderId="7" xfId="0" applyFont="1" applyFill="1" applyBorder="1" applyAlignment="1">
      <alignment horizontal="left" vertical="center"/>
    </xf>
    <xf numFmtId="165" fontId="20" fillId="10" borderId="7" xfId="0" applyNumberFormat="1" applyFont="1" applyFill="1" applyBorder="1" applyAlignment="1">
      <alignment horizontal="right" vertical="center"/>
    </xf>
    <xf numFmtId="0" fontId="21" fillId="0" borderId="7" xfId="0" applyFont="1" applyBorder="1" applyAlignment="1">
      <alignment horizontal="left" vertical="center"/>
    </xf>
    <xf numFmtId="165" fontId="21" fillId="0" borderId="7" xfId="0" applyNumberFormat="1" applyFont="1" applyBorder="1" applyAlignment="1">
      <alignment horizontal="right" vertical="center"/>
    </xf>
    <xf numFmtId="0" fontId="41" fillId="3" borderId="7" xfId="0" applyFont="1" applyFill="1" applyBorder="1" applyAlignment="1">
      <alignment horizontal="right" vertical="center"/>
    </xf>
    <xf numFmtId="165" fontId="22" fillId="0" borderId="7" xfId="0" applyNumberFormat="1" applyFont="1" applyBorder="1" applyAlignment="1">
      <alignment horizontal="right" vertical="center"/>
    </xf>
    <xf numFmtId="0" fontId="42" fillId="0" borderId="7" xfId="0" applyFont="1" applyBorder="1" applyAlignment="1">
      <alignment horizontal="left" vertical="center" wrapText="1"/>
    </xf>
    <xf numFmtId="43" fontId="22" fillId="0" borderId="7" xfId="5" applyFont="1" applyBorder="1" applyAlignment="1">
      <alignment horizontal="right" vertical="center"/>
    </xf>
    <xf numFmtId="0" fontId="22" fillId="3" borderId="7" xfId="0" applyFont="1" applyFill="1" applyBorder="1" applyAlignment="1">
      <alignment horizontal="left" vertical="center"/>
    </xf>
    <xf numFmtId="165" fontId="43" fillId="0" borderId="7" xfId="0" applyNumberFormat="1" applyFont="1" applyBorder="1" applyAlignment="1">
      <alignment horizontal="right" vertical="center"/>
    </xf>
    <xf numFmtId="0" fontId="21" fillId="0" borderId="7" xfId="0" applyFont="1" applyBorder="1"/>
    <xf numFmtId="164" fontId="21" fillId="0" borderId="7" xfId="0" applyNumberFormat="1" applyFont="1" applyBorder="1"/>
    <xf numFmtId="165" fontId="21" fillId="0" borderId="7" xfId="0" applyNumberFormat="1" applyFont="1" applyBorder="1"/>
    <xf numFmtId="165" fontId="21" fillId="0" borderId="7" xfId="2" applyNumberFormat="1" applyFont="1" applyBorder="1"/>
    <xf numFmtId="0" fontId="20" fillId="10" borderId="3" xfId="0" applyFont="1" applyFill="1" applyBorder="1" applyAlignment="1">
      <alignment horizontal="left"/>
    </xf>
    <xf numFmtId="3" fontId="21" fillId="0" borderId="0" xfId="0" applyNumberFormat="1" applyFont="1"/>
    <xf numFmtId="3" fontId="21" fillId="0" borderId="0" xfId="0" applyNumberFormat="1" applyFont="1" applyAlignment="1">
      <alignment horizontal="right"/>
    </xf>
    <xf numFmtId="0" fontId="20" fillId="10" borderId="3" xfId="0" applyFont="1" applyFill="1" applyBorder="1" applyAlignment="1">
      <alignment vertical="center"/>
    </xf>
    <xf numFmtId="3" fontId="20" fillId="10" borderId="3" xfId="0" applyNumberFormat="1" applyFont="1" applyFill="1" applyBorder="1" applyAlignment="1">
      <alignment vertical="center"/>
    </xf>
    <xf numFmtId="0" fontId="20" fillId="0" borderId="0" xfId="0" applyFont="1"/>
    <xf numFmtId="3" fontId="21" fillId="0" borderId="0" xfId="0" applyNumberFormat="1" applyFont="1" applyAlignment="1">
      <alignment horizontal="center" vertical="center"/>
    </xf>
    <xf numFmtId="0" fontId="21" fillId="0" borderId="0" xfId="0" applyFont="1" applyAlignment="1">
      <alignment horizontal="center" vertical="center"/>
    </xf>
    <xf numFmtId="0" fontId="20" fillId="10" borderId="6" xfId="0" applyFont="1" applyFill="1" applyBorder="1" applyAlignment="1">
      <alignment horizontal="left"/>
    </xf>
    <xf numFmtId="0" fontId="21" fillId="0" borderId="0" xfId="0" applyFont="1" applyAlignment="1">
      <alignment horizontal="right"/>
    </xf>
    <xf numFmtId="17" fontId="19" fillId="11" borderId="7" xfId="0" applyNumberFormat="1" applyFont="1" applyFill="1" applyBorder="1" applyAlignment="1">
      <alignment horizontal="center" vertical="center" wrapText="1"/>
    </xf>
    <xf numFmtId="0" fontId="19" fillId="11" borderId="7" xfId="5" applyNumberFormat="1" applyFont="1" applyFill="1" applyBorder="1" applyAlignment="1">
      <alignment horizontal="center" vertical="center" wrapText="1"/>
    </xf>
    <xf numFmtId="164" fontId="20" fillId="0" borderId="7" xfId="0" applyNumberFormat="1" applyFont="1" applyBorder="1" applyAlignment="1">
      <alignment horizontal="left"/>
    </xf>
    <xf numFmtId="10" fontId="21" fillId="0" borderId="7" xfId="0" applyNumberFormat="1" applyFont="1" applyBorder="1" applyAlignment="1">
      <alignment horizontal="right" vertical="center"/>
    </xf>
    <xf numFmtId="0" fontId="21" fillId="0" borderId="0" xfId="0" applyFont="1" applyAlignment="1">
      <alignment horizontal="left"/>
    </xf>
    <xf numFmtId="164" fontId="20" fillId="10" borderId="6" xfId="0" applyNumberFormat="1" applyFont="1" applyFill="1" applyBorder="1" applyAlignment="1">
      <alignment horizontal="left" vertical="center"/>
    </xf>
    <xf numFmtId="0" fontId="21" fillId="4" borderId="5" xfId="0" applyFont="1" applyFill="1" applyBorder="1" applyAlignment="1">
      <alignment wrapText="1"/>
    </xf>
    <xf numFmtId="0" fontId="21" fillId="4" borderId="6" xfId="0" applyFont="1" applyFill="1" applyBorder="1" applyAlignment="1">
      <alignment wrapText="1"/>
    </xf>
    <xf numFmtId="0" fontId="20" fillId="14" borderId="3" xfId="0" applyFont="1" applyFill="1" applyBorder="1" applyAlignment="1">
      <alignment horizontal="left"/>
    </xf>
    <xf numFmtId="0" fontId="20" fillId="13" borderId="6" xfId="0" applyFont="1" applyFill="1" applyBorder="1" applyAlignment="1">
      <alignment horizontal="left"/>
    </xf>
    <xf numFmtId="0" fontId="20" fillId="12" borderId="3" xfId="0" applyFont="1" applyFill="1" applyBorder="1" applyAlignment="1">
      <alignment horizontal="left" vertical="center"/>
    </xf>
    <xf numFmtId="0" fontId="26" fillId="0" borderId="6" xfId="0" applyFont="1" applyBorder="1"/>
    <xf numFmtId="0" fontId="21" fillId="4" borderId="0" xfId="0" applyFont="1" applyFill="1"/>
    <xf numFmtId="0" fontId="21" fillId="0" borderId="0" xfId="0" applyFont="1" applyAlignment="1">
      <alignment horizontal="center" vertical="center" wrapText="1"/>
    </xf>
    <xf numFmtId="0" fontId="21" fillId="0" borderId="0" xfId="0" applyFont="1" applyAlignment="1">
      <alignment horizontal="center"/>
    </xf>
    <xf numFmtId="1" fontId="21" fillId="0" borderId="0" xfId="0" applyNumberFormat="1" applyFont="1" applyAlignment="1">
      <alignment horizontal="center" vertical="center"/>
    </xf>
    <xf numFmtId="2" fontId="21" fillId="0" borderId="0" xfId="0" applyNumberFormat="1" applyFont="1" applyAlignment="1">
      <alignment horizontal="center" vertical="center"/>
    </xf>
    <xf numFmtId="14" fontId="21" fillId="0" borderId="0" xfId="0" applyNumberFormat="1" applyFont="1" applyAlignment="1">
      <alignment horizontal="center" vertical="center"/>
    </xf>
    <xf numFmtId="0" fontId="21" fillId="4" borderId="3" xfId="0" applyFont="1" applyFill="1" applyBorder="1"/>
    <xf numFmtId="0" fontId="21" fillId="4" borderId="6" xfId="0" applyFont="1" applyFill="1" applyBorder="1"/>
    <xf numFmtId="4" fontId="21" fillId="0" borderId="0" xfId="0" applyNumberFormat="1" applyFont="1" applyAlignment="1">
      <alignment horizontal="center"/>
    </xf>
    <xf numFmtId="3" fontId="20" fillId="0" borderId="0" xfId="0" applyNumberFormat="1" applyFont="1"/>
    <xf numFmtId="3" fontId="21" fillId="0" borderId="0" xfId="0" applyNumberFormat="1" applyFont="1" applyAlignment="1">
      <alignment vertical="center"/>
    </xf>
    <xf numFmtId="3" fontId="20" fillId="10" borderId="6" xfId="0" applyNumberFormat="1" applyFont="1" applyFill="1" applyBorder="1" applyAlignment="1">
      <alignment vertical="center"/>
    </xf>
    <xf numFmtId="165" fontId="20" fillId="10" borderId="7" xfId="2" applyNumberFormat="1" applyFont="1" applyFill="1" applyBorder="1" applyAlignment="1">
      <alignment vertical="center"/>
    </xf>
    <xf numFmtId="0" fontId="20" fillId="12" borderId="6" xfId="0" applyFont="1" applyFill="1" applyBorder="1" applyAlignment="1">
      <alignment horizontal="center" vertical="center"/>
    </xf>
    <xf numFmtId="3" fontId="20" fillId="10" borderId="6" xfId="0" applyNumberFormat="1" applyFont="1" applyFill="1" applyBorder="1" applyAlignment="1">
      <alignment horizontal="center" vertical="center"/>
    </xf>
    <xf numFmtId="3" fontId="20" fillId="10" borderId="3" xfId="0" applyNumberFormat="1" applyFont="1" applyFill="1" applyBorder="1" applyAlignment="1">
      <alignment horizontal="center" vertical="center"/>
    </xf>
    <xf numFmtId="0" fontId="21" fillId="4" borderId="6" xfId="0" applyFont="1" applyFill="1" applyBorder="1" applyAlignment="1">
      <alignment vertical="center" wrapText="1"/>
    </xf>
    <xf numFmtId="0" fontId="20" fillId="14" borderId="6" xfId="0" applyFont="1" applyFill="1" applyBorder="1" applyAlignment="1">
      <alignment horizontal="center" vertical="center"/>
    </xf>
    <xf numFmtId="0" fontId="20" fillId="13" borderId="6" xfId="0" applyFont="1" applyFill="1" applyBorder="1" applyAlignment="1">
      <alignment horizontal="center" vertical="center"/>
    </xf>
    <xf numFmtId="0" fontId="16" fillId="0" borderId="6" xfId="0" applyFont="1" applyBorder="1" applyAlignment="1">
      <alignment horizontal="left" vertical="center" readingOrder="1"/>
    </xf>
    <xf numFmtId="0" fontId="20" fillId="10" borderId="3" xfId="0" quotePrefix="1" applyFont="1" applyFill="1" applyBorder="1" applyAlignment="1">
      <alignment horizontal="left"/>
    </xf>
    <xf numFmtId="0" fontId="48" fillId="0" borderId="0" xfId="0" applyFont="1" applyAlignment="1">
      <alignment vertical="center"/>
    </xf>
    <xf numFmtId="165" fontId="22" fillId="0" borderId="6" xfId="2" applyNumberFormat="1" applyFont="1" applyBorder="1" applyAlignment="1">
      <alignment vertical="center"/>
    </xf>
    <xf numFmtId="164" fontId="21" fillId="0" borderId="0" xfId="0" applyNumberFormat="1" applyFont="1" applyAlignment="1">
      <alignment horizontal="center" vertical="center"/>
    </xf>
    <xf numFmtId="0" fontId="49" fillId="0" borderId="0" xfId="0" applyFont="1" applyAlignment="1">
      <alignment horizontal="left"/>
    </xf>
    <xf numFmtId="0" fontId="47" fillId="0" borderId="6" xfId="0" applyFont="1" applyBorder="1"/>
    <xf numFmtId="0" fontId="7" fillId="0" borderId="6" xfId="0" applyFont="1" applyBorder="1" applyAlignment="1">
      <alignment horizontal="right"/>
    </xf>
    <xf numFmtId="14" fontId="7" fillId="15" borderId="6" xfId="0" applyNumberFormat="1" applyFont="1" applyFill="1" applyBorder="1"/>
    <xf numFmtId="0" fontId="17" fillId="0" borderId="6" xfId="9" applyFont="1"/>
    <xf numFmtId="0" fontId="50" fillId="0" borderId="6" xfId="10"/>
    <xf numFmtId="164" fontId="21" fillId="0" borderId="6" xfId="10" applyNumberFormat="1" applyFont="1" applyAlignment="1">
      <alignment vertical="center"/>
    </xf>
    <xf numFmtId="164" fontId="30" fillId="0" borderId="6" xfId="10" applyNumberFormat="1" applyFont="1" applyAlignment="1">
      <alignment vertical="center"/>
    </xf>
    <xf numFmtId="14" fontId="31" fillId="11" borderId="9" xfId="9" applyNumberFormat="1" applyFont="1" applyFill="1" applyBorder="1" applyAlignment="1">
      <alignment horizontal="center" vertical="center" wrapText="1"/>
    </xf>
    <xf numFmtId="0" fontId="20" fillId="10" borderId="6" xfId="9" applyFont="1" applyFill="1" applyAlignment="1">
      <alignment horizontal="left" vertical="center"/>
    </xf>
    <xf numFmtId="3" fontId="20" fillId="10" borderId="6" xfId="9" applyNumberFormat="1" applyFont="1" applyFill="1" applyAlignment="1">
      <alignment horizontal="center" vertical="center"/>
    </xf>
    <xf numFmtId="0" fontId="51" fillId="0" borderId="6" xfId="9" applyFont="1" applyAlignment="1">
      <alignment horizontal="left" vertical="center" wrapText="1"/>
    </xf>
    <xf numFmtId="0" fontId="52" fillId="0" borderId="6" xfId="4" applyFont="1" applyAlignment="1">
      <alignment horizontal="center" vertical="center" wrapText="1"/>
    </xf>
    <xf numFmtId="0" fontId="49" fillId="0" borderId="6" xfId="9" applyFont="1" applyAlignment="1">
      <alignment vertical="center" wrapText="1"/>
    </xf>
    <xf numFmtId="3" fontId="52" fillId="0" borderId="6" xfId="4" applyNumberFormat="1" applyFont="1" applyAlignment="1">
      <alignment horizontal="center" vertical="center" wrapText="1"/>
    </xf>
    <xf numFmtId="0" fontId="49" fillId="9" borderId="6" xfId="9" applyFont="1" applyFill="1" applyAlignment="1">
      <alignment vertical="center" wrapText="1"/>
    </xf>
    <xf numFmtId="3" fontId="53" fillId="9" borderId="6" xfId="4" applyNumberFormat="1" applyFont="1" applyFill="1" applyAlignment="1">
      <alignment horizontal="center" vertical="center" wrapText="1"/>
    </xf>
    <xf numFmtId="3" fontId="53" fillId="0" borderId="6" xfId="4" applyNumberFormat="1" applyFont="1" applyAlignment="1">
      <alignment horizontal="center" vertical="center" wrapText="1"/>
    </xf>
    <xf numFmtId="0" fontId="54" fillId="0" borderId="6" xfId="9" applyFont="1" applyAlignment="1">
      <alignment vertical="center" wrapText="1"/>
    </xf>
    <xf numFmtId="0" fontId="55" fillId="7" borderId="6" xfId="4" applyFont="1" applyFill="1" applyAlignment="1">
      <alignment horizontal="left" vertical="center" wrapText="1" readingOrder="1"/>
    </xf>
    <xf numFmtId="0" fontId="54" fillId="9" borderId="6" xfId="9" applyFont="1" applyFill="1" applyAlignment="1">
      <alignment vertical="center" wrapText="1"/>
    </xf>
    <xf numFmtId="0" fontId="56" fillId="0" borderId="6" xfId="4" applyFont="1" applyAlignment="1">
      <alignment horizontal="left" vertical="center" wrapText="1" readingOrder="1"/>
    </xf>
    <xf numFmtId="3" fontId="54" fillId="0" borderId="6" xfId="9" applyNumberFormat="1" applyFont="1" applyAlignment="1">
      <alignment vertical="center" wrapText="1"/>
    </xf>
    <xf numFmtId="3" fontId="8" fillId="0" borderId="6" xfId="10" applyNumberFormat="1" applyFont="1"/>
    <xf numFmtId="3" fontId="17" fillId="0" borderId="6" xfId="9" applyNumberFormat="1" applyFont="1"/>
    <xf numFmtId="0" fontId="49" fillId="0" borderId="6" xfId="0" applyFont="1" applyBorder="1"/>
    <xf numFmtId="1" fontId="31" fillId="11" borderId="9" xfId="0" applyNumberFormat="1" applyFont="1" applyFill="1" applyBorder="1" applyAlignment="1">
      <alignment horizontal="center" vertical="center" wrapText="1"/>
    </xf>
    <xf numFmtId="0" fontId="54" fillId="10" borderId="6" xfId="0" applyFont="1" applyFill="1" applyBorder="1" applyAlignment="1">
      <alignment horizontal="left"/>
    </xf>
    <xf numFmtId="3" fontId="49" fillId="0" borderId="6" xfId="0" applyNumberFormat="1" applyFont="1" applyBorder="1"/>
    <xf numFmtId="0" fontId="54" fillId="0" borderId="6" xfId="0" applyFont="1" applyBorder="1"/>
    <xf numFmtId="14" fontId="25" fillId="0" borderId="6" xfId="4" applyNumberFormat="1" applyFont="1" applyAlignment="1">
      <alignment horizontal="center" vertical="center" wrapText="1"/>
    </xf>
    <xf numFmtId="9" fontId="21" fillId="0" borderId="7" xfId="2" applyFont="1" applyBorder="1"/>
    <xf numFmtId="0" fontId="57" fillId="0" borderId="0" xfId="0" applyFont="1"/>
    <xf numFmtId="0" fontId="16" fillId="0" borderId="6" xfId="4" applyFont="1" applyAlignment="1">
      <alignment horizontal="left" vertical="center" wrapText="1" readingOrder="1"/>
    </xf>
    <xf numFmtId="0" fontId="21" fillId="0" borderId="0" xfId="0" applyFont="1"/>
    <xf numFmtId="0" fontId="17" fillId="0" borderId="0" xfId="0" applyFont="1" applyAlignment="1">
      <alignment horizontal="center"/>
    </xf>
    <xf numFmtId="0" fontId="21" fillId="0" borderId="0" xfId="0" applyFont="1"/>
    <xf numFmtId="0" fontId="17" fillId="0" borderId="0" xfId="0" applyFont="1" applyAlignment="1">
      <alignment horizontal="center"/>
    </xf>
    <xf numFmtId="0" fontId="33" fillId="7" borderId="0" xfId="0" applyFont="1" applyFill="1" applyAlignment="1">
      <alignment horizontal="center" vertical="center"/>
    </xf>
    <xf numFmtId="0" fontId="21" fillId="0" borderId="0" xfId="0" applyFont="1"/>
    <xf numFmtId="0" fontId="19" fillId="16" borderId="1" xfId="0" applyFont="1" applyFill="1" applyBorder="1" applyAlignment="1">
      <alignment horizontal="center" vertical="center" wrapText="1"/>
    </xf>
    <xf numFmtId="164" fontId="20" fillId="17" borderId="3" xfId="0" applyNumberFormat="1" applyFont="1" applyFill="1" applyBorder="1" applyAlignment="1">
      <alignment vertical="center"/>
    </xf>
    <xf numFmtId="164" fontId="21" fillId="7" borderId="0" xfId="0" applyNumberFormat="1" applyFont="1" applyFill="1" applyAlignment="1">
      <alignment vertical="center"/>
    </xf>
    <xf numFmtId="164" fontId="20" fillId="7" borderId="0" xfId="0" applyNumberFormat="1" applyFont="1" applyFill="1" applyAlignment="1">
      <alignment vertical="center"/>
    </xf>
    <xf numFmtId="164" fontId="22" fillId="7" borderId="0" xfId="0" applyNumberFormat="1" applyFont="1" applyFill="1" applyAlignment="1">
      <alignment vertical="center"/>
    </xf>
    <xf numFmtId="0" fontId="20" fillId="7" borderId="0" xfId="0" applyFont="1" applyFill="1" applyAlignment="1">
      <alignment horizontal="left" vertical="center"/>
    </xf>
    <xf numFmtId="164" fontId="21" fillId="7" borderId="0" xfId="0" applyNumberFormat="1" applyFont="1" applyFill="1" applyAlignment="1">
      <alignment horizontal="right" vertical="center"/>
    </xf>
    <xf numFmtId="14" fontId="19" fillId="16" borderId="1" xfId="0" applyNumberFormat="1" applyFont="1" applyFill="1" applyBorder="1" applyAlignment="1">
      <alignment horizontal="center" vertical="center" wrapText="1"/>
    </xf>
    <xf numFmtId="164" fontId="20" fillId="17" borderId="3" xfId="0" applyNumberFormat="1" applyFont="1" applyFill="1" applyBorder="1" applyAlignment="1">
      <alignment horizontal="left" vertical="center"/>
    </xf>
    <xf numFmtId="164" fontId="20" fillId="17" borderId="6" xfId="0" applyNumberFormat="1" applyFont="1" applyFill="1" applyBorder="1" applyAlignment="1">
      <alignment vertical="center"/>
    </xf>
    <xf numFmtId="164" fontId="20" fillId="17" borderId="6" xfId="0" applyNumberFormat="1" applyFont="1" applyFill="1" applyBorder="1" applyAlignment="1">
      <alignment horizontal="center" vertical="center"/>
    </xf>
    <xf numFmtId="164" fontId="20" fillId="17" borderId="7" xfId="0" applyNumberFormat="1" applyFont="1" applyFill="1" applyBorder="1" applyAlignment="1">
      <alignment vertical="center"/>
    </xf>
    <xf numFmtId="0" fontId="49" fillId="7" borderId="6" xfId="9" applyFont="1" applyFill="1" applyAlignment="1">
      <alignment vertical="center" wrapText="1"/>
    </xf>
    <xf numFmtId="0" fontId="54" fillId="7" borderId="6" xfId="9" applyFont="1" applyFill="1" applyAlignment="1">
      <alignment vertical="center" wrapText="1"/>
    </xf>
    <xf numFmtId="0" fontId="50" fillId="7" borderId="6" xfId="10" applyFill="1"/>
    <xf numFmtId="0" fontId="17" fillId="7" borderId="6" xfId="9" applyFont="1" applyFill="1"/>
    <xf numFmtId="0" fontId="49" fillId="0" borderId="6" xfId="9" applyFont="1" applyAlignment="1">
      <alignment horizontal="left" vertical="center" wrapText="1" indent="1"/>
    </xf>
    <xf numFmtId="0" fontId="49" fillId="0" borderId="6" xfId="9" applyFont="1" applyAlignment="1">
      <alignment horizontal="left" vertical="center" wrapText="1"/>
    </xf>
    <xf numFmtId="3" fontId="52" fillId="7" borderId="6" xfId="4" applyNumberFormat="1" applyFont="1" applyFill="1" applyAlignment="1">
      <alignment horizontal="center" vertical="center" wrapText="1"/>
    </xf>
    <xf numFmtId="3" fontId="53" fillId="7" borderId="6" xfId="4" applyNumberFormat="1" applyFont="1" applyFill="1" applyAlignment="1">
      <alignment horizontal="center" vertical="center" wrapText="1"/>
    </xf>
    <xf numFmtId="0" fontId="19" fillId="7" borderId="1" xfId="0" applyFont="1" applyFill="1" applyBorder="1" applyAlignment="1">
      <alignment horizontal="center" vertical="center"/>
    </xf>
    <xf numFmtId="14" fontId="25" fillId="7" borderId="6" xfId="4" applyNumberFormat="1" applyFont="1" applyFill="1" applyAlignment="1">
      <alignment horizontal="center" vertical="center" wrapText="1"/>
    </xf>
    <xf numFmtId="3" fontId="20" fillId="17" borderId="6" xfId="9" applyNumberFormat="1" applyFont="1" applyFill="1" applyAlignment="1">
      <alignment horizontal="center" vertical="center"/>
    </xf>
    <xf numFmtId="0" fontId="21" fillId="0" borderId="0" xfId="0" applyFont="1"/>
    <xf numFmtId="0" fontId="0" fillId="7" borderId="0" xfId="0" applyFill="1"/>
    <xf numFmtId="0" fontId="20" fillId="17" borderId="6" xfId="9" applyFont="1" applyFill="1" applyAlignment="1">
      <alignment horizontal="left" vertical="center"/>
    </xf>
    <xf numFmtId="0" fontId="20" fillId="9" borderId="6" xfId="9" applyFont="1" applyFill="1" applyAlignment="1">
      <alignment vertical="center" wrapText="1"/>
    </xf>
    <xf numFmtId="3" fontId="58" fillId="9" borderId="6" xfId="4" applyNumberFormat="1" applyFont="1" applyFill="1" applyAlignment="1">
      <alignment horizontal="center" vertical="center" wrapText="1"/>
    </xf>
    <xf numFmtId="0" fontId="21" fillId="18" borderId="3" xfId="0" applyFont="1" applyFill="1" applyBorder="1"/>
    <xf numFmtId="0" fontId="17" fillId="0" borderId="0" xfId="0" applyFont="1" applyAlignment="1">
      <alignment horizontal="center"/>
    </xf>
    <xf numFmtId="0" fontId="21" fillId="0" borderId="0" xfId="0" applyFont="1"/>
    <xf numFmtId="164" fontId="21" fillId="17" borderId="7" xfId="0" applyNumberFormat="1" applyFont="1" applyFill="1" applyBorder="1" applyAlignment="1">
      <alignment vertical="center"/>
    </xf>
    <xf numFmtId="3" fontId="58" fillId="10" borderId="6" xfId="9" applyNumberFormat="1" applyFont="1" applyFill="1" applyAlignment="1">
      <alignment horizontal="center" vertical="center"/>
    </xf>
    <xf numFmtId="0" fontId="58" fillId="10" borderId="6" xfId="9" applyFont="1" applyFill="1" applyAlignment="1">
      <alignment horizontal="left" vertical="center"/>
    </xf>
    <xf numFmtId="0" fontId="16" fillId="0" borderId="6" xfId="9" applyFont="1" applyAlignment="1">
      <alignment vertical="center" wrapText="1"/>
    </xf>
    <xf numFmtId="0" fontId="45" fillId="0" borderId="0" xfId="0" applyFont="1" applyAlignment="1">
      <alignment horizontal="left"/>
    </xf>
    <xf numFmtId="0" fontId="17" fillId="0" borderId="0" xfId="0" applyFont="1" applyAlignment="1">
      <alignment horizontal="center"/>
    </xf>
    <xf numFmtId="0" fontId="21" fillId="0" borderId="0" xfId="0" applyFont="1" applyAlignment="1">
      <alignment horizontal="center" vertical="center" wrapText="1"/>
    </xf>
    <xf numFmtId="0" fontId="21" fillId="0" borderId="0" xfId="0" applyFont="1"/>
    <xf numFmtId="0" fontId="10" fillId="0" borderId="0" xfId="0" applyFont="1" applyAlignment="1">
      <alignment horizontal="center"/>
    </xf>
    <xf numFmtId="0" fontId="46" fillId="0" borderId="0" xfId="0" applyFont="1" applyAlignment="1">
      <alignment horizontal="center"/>
    </xf>
    <xf numFmtId="0" fontId="47" fillId="0" borderId="6" xfId="0" applyFont="1" applyBorder="1" applyAlignment="1">
      <alignment horizontal="center"/>
    </xf>
    <xf numFmtId="0" fontId="47" fillId="0" borderId="0" xfId="0" applyFont="1" applyAlignment="1">
      <alignment horizontal="center"/>
    </xf>
  </cellXfs>
  <cellStyles count="11">
    <cellStyle name="Normal" xfId="0" builtinId="0"/>
    <cellStyle name="Normal 2" xfId="7"/>
    <cellStyle name="Normal 3" xfId="8"/>
    <cellStyle name="Normal 4" xfId="1"/>
    <cellStyle name="Normal 5" xfId="4"/>
    <cellStyle name="Normal 5 2" xfId="6"/>
    <cellStyle name="Normal 6" xfId="9"/>
    <cellStyle name="Normal 7" xfId="10"/>
    <cellStyle name="Porcentagem" xfId="2" builtinId="5"/>
    <cellStyle name="Porcentagem 2" xfId="3"/>
    <cellStyle name="Vírgula" xfId="5" builtinId="3"/>
  </cellStyles>
  <dxfs count="0"/>
  <tableStyles count="0" defaultTableStyle="TableStyleMedium2" defaultPivotStyle="PivotStyleLight16"/>
  <colors>
    <mruColors>
      <color rgb="FFEDFFD4"/>
      <color rgb="FF003D18"/>
      <color rgb="FFB5FF20"/>
      <color rgb="FF7FDE00"/>
      <color rgb="FFCFFF8F"/>
      <color rgb="FFDDFFAF"/>
      <color rgb="FF339933"/>
      <color rgb="FF90C747"/>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ListaLojas | StoresList'!A1"/><Relationship Id="rId13" Type="http://schemas.openxmlformats.org/officeDocument/2006/relationships/hyperlink" Target="#'Fluxo de Caixa | CashFlow'!A1"/><Relationship Id="rId3" Type="http://schemas.openxmlformats.org/officeDocument/2006/relationships/hyperlink" Target="#'DREajustada I Adj. Income Stat.'!A1"/><Relationship Id="rId7" Type="http://schemas.openxmlformats.org/officeDocument/2006/relationships/hyperlink" Target="#'# Lojas | Stores'!A1"/><Relationship Id="rId12" Type="http://schemas.openxmlformats.org/officeDocument/2006/relationships/hyperlink" Target="#'CashFlow Management'!A1"/><Relationship Id="rId2" Type="http://schemas.openxmlformats.org/officeDocument/2006/relationships/hyperlink" Target="#'BP |  BalanceSheet'!A1"/><Relationship Id="rId1" Type="http://schemas.openxmlformats.org/officeDocument/2006/relationships/image" Target="../media/image1.png"/><Relationship Id="rId6" Type="http://schemas.openxmlformats.org/officeDocument/2006/relationships/hyperlink" Target="#CAPEX!A1"/><Relationship Id="rId11" Type="http://schemas.openxmlformats.org/officeDocument/2006/relationships/hyperlink" Target="#'Fisia Indicadores'!A1"/><Relationship Id="rId5" Type="http://schemas.openxmlformats.org/officeDocument/2006/relationships/hyperlink" Target="#'DespPorNat. | ExpensesPerNature'!A1"/><Relationship Id="rId10" Type="http://schemas.openxmlformats.org/officeDocument/2006/relationships/hyperlink" Target="#'Centauro Indicadores'!A1"/><Relationship Id="rId4" Type="http://schemas.openxmlformats.org/officeDocument/2006/relationships/hyperlink" Target="#'DRE I IncomeStatement'!A1"/><Relationship Id="rId9" Type="http://schemas.openxmlformats.org/officeDocument/2006/relationships/image" Target="../media/image2.png"/><Relationship Id="rId14" Type="http://schemas.openxmlformats.org/officeDocument/2006/relationships/hyperlink" Target="#'Working Capital'!A1"/></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apa | Cover'!A1"/></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apa | Cover'!A1"/></Relationships>
</file>

<file path=xl/drawings/_rels/drawing4.xml.rels><?xml version="1.0" encoding="UTF-8" standalone="yes"?>
<Relationships xmlns="http://schemas.openxmlformats.org/package/2006/relationships"><Relationship Id="rId2" Type="http://schemas.openxmlformats.org/officeDocument/2006/relationships/hyperlink" Target="#'Capa | Cover'!A1"/><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hyperlink" Target="#'Capa | Cover'!A1"/><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apa | Cover'!A1"/></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apa | Cover'!A1"/></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Capa | Cover'!A1"/></Relationships>
</file>

<file path=xl/drawings/_rels/drawing9.xml.rels><?xml version="1.0" encoding="UTF-8" standalone="yes"?>
<Relationships xmlns="http://schemas.openxmlformats.org/package/2006/relationships"><Relationship Id="rId2" Type="http://schemas.openxmlformats.org/officeDocument/2006/relationships/hyperlink" Target="#'Capa | Cover'!A1"/><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apa | Cover'!A1"/></Relationships>
</file>

<file path=xl/drawings/_rels/drawing11.xml.rels><?xml version="1.0" encoding="UTF-8" standalone="yes"?>
<Relationships xmlns="http://schemas.openxmlformats.org/package/2006/relationships"><Relationship Id="rId2" Type="http://schemas.openxmlformats.org/officeDocument/2006/relationships/hyperlink" Target="#'Capa | Cover'!A1"/><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8.png"/><Relationship Id="rId1" Type="http://schemas.openxmlformats.org/officeDocument/2006/relationships/hyperlink" Target="#'Capa | Cover'!A1"/></Relationships>
</file>

<file path=xl/drawings/_rels/drawing1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8.png"/><Relationship Id="rId1" Type="http://schemas.openxmlformats.org/officeDocument/2006/relationships/hyperlink" Target="#'Capa | Cover'!A1"/></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Capa | Cover'!A1"/></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apa | Cover'!A1"/></Relationships>
</file>

<file path=xl/drawings/_rels/drawing1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apa | Cover'!A1"/></Relationships>
</file>

<file path=xl/drawings/_rels/drawing1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Capa | Cover'!A1"/></Relationships>
</file>

<file path=xl/drawings/drawing1.xml><?xml version="1.0" encoding="utf-8"?>
<xdr:wsDr xmlns:xdr="http://schemas.openxmlformats.org/drawingml/2006/spreadsheetDrawing" xmlns:a="http://schemas.openxmlformats.org/drawingml/2006/main">
  <xdr:twoCellAnchor editAs="oneCell">
    <xdr:from>
      <xdr:col>0</xdr:col>
      <xdr:colOff>296341</xdr:colOff>
      <xdr:row>0</xdr:row>
      <xdr:rowOff>52917</xdr:rowOff>
    </xdr:from>
    <xdr:to>
      <xdr:col>16</xdr:col>
      <xdr:colOff>0</xdr:colOff>
      <xdr:row>23</xdr:row>
      <xdr:rowOff>134056</xdr:rowOff>
    </xdr:to>
    <xdr:pic>
      <xdr:nvPicPr>
        <xdr:cNvPr id="18" name="Imagem 17">
          <a:extLst>
            <a:ext uri="{FF2B5EF4-FFF2-40B4-BE49-F238E27FC236}">
              <a16:creationId xmlns:a16="http://schemas.microsoft.com/office/drawing/2014/main" id="{00000000-0008-0000-0100-000012000000}"/>
            </a:ext>
          </a:extLst>
        </xdr:cNvPr>
        <xdr:cNvPicPr>
          <a:picLocks noChangeAspect="1"/>
        </xdr:cNvPicPr>
      </xdr:nvPicPr>
      <xdr:blipFill rotWithShape="1">
        <a:blip xmlns:r="http://schemas.openxmlformats.org/officeDocument/2006/relationships" r:embed="rId1">
          <a:lum bright="70000" contrast="-70000"/>
        </a:blip>
        <a:srcRect t="-1" b="26465"/>
        <a:stretch/>
      </xdr:blipFill>
      <xdr:spPr>
        <a:xfrm>
          <a:off x="296341" y="52917"/>
          <a:ext cx="10315215" cy="4123972"/>
        </a:xfrm>
        <a:prstGeom prst="rect">
          <a:avLst/>
        </a:prstGeom>
      </xdr:spPr>
    </xdr:pic>
    <xdr:clientData/>
  </xdr:twoCellAnchor>
  <xdr:oneCellAnchor>
    <xdr:from>
      <xdr:col>0</xdr:col>
      <xdr:colOff>652539</xdr:colOff>
      <xdr:row>4</xdr:row>
      <xdr:rowOff>109299</xdr:rowOff>
    </xdr:from>
    <xdr:ext cx="6290128" cy="1355912"/>
    <xdr:sp macro="" textlink="">
      <xdr:nvSpPr>
        <xdr:cNvPr id="4" name="Text Box 8">
          <a:extLst>
            <a:ext uri="{FF2B5EF4-FFF2-40B4-BE49-F238E27FC236}">
              <a16:creationId xmlns:a16="http://schemas.microsoft.com/office/drawing/2014/main" id="{00000000-0008-0000-0100-000004000000}"/>
            </a:ext>
          </a:extLst>
        </xdr:cNvPr>
        <xdr:cNvSpPr txBox="1">
          <a:spLocks noChangeArrowheads="1"/>
        </xdr:cNvSpPr>
      </xdr:nvSpPr>
      <xdr:spPr bwMode="auto">
        <a:xfrm>
          <a:off x="652539" y="828966"/>
          <a:ext cx="6290128" cy="1355912"/>
        </a:xfrm>
        <a:prstGeom prst="rect">
          <a:avLst/>
        </a:prstGeom>
        <a:noFill/>
        <a:ln>
          <a:noFill/>
        </a:ln>
      </xdr:spPr>
      <xdr:txBody>
        <a:bodyPr vertOverflow="clip" wrap="square" lIns="45720" tIns="41148" rIns="0" bIns="0" anchor="ctr" upright="1"/>
        <a:lstStyle/>
        <a:p>
          <a:pPr algn="l" rtl="0">
            <a:defRPr sz="1000"/>
          </a:pPr>
          <a:r>
            <a:rPr lang="en-US" sz="2400" b="1" i="0" u="none" strike="noStrike" baseline="0">
              <a:solidFill>
                <a:srgbClr val="003D18"/>
              </a:solidFill>
              <a:latin typeface="Mona Sans Expanded Black" pitchFamily="50" charset="0"/>
              <a:ea typeface="Roboto Light" panose="02000000000000000000" pitchFamily="2" charset="0"/>
              <a:cs typeface="Arial" panose="020B0604020202020204" pitchFamily="34" charset="0"/>
            </a:rPr>
            <a:t>Dados Financeiros e Operacionais </a:t>
          </a:r>
        </a:p>
      </xdr:txBody>
    </xdr:sp>
    <xdr:clientData/>
  </xdr:oneCellAnchor>
  <xdr:twoCellAnchor>
    <xdr:from>
      <xdr:col>0</xdr:col>
      <xdr:colOff>600452</xdr:colOff>
      <xdr:row>12</xdr:row>
      <xdr:rowOff>87614</xdr:rowOff>
    </xdr:from>
    <xdr:to>
      <xdr:col>4</xdr:col>
      <xdr:colOff>81657</xdr:colOff>
      <xdr:row>15</xdr:row>
      <xdr:rowOff>38172</xdr:rowOff>
    </xdr:to>
    <xdr:sp macro="" textlink="">
      <xdr:nvSpPr>
        <xdr:cNvPr id="6" name="Retângulo de cantos arredondados 6">
          <a:hlinkClick xmlns:r="http://schemas.openxmlformats.org/officeDocument/2006/relationships" r:id="rId2"/>
          <a:extLst>
            <a:ext uri="{FF2B5EF4-FFF2-40B4-BE49-F238E27FC236}">
              <a16:creationId xmlns:a16="http://schemas.microsoft.com/office/drawing/2014/main" id="{00000000-0008-0000-0100-000006000000}"/>
            </a:ext>
          </a:extLst>
        </xdr:cNvPr>
        <xdr:cNvSpPr/>
      </xdr:nvSpPr>
      <xdr:spPr>
        <a:xfrm>
          <a:off x="600452" y="2190170"/>
          <a:ext cx="2134094" cy="479724"/>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Balanço Patrimonial</a:t>
          </a:r>
        </a:p>
        <a:p>
          <a:pPr algn="ctr"/>
          <a:r>
            <a:rPr lang="pt-BR" sz="1000" b="1">
              <a:solidFill>
                <a:schemeClr val="accent6">
                  <a:lumMod val="50000"/>
                </a:schemeClr>
              </a:solidFill>
              <a:latin typeface="Mona Sans" pitchFamily="2" charset="0"/>
              <a:cs typeface="Arial" panose="020B0604020202020204" pitchFamily="34" charset="0"/>
            </a:rPr>
            <a:t>BalanceSheet</a:t>
          </a:r>
        </a:p>
      </xdr:txBody>
    </xdr:sp>
    <xdr:clientData/>
  </xdr:twoCellAnchor>
  <xdr:twoCellAnchor>
    <xdr:from>
      <xdr:col>7</xdr:col>
      <xdr:colOff>454585</xdr:colOff>
      <xdr:row>12</xdr:row>
      <xdr:rowOff>87613</xdr:rowOff>
    </xdr:from>
    <xdr:to>
      <xdr:col>10</xdr:col>
      <xdr:colOff>604657</xdr:colOff>
      <xdr:row>15</xdr:row>
      <xdr:rowOff>38173</xdr:rowOff>
    </xdr:to>
    <xdr:sp macro="" textlink="">
      <xdr:nvSpPr>
        <xdr:cNvPr id="7" name="Retângulo de cantos arredondados 7">
          <a:hlinkClick xmlns:r="http://schemas.openxmlformats.org/officeDocument/2006/relationships" r:id="rId3"/>
          <a:extLst>
            <a:ext uri="{FF2B5EF4-FFF2-40B4-BE49-F238E27FC236}">
              <a16:creationId xmlns:a16="http://schemas.microsoft.com/office/drawing/2014/main" id="{00000000-0008-0000-0100-000007000000}"/>
            </a:ext>
          </a:extLst>
        </xdr:cNvPr>
        <xdr:cNvSpPr/>
      </xdr:nvSpPr>
      <xdr:spPr>
        <a:xfrm>
          <a:off x="5097141" y="2190169"/>
          <a:ext cx="2139738" cy="479726"/>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DRE Ajustada </a:t>
          </a:r>
          <a:br>
            <a:rPr lang="pt-BR" sz="1000" b="1">
              <a:solidFill>
                <a:schemeClr val="accent6">
                  <a:lumMod val="50000"/>
                </a:schemeClr>
              </a:solidFill>
              <a:latin typeface="Mona Sans" pitchFamily="2" charset="0"/>
              <a:cs typeface="Arial" panose="020B0604020202020204" pitchFamily="34" charset="0"/>
            </a:rPr>
          </a:br>
          <a:r>
            <a:rPr lang="pt-BR" sz="1000" b="1">
              <a:solidFill>
                <a:schemeClr val="accent6">
                  <a:lumMod val="50000"/>
                </a:schemeClr>
              </a:solidFill>
              <a:latin typeface="Mona Sans" pitchFamily="2" charset="0"/>
              <a:cs typeface="Arial" panose="020B0604020202020204" pitchFamily="34" charset="0"/>
            </a:rPr>
            <a:t>Adjusted</a:t>
          </a:r>
          <a:r>
            <a:rPr lang="pt-BR" sz="1000" b="1" baseline="0">
              <a:solidFill>
                <a:schemeClr val="accent6">
                  <a:lumMod val="50000"/>
                </a:schemeClr>
              </a:solidFill>
              <a:latin typeface="Mona Sans" pitchFamily="2" charset="0"/>
              <a:cs typeface="Arial" panose="020B0604020202020204" pitchFamily="34" charset="0"/>
            </a:rPr>
            <a:t> Income Statement</a:t>
          </a:r>
          <a:endParaRPr lang="pt-BR" sz="1000" b="1">
            <a:solidFill>
              <a:schemeClr val="accent6">
                <a:lumMod val="50000"/>
              </a:schemeClr>
            </a:solidFill>
            <a:latin typeface="Mona Sans" pitchFamily="2" charset="0"/>
            <a:cs typeface="Arial" panose="020B0604020202020204" pitchFamily="34" charset="0"/>
          </a:endParaRPr>
        </a:p>
      </xdr:txBody>
    </xdr:sp>
    <xdr:clientData/>
  </xdr:twoCellAnchor>
  <xdr:twoCellAnchor>
    <xdr:from>
      <xdr:col>4</xdr:col>
      <xdr:colOff>193085</xdr:colOff>
      <xdr:row>12</xdr:row>
      <xdr:rowOff>87614</xdr:rowOff>
    </xdr:from>
    <xdr:to>
      <xdr:col>7</xdr:col>
      <xdr:colOff>343157</xdr:colOff>
      <xdr:row>15</xdr:row>
      <xdr:rowOff>38172</xdr:rowOff>
    </xdr:to>
    <xdr:sp macro="" textlink="">
      <xdr:nvSpPr>
        <xdr:cNvPr id="8" name="Retângulo de cantos arredondados 8">
          <a:hlinkClick xmlns:r="http://schemas.openxmlformats.org/officeDocument/2006/relationships" r:id="rId4"/>
          <a:extLst>
            <a:ext uri="{FF2B5EF4-FFF2-40B4-BE49-F238E27FC236}">
              <a16:creationId xmlns:a16="http://schemas.microsoft.com/office/drawing/2014/main" id="{00000000-0008-0000-0100-000008000000}"/>
            </a:ext>
          </a:extLst>
        </xdr:cNvPr>
        <xdr:cNvSpPr/>
      </xdr:nvSpPr>
      <xdr:spPr>
        <a:xfrm>
          <a:off x="2845974" y="2190170"/>
          <a:ext cx="2139739" cy="479724"/>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Demonstração de Resultados  </a:t>
          </a:r>
          <a:br>
            <a:rPr lang="pt-BR" sz="1000" b="1">
              <a:solidFill>
                <a:schemeClr val="accent6">
                  <a:lumMod val="50000"/>
                </a:schemeClr>
              </a:solidFill>
              <a:latin typeface="Mona Sans" pitchFamily="2" charset="0"/>
              <a:cs typeface="Arial" panose="020B0604020202020204" pitchFamily="34" charset="0"/>
            </a:rPr>
          </a:br>
          <a:r>
            <a:rPr lang="pt-BR" sz="1000" b="1">
              <a:solidFill>
                <a:schemeClr val="accent6">
                  <a:lumMod val="50000"/>
                </a:schemeClr>
              </a:solidFill>
              <a:latin typeface="Mona Sans" pitchFamily="2" charset="0"/>
              <a:cs typeface="Arial" panose="020B0604020202020204" pitchFamily="34" charset="0"/>
            </a:rPr>
            <a:t>IncomeStatement</a:t>
          </a:r>
        </a:p>
      </xdr:txBody>
    </xdr:sp>
    <xdr:clientData/>
  </xdr:twoCellAnchor>
  <xdr:twoCellAnchor>
    <xdr:from>
      <xdr:col>0</xdr:col>
      <xdr:colOff>600452</xdr:colOff>
      <xdr:row>19</xdr:row>
      <xdr:rowOff>64466</xdr:rowOff>
    </xdr:from>
    <xdr:to>
      <xdr:col>4</xdr:col>
      <xdr:colOff>81657</xdr:colOff>
      <xdr:row>22</xdr:row>
      <xdr:rowOff>13613</xdr:rowOff>
    </xdr:to>
    <xdr:sp macro="" textlink="">
      <xdr:nvSpPr>
        <xdr:cNvPr id="10" name="Retângulo de cantos arredondados 10">
          <a:hlinkClick xmlns:r="http://schemas.openxmlformats.org/officeDocument/2006/relationships" r:id="rId5"/>
          <a:extLst>
            <a:ext uri="{FF2B5EF4-FFF2-40B4-BE49-F238E27FC236}">
              <a16:creationId xmlns:a16="http://schemas.microsoft.com/office/drawing/2014/main" id="{00000000-0008-0000-0100-00000A000000}"/>
            </a:ext>
          </a:extLst>
        </xdr:cNvPr>
        <xdr:cNvSpPr/>
      </xdr:nvSpPr>
      <xdr:spPr>
        <a:xfrm>
          <a:off x="600452" y="3401744"/>
          <a:ext cx="2134094" cy="478313"/>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Despesas por Natureza Expenses Per Nature</a:t>
          </a:r>
        </a:p>
      </xdr:txBody>
    </xdr:sp>
    <xdr:clientData/>
  </xdr:twoCellAnchor>
  <xdr:twoCellAnchor>
    <xdr:from>
      <xdr:col>4</xdr:col>
      <xdr:colOff>193085</xdr:colOff>
      <xdr:row>19</xdr:row>
      <xdr:rowOff>64466</xdr:rowOff>
    </xdr:from>
    <xdr:to>
      <xdr:col>7</xdr:col>
      <xdr:colOff>343157</xdr:colOff>
      <xdr:row>22</xdr:row>
      <xdr:rowOff>13613</xdr:rowOff>
    </xdr:to>
    <xdr:sp macro="" textlink="">
      <xdr:nvSpPr>
        <xdr:cNvPr id="12" name="Retângulo de cantos arredondados 12">
          <a:hlinkClick xmlns:r="http://schemas.openxmlformats.org/officeDocument/2006/relationships" r:id="rId6"/>
          <a:extLst>
            <a:ext uri="{FF2B5EF4-FFF2-40B4-BE49-F238E27FC236}">
              <a16:creationId xmlns:a16="http://schemas.microsoft.com/office/drawing/2014/main" id="{00000000-0008-0000-0100-00000C000000}"/>
            </a:ext>
          </a:extLst>
        </xdr:cNvPr>
        <xdr:cNvSpPr/>
      </xdr:nvSpPr>
      <xdr:spPr>
        <a:xfrm>
          <a:off x="2845974" y="3401744"/>
          <a:ext cx="2139739" cy="478313"/>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CAPEX</a:t>
          </a:r>
        </a:p>
      </xdr:txBody>
    </xdr:sp>
    <xdr:clientData/>
  </xdr:twoCellAnchor>
  <xdr:twoCellAnchor>
    <xdr:from>
      <xdr:col>7</xdr:col>
      <xdr:colOff>454585</xdr:colOff>
      <xdr:row>19</xdr:row>
      <xdr:rowOff>64465</xdr:rowOff>
    </xdr:from>
    <xdr:to>
      <xdr:col>10</xdr:col>
      <xdr:colOff>604657</xdr:colOff>
      <xdr:row>22</xdr:row>
      <xdr:rowOff>13612</xdr:rowOff>
    </xdr:to>
    <xdr:sp macro="" textlink="">
      <xdr:nvSpPr>
        <xdr:cNvPr id="14" name="Retângulo de cantos arredondados 14">
          <a:hlinkClick xmlns:r="http://schemas.openxmlformats.org/officeDocument/2006/relationships" r:id="rId7"/>
          <a:extLst>
            <a:ext uri="{FF2B5EF4-FFF2-40B4-BE49-F238E27FC236}">
              <a16:creationId xmlns:a16="http://schemas.microsoft.com/office/drawing/2014/main" id="{00000000-0008-0000-0100-00000E000000}"/>
            </a:ext>
          </a:extLst>
        </xdr:cNvPr>
        <xdr:cNvSpPr/>
      </xdr:nvSpPr>
      <xdr:spPr>
        <a:xfrm>
          <a:off x="5097141" y="3401743"/>
          <a:ext cx="2139738" cy="478313"/>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 Lojas | Stores</a:t>
          </a:r>
        </a:p>
      </xdr:txBody>
    </xdr:sp>
    <xdr:clientData/>
  </xdr:twoCellAnchor>
  <xdr:twoCellAnchor>
    <xdr:from>
      <xdr:col>11</xdr:col>
      <xdr:colOff>52862</xdr:colOff>
      <xdr:row>19</xdr:row>
      <xdr:rowOff>64465</xdr:rowOff>
    </xdr:from>
    <xdr:to>
      <xdr:col>14</xdr:col>
      <xdr:colOff>202934</xdr:colOff>
      <xdr:row>22</xdr:row>
      <xdr:rowOff>13614</xdr:rowOff>
    </xdr:to>
    <xdr:sp macro="" textlink="">
      <xdr:nvSpPr>
        <xdr:cNvPr id="15" name="Retângulo de cantos arredondados 15">
          <a:hlinkClick xmlns:r="http://schemas.openxmlformats.org/officeDocument/2006/relationships" r:id="rId8"/>
          <a:extLst>
            <a:ext uri="{FF2B5EF4-FFF2-40B4-BE49-F238E27FC236}">
              <a16:creationId xmlns:a16="http://schemas.microsoft.com/office/drawing/2014/main" id="{00000000-0008-0000-0100-00000F000000}"/>
            </a:ext>
          </a:extLst>
        </xdr:cNvPr>
        <xdr:cNvSpPr/>
      </xdr:nvSpPr>
      <xdr:spPr>
        <a:xfrm>
          <a:off x="7348306" y="3401743"/>
          <a:ext cx="2139739" cy="478315"/>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Lista de Lojas | Stores List</a:t>
          </a:r>
        </a:p>
      </xdr:txBody>
    </xdr:sp>
    <xdr:clientData/>
  </xdr:twoCellAnchor>
  <xdr:twoCellAnchor editAs="oneCell">
    <xdr:from>
      <xdr:col>1</xdr:col>
      <xdr:colOff>63499</xdr:colOff>
      <xdr:row>1</xdr:row>
      <xdr:rowOff>137584</xdr:rowOff>
    </xdr:from>
    <xdr:to>
      <xdr:col>5</xdr:col>
      <xdr:colOff>311247</xdr:colOff>
      <xdr:row>5</xdr:row>
      <xdr:rowOff>146051</xdr:rowOff>
    </xdr:to>
    <xdr:pic>
      <xdr:nvPicPr>
        <xdr:cNvPr id="17" name="Imagem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51416" y="317501"/>
          <a:ext cx="2999414" cy="719666"/>
        </a:xfrm>
        <a:prstGeom prst="rect">
          <a:avLst/>
        </a:prstGeom>
      </xdr:spPr>
    </xdr:pic>
    <xdr:clientData/>
  </xdr:twoCellAnchor>
  <xdr:twoCellAnchor>
    <xdr:from>
      <xdr:col>11</xdr:col>
      <xdr:colOff>52862</xdr:colOff>
      <xdr:row>12</xdr:row>
      <xdr:rowOff>87614</xdr:rowOff>
    </xdr:from>
    <xdr:to>
      <xdr:col>14</xdr:col>
      <xdr:colOff>202934</xdr:colOff>
      <xdr:row>15</xdr:row>
      <xdr:rowOff>38172</xdr:rowOff>
    </xdr:to>
    <xdr:sp macro="" textlink="">
      <xdr:nvSpPr>
        <xdr:cNvPr id="20" name="Retângulo de cantos arredondados 8">
          <a:hlinkClick xmlns:r="http://schemas.openxmlformats.org/officeDocument/2006/relationships" r:id="rId10"/>
          <a:extLst>
            <a:ext uri="{FF2B5EF4-FFF2-40B4-BE49-F238E27FC236}">
              <a16:creationId xmlns:a16="http://schemas.microsoft.com/office/drawing/2014/main" id="{00000000-0008-0000-0100-000014000000}"/>
            </a:ext>
          </a:extLst>
        </xdr:cNvPr>
        <xdr:cNvSpPr/>
      </xdr:nvSpPr>
      <xdr:spPr>
        <a:xfrm>
          <a:off x="7348306" y="2190170"/>
          <a:ext cx="2139739" cy="479724"/>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Centauro</a:t>
          </a:r>
        </a:p>
      </xdr:txBody>
    </xdr:sp>
    <xdr:clientData/>
  </xdr:twoCellAnchor>
  <xdr:twoCellAnchor>
    <xdr:from>
      <xdr:col>0</xdr:col>
      <xdr:colOff>594807</xdr:colOff>
      <xdr:row>15</xdr:row>
      <xdr:rowOff>164235</xdr:rowOff>
    </xdr:from>
    <xdr:to>
      <xdr:col>4</xdr:col>
      <xdr:colOff>81657</xdr:colOff>
      <xdr:row>18</xdr:row>
      <xdr:rowOff>114792</xdr:rowOff>
    </xdr:to>
    <xdr:sp macro="" textlink="">
      <xdr:nvSpPr>
        <xdr:cNvPr id="16" name="Retângulo de cantos arredondados 8">
          <a:hlinkClick xmlns:r="http://schemas.openxmlformats.org/officeDocument/2006/relationships" r:id="rId11"/>
          <a:extLst>
            <a:ext uri="{FF2B5EF4-FFF2-40B4-BE49-F238E27FC236}">
              <a16:creationId xmlns:a16="http://schemas.microsoft.com/office/drawing/2014/main" id="{00000000-0008-0000-0100-000010000000}"/>
            </a:ext>
          </a:extLst>
        </xdr:cNvPr>
        <xdr:cNvSpPr/>
      </xdr:nvSpPr>
      <xdr:spPr>
        <a:xfrm>
          <a:off x="594807" y="2795957"/>
          <a:ext cx="2139739" cy="479724"/>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baseline="0">
              <a:solidFill>
                <a:schemeClr val="accent6">
                  <a:lumMod val="50000"/>
                </a:schemeClr>
              </a:solidFill>
              <a:latin typeface="Mona Sans" pitchFamily="2" charset="0"/>
              <a:cs typeface="Arial" panose="020B0604020202020204" pitchFamily="34" charset="0"/>
            </a:rPr>
            <a:t>Fisia</a:t>
          </a:r>
          <a:endParaRPr lang="pt-BR" sz="1000" b="1">
            <a:solidFill>
              <a:schemeClr val="accent6">
                <a:lumMod val="50000"/>
              </a:schemeClr>
            </a:solidFill>
            <a:latin typeface="Mona Sans" pitchFamily="2" charset="0"/>
            <a:cs typeface="Arial" panose="020B0604020202020204" pitchFamily="34" charset="0"/>
          </a:endParaRPr>
        </a:p>
      </xdr:txBody>
    </xdr:sp>
    <xdr:clientData/>
  </xdr:twoCellAnchor>
  <xdr:twoCellAnchor>
    <xdr:from>
      <xdr:col>7</xdr:col>
      <xdr:colOff>454583</xdr:colOff>
      <xdr:row>15</xdr:row>
      <xdr:rowOff>164235</xdr:rowOff>
    </xdr:from>
    <xdr:to>
      <xdr:col>10</xdr:col>
      <xdr:colOff>604656</xdr:colOff>
      <xdr:row>18</xdr:row>
      <xdr:rowOff>114792</xdr:rowOff>
    </xdr:to>
    <xdr:sp macro="" textlink="">
      <xdr:nvSpPr>
        <xdr:cNvPr id="21" name="Retângulo de cantos arredondados 8">
          <a:hlinkClick xmlns:r="http://schemas.openxmlformats.org/officeDocument/2006/relationships" r:id="rId12"/>
          <a:extLst>
            <a:ext uri="{FF2B5EF4-FFF2-40B4-BE49-F238E27FC236}">
              <a16:creationId xmlns:a16="http://schemas.microsoft.com/office/drawing/2014/main" id="{00000000-0008-0000-0100-000010000000}"/>
            </a:ext>
          </a:extLst>
        </xdr:cNvPr>
        <xdr:cNvSpPr/>
      </xdr:nvSpPr>
      <xdr:spPr>
        <a:xfrm>
          <a:off x="5097139" y="2795957"/>
          <a:ext cx="2139739" cy="479724"/>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baseline="0">
              <a:solidFill>
                <a:schemeClr val="accent6">
                  <a:lumMod val="50000"/>
                </a:schemeClr>
              </a:solidFill>
              <a:latin typeface="Mona Sans" pitchFamily="2" charset="0"/>
              <a:cs typeface="Arial" panose="020B0604020202020204" pitchFamily="34" charset="0"/>
            </a:rPr>
            <a:t>Fluxo de Caixa Gerencial</a:t>
          </a:r>
          <a:br>
            <a:rPr lang="pt-BR" sz="1000" b="1" baseline="0">
              <a:solidFill>
                <a:schemeClr val="accent6">
                  <a:lumMod val="50000"/>
                </a:schemeClr>
              </a:solidFill>
              <a:latin typeface="Mona Sans" pitchFamily="2" charset="0"/>
              <a:cs typeface="Arial" panose="020B0604020202020204" pitchFamily="34" charset="0"/>
            </a:rPr>
          </a:br>
          <a:r>
            <a:rPr lang="pt-BR" sz="1000" b="1" baseline="0">
              <a:solidFill>
                <a:schemeClr val="accent6">
                  <a:lumMod val="50000"/>
                </a:schemeClr>
              </a:solidFill>
              <a:latin typeface="Mona Sans" pitchFamily="2" charset="0"/>
              <a:cs typeface="Arial" panose="020B0604020202020204" pitchFamily="34" charset="0"/>
            </a:rPr>
            <a:t>CashFlow Management</a:t>
          </a:r>
          <a:endParaRPr lang="pt-BR" sz="1000" b="1">
            <a:solidFill>
              <a:schemeClr val="accent6">
                <a:lumMod val="50000"/>
              </a:schemeClr>
            </a:solidFill>
            <a:latin typeface="Mona Sans" pitchFamily="2" charset="0"/>
            <a:cs typeface="Arial" panose="020B0604020202020204" pitchFamily="34" charset="0"/>
          </a:endParaRPr>
        </a:p>
      </xdr:txBody>
    </xdr:sp>
    <xdr:clientData/>
  </xdr:twoCellAnchor>
  <xdr:twoCellAnchor>
    <xdr:from>
      <xdr:col>4</xdr:col>
      <xdr:colOff>193084</xdr:colOff>
      <xdr:row>15</xdr:row>
      <xdr:rowOff>164235</xdr:rowOff>
    </xdr:from>
    <xdr:to>
      <xdr:col>7</xdr:col>
      <xdr:colOff>343156</xdr:colOff>
      <xdr:row>18</xdr:row>
      <xdr:rowOff>114792</xdr:rowOff>
    </xdr:to>
    <xdr:sp macro="" textlink="">
      <xdr:nvSpPr>
        <xdr:cNvPr id="22" name="Retângulo de cantos arredondados 8">
          <a:hlinkClick xmlns:r="http://schemas.openxmlformats.org/officeDocument/2006/relationships" r:id="rId13"/>
          <a:extLst>
            <a:ext uri="{FF2B5EF4-FFF2-40B4-BE49-F238E27FC236}">
              <a16:creationId xmlns:a16="http://schemas.microsoft.com/office/drawing/2014/main" id="{00000000-0008-0000-0100-000010000000}"/>
            </a:ext>
          </a:extLst>
        </xdr:cNvPr>
        <xdr:cNvSpPr/>
      </xdr:nvSpPr>
      <xdr:spPr>
        <a:xfrm>
          <a:off x="2845973" y="2795957"/>
          <a:ext cx="2139739" cy="479724"/>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baseline="0">
              <a:solidFill>
                <a:schemeClr val="accent6">
                  <a:lumMod val="50000"/>
                </a:schemeClr>
              </a:solidFill>
              <a:latin typeface="Mona Sans" pitchFamily="2" charset="0"/>
              <a:cs typeface="Arial" panose="020B0604020202020204" pitchFamily="34" charset="0"/>
            </a:rPr>
            <a:t>Fluxo de Caixa</a:t>
          </a:r>
          <a:br>
            <a:rPr lang="pt-BR" sz="1000" b="1" baseline="0">
              <a:solidFill>
                <a:schemeClr val="accent6">
                  <a:lumMod val="50000"/>
                </a:schemeClr>
              </a:solidFill>
              <a:latin typeface="Mona Sans" pitchFamily="2" charset="0"/>
              <a:cs typeface="Arial" panose="020B0604020202020204" pitchFamily="34" charset="0"/>
            </a:rPr>
          </a:br>
          <a:r>
            <a:rPr lang="pt-BR" sz="1000" b="1" baseline="0">
              <a:solidFill>
                <a:schemeClr val="accent6">
                  <a:lumMod val="50000"/>
                </a:schemeClr>
              </a:solidFill>
              <a:latin typeface="Mona Sans" pitchFamily="2" charset="0"/>
              <a:cs typeface="Arial" panose="020B0604020202020204" pitchFamily="34" charset="0"/>
            </a:rPr>
            <a:t>CashFlow</a:t>
          </a:r>
          <a:endParaRPr lang="pt-BR" sz="1000" b="1">
            <a:solidFill>
              <a:schemeClr val="accent6">
                <a:lumMod val="50000"/>
              </a:schemeClr>
            </a:solidFill>
            <a:latin typeface="Mona Sans" pitchFamily="2" charset="0"/>
            <a:cs typeface="Arial" panose="020B0604020202020204" pitchFamily="34" charset="0"/>
          </a:endParaRPr>
        </a:p>
      </xdr:txBody>
    </xdr:sp>
    <xdr:clientData/>
  </xdr:twoCellAnchor>
  <xdr:twoCellAnchor>
    <xdr:from>
      <xdr:col>11</xdr:col>
      <xdr:colOff>52862</xdr:colOff>
      <xdr:row>15</xdr:row>
      <xdr:rowOff>164235</xdr:rowOff>
    </xdr:from>
    <xdr:to>
      <xdr:col>14</xdr:col>
      <xdr:colOff>202934</xdr:colOff>
      <xdr:row>18</xdr:row>
      <xdr:rowOff>114792</xdr:rowOff>
    </xdr:to>
    <xdr:sp macro="" textlink="">
      <xdr:nvSpPr>
        <xdr:cNvPr id="24" name="Retângulo de cantos arredondados 8">
          <a:hlinkClick xmlns:r="http://schemas.openxmlformats.org/officeDocument/2006/relationships" r:id="rId14"/>
          <a:extLst>
            <a:ext uri="{FF2B5EF4-FFF2-40B4-BE49-F238E27FC236}">
              <a16:creationId xmlns:a16="http://schemas.microsoft.com/office/drawing/2014/main" id="{00000000-0008-0000-0100-000010000000}"/>
            </a:ext>
          </a:extLst>
        </xdr:cNvPr>
        <xdr:cNvSpPr/>
      </xdr:nvSpPr>
      <xdr:spPr>
        <a:xfrm>
          <a:off x="7348306" y="2795957"/>
          <a:ext cx="2139739" cy="479724"/>
        </a:xfrm>
        <a:prstGeom prst="roundRect">
          <a:avLst/>
        </a:prstGeom>
        <a:solidFill>
          <a:srgbClr val="B5FF2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pt-BR" sz="1000" b="1">
              <a:solidFill>
                <a:schemeClr val="accent6">
                  <a:lumMod val="50000"/>
                </a:schemeClr>
              </a:solidFill>
              <a:latin typeface="Mona Sans" pitchFamily="2" charset="0"/>
              <a:cs typeface="Arial" panose="020B0604020202020204" pitchFamily="34" charset="0"/>
            </a:rPr>
            <a:t>Capital</a:t>
          </a:r>
          <a:r>
            <a:rPr lang="pt-BR" sz="1000" b="1" baseline="0">
              <a:solidFill>
                <a:schemeClr val="accent6">
                  <a:lumMod val="50000"/>
                </a:schemeClr>
              </a:solidFill>
              <a:latin typeface="Mona Sans" pitchFamily="2" charset="0"/>
              <a:cs typeface="Arial" panose="020B0604020202020204" pitchFamily="34" charset="0"/>
            </a:rPr>
            <a:t> de Giro</a:t>
          </a:r>
          <a:br>
            <a:rPr lang="pt-BR" sz="1000" b="1" baseline="0">
              <a:solidFill>
                <a:schemeClr val="accent6">
                  <a:lumMod val="50000"/>
                </a:schemeClr>
              </a:solidFill>
              <a:latin typeface="Mona Sans" pitchFamily="2" charset="0"/>
              <a:cs typeface="Arial" panose="020B0604020202020204" pitchFamily="34" charset="0"/>
            </a:rPr>
          </a:br>
          <a:r>
            <a:rPr lang="pt-BR" sz="1000" b="1" baseline="0">
              <a:solidFill>
                <a:schemeClr val="accent6">
                  <a:lumMod val="50000"/>
                </a:schemeClr>
              </a:solidFill>
              <a:latin typeface="Mona Sans" pitchFamily="2" charset="0"/>
              <a:cs typeface="Arial" panose="020B0604020202020204" pitchFamily="34" charset="0"/>
            </a:rPr>
            <a:t>Working Capital</a:t>
          </a:r>
          <a:endParaRPr lang="pt-BR" sz="1000" b="1">
            <a:solidFill>
              <a:schemeClr val="accent6">
                <a:lumMod val="50000"/>
              </a:schemeClr>
            </a:solidFill>
            <a:latin typeface="Mona Sans" pitchFamily="2"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21" name="Shape 21">
          <a:hlinkClick xmlns:r="http://schemas.openxmlformats.org/officeDocument/2006/relationships" r:id="rId1"/>
          <a:extLst>
            <a:ext uri="{FF2B5EF4-FFF2-40B4-BE49-F238E27FC236}">
              <a16:creationId xmlns:a16="http://schemas.microsoft.com/office/drawing/2014/main" id="{00000000-0008-0000-0200-000015000000}"/>
            </a:ext>
          </a:extLst>
        </xdr:cNvPr>
        <xdr:cNvSpPr/>
      </xdr:nvSpPr>
      <xdr:spPr>
        <a:xfrm>
          <a:off x="4679250" y="3651413"/>
          <a:ext cx="1333500" cy="257175"/>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1482090</xdr:colOff>
      <xdr:row>0</xdr:row>
      <xdr:rowOff>86361</xdr:rowOff>
    </xdr:from>
    <xdr:to>
      <xdr:col>2</xdr:col>
      <xdr:colOff>618490</xdr:colOff>
      <xdr:row>0</xdr:row>
      <xdr:rowOff>372111</xdr:rowOff>
    </xdr:to>
    <xdr:pic>
      <xdr:nvPicPr>
        <xdr:cNvPr id="3" name="Imagem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48790" y="86361"/>
          <a:ext cx="1193800" cy="285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273050</xdr:colOff>
      <xdr:row>0</xdr:row>
      <xdr:rowOff>107950</xdr:rowOff>
    </xdr:from>
    <xdr:ext cx="1343025" cy="266700"/>
    <xdr:sp macro="" textlink="">
      <xdr:nvSpPr>
        <xdr:cNvPr id="2" name="Shape 2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273050" y="488950"/>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2</xdr:col>
      <xdr:colOff>1473200</xdr:colOff>
      <xdr:row>0</xdr:row>
      <xdr:rowOff>82550</xdr:rowOff>
    </xdr:from>
    <xdr:to>
      <xdr:col>2</xdr:col>
      <xdr:colOff>2659380</xdr:colOff>
      <xdr:row>0</xdr:row>
      <xdr:rowOff>368300</xdr:rowOff>
    </xdr:to>
    <xdr:pic>
      <xdr:nvPicPr>
        <xdr:cNvPr id="3" name="Imagem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32000" y="463550"/>
          <a:ext cx="1186180" cy="285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1611312</xdr:colOff>
      <xdr:row>0</xdr:row>
      <xdr:rowOff>103187</xdr:rowOff>
    </xdr:from>
    <xdr:to>
      <xdr:col>2</xdr:col>
      <xdr:colOff>2797492</xdr:colOff>
      <xdr:row>0</xdr:row>
      <xdr:rowOff>388937</xdr:rowOff>
    </xdr:to>
    <xdr:pic>
      <xdr:nvPicPr>
        <xdr:cNvPr id="2" name="Imagem 1">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6937" y="103187"/>
          <a:ext cx="1186180" cy="285750"/>
        </a:xfrm>
        <a:prstGeom prst="rect">
          <a:avLst/>
        </a:prstGeom>
      </xdr:spPr>
    </xdr:pic>
    <xdr:clientData/>
  </xdr:twoCellAnchor>
  <xdr:oneCellAnchor>
    <xdr:from>
      <xdr:col>1</xdr:col>
      <xdr:colOff>230187</xdr:colOff>
      <xdr:row>0</xdr:row>
      <xdr:rowOff>111125</xdr:rowOff>
    </xdr:from>
    <xdr:ext cx="1343025" cy="266700"/>
    <xdr:sp macro="" textlink="">
      <xdr:nvSpPr>
        <xdr:cNvPr id="3" name="Shape 21">
          <a:hlinkClick xmlns:r="http://schemas.openxmlformats.org/officeDocument/2006/relationships" r:id="rId2"/>
          <a:extLst>
            <a:ext uri="{FF2B5EF4-FFF2-40B4-BE49-F238E27FC236}">
              <a16:creationId xmlns:a16="http://schemas.microsoft.com/office/drawing/2014/main" id="{00000000-0008-0000-0B00-000003000000}"/>
            </a:ext>
          </a:extLst>
        </xdr:cNvPr>
        <xdr:cNvSpPr/>
      </xdr:nvSpPr>
      <xdr:spPr>
        <a:xfrm>
          <a:off x="508000" y="1111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2</xdr:col>
      <xdr:colOff>1484312</xdr:colOff>
      <xdr:row>0</xdr:row>
      <xdr:rowOff>87312</xdr:rowOff>
    </xdr:from>
    <xdr:to>
      <xdr:col>2</xdr:col>
      <xdr:colOff>2670492</xdr:colOff>
      <xdr:row>0</xdr:row>
      <xdr:rowOff>373062</xdr:rowOff>
    </xdr:to>
    <xdr:pic>
      <xdr:nvPicPr>
        <xdr:cNvPr id="2" name="Imagem 1">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39937" y="87312"/>
          <a:ext cx="1186180" cy="285750"/>
        </a:xfrm>
        <a:prstGeom prst="rect">
          <a:avLst/>
        </a:prstGeom>
      </xdr:spPr>
    </xdr:pic>
    <xdr:clientData/>
  </xdr:twoCellAnchor>
  <xdr:oneCellAnchor>
    <xdr:from>
      <xdr:col>1</xdr:col>
      <xdr:colOff>190500</xdr:colOff>
      <xdr:row>0</xdr:row>
      <xdr:rowOff>103188</xdr:rowOff>
    </xdr:from>
    <xdr:ext cx="1343025" cy="266700"/>
    <xdr:sp macro="" textlink="">
      <xdr:nvSpPr>
        <xdr:cNvPr id="4" name="Shape 21">
          <a:hlinkClick xmlns:r="http://schemas.openxmlformats.org/officeDocument/2006/relationships" r:id="rId2"/>
          <a:extLst>
            <a:ext uri="{FF2B5EF4-FFF2-40B4-BE49-F238E27FC236}">
              <a16:creationId xmlns:a16="http://schemas.microsoft.com/office/drawing/2014/main" id="{00000000-0008-0000-0B00-000003000000}"/>
            </a:ext>
          </a:extLst>
        </xdr:cNvPr>
        <xdr:cNvSpPr/>
      </xdr:nvSpPr>
      <xdr:spPr>
        <a:xfrm>
          <a:off x="468313" y="103188"/>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2" name="Shape 2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87655" y="857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1478280</xdr:colOff>
      <xdr:row>0</xdr:row>
      <xdr:rowOff>76200</xdr:rowOff>
    </xdr:from>
    <xdr:to>
      <xdr:col>1</xdr:col>
      <xdr:colOff>2664460</xdr:colOff>
      <xdr:row>0</xdr:row>
      <xdr:rowOff>361950</xdr:rowOff>
    </xdr:to>
    <xdr:pic>
      <xdr:nvPicPr>
        <xdr:cNvPr id="3" name="Imagem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7360" y="76200"/>
          <a:ext cx="1186180" cy="285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2" name="Shape 2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287655" y="857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1478280</xdr:colOff>
      <xdr:row>0</xdr:row>
      <xdr:rowOff>76200</xdr:rowOff>
    </xdr:from>
    <xdr:to>
      <xdr:col>1</xdr:col>
      <xdr:colOff>2664460</xdr:colOff>
      <xdr:row>0</xdr:row>
      <xdr:rowOff>361950</xdr:rowOff>
    </xdr:to>
    <xdr:pic>
      <xdr:nvPicPr>
        <xdr:cNvPr id="3" name="Imagem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7360" y="76200"/>
          <a:ext cx="1186180" cy="285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190500</xdr:colOff>
      <xdr:row>0</xdr:row>
      <xdr:rowOff>91440</xdr:rowOff>
    </xdr:from>
    <xdr:ext cx="1343025" cy="266700"/>
    <xdr:sp macro="" textlink="">
      <xdr:nvSpPr>
        <xdr:cNvPr id="2" name="Shape 2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90500" y="91440"/>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1318261</xdr:colOff>
      <xdr:row>0</xdr:row>
      <xdr:rowOff>76200</xdr:rowOff>
    </xdr:from>
    <xdr:to>
      <xdr:col>2</xdr:col>
      <xdr:colOff>716281</xdr:colOff>
      <xdr:row>1</xdr:row>
      <xdr:rowOff>175260</xdr:rowOff>
    </xdr:to>
    <xdr:pic>
      <xdr:nvPicPr>
        <xdr:cNvPr id="3" name="Imagem 2">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15441" y="76200"/>
          <a:ext cx="1485900" cy="2895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1417320</xdr:colOff>
      <xdr:row>0</xdr:row>
      <xdr:rowOff>0</xdr:rowOff>
    </xdr:from>
    <xdr:to>
      <xdr:col>2</xdr:col>
      <xdr:colOff>160020</xdr:colOff>
      <xdr:row>2</xdr:row>
      <xdr:rowOff>91440</xdr:rowOff>
    </xdr:to>
    <xdr:pic>
      <xdr:nvPicPr>
        <xdr:cNvPr id="2" name="Imagem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0" y="0"/>
          <a:ext cx="967740" cy="396240"/>
        </a:xfrm>
        <a:prstGeom prst="rect">
          <a:avLst/>
        </a:prstGeom>
      </xdr:spPr>
    </xdr:pic>
    <xdr:clientData/>
  </xdr:twoCellAnchor>
  <xdr:oneCellAnchor>
    <xdr:from>
      <xdr:col>1</xdr:col>
      <xdr:colOff>22860</xdr:colOff>
      <xdr:row>0</xdr:row>
      <xdr:rowOff>91440</xdr:rowOff>
    </xdr:from>
    <xdr:ext cx="1343025" cy="266700"/>
    <xdr:sp macro="" textlink="">
      <xdr:nvSpPr>
        <xdr:cNvPr id="3" name="Shape 21">
          <a:hlinkClick xmlns:r="http://schemas.openxmlformats.org/officeDocument/2006/relationships" r:id="rId2"/>
          <a:extLst>
            <a:ext uri="{FF2B5EF4-FFF2-40B4-BE49-F238E27FC236}">
              <a16:creationId xmlns:a16="http://schemas.microsoft.com/office/drawing/2014/main" id="{00000000-0008-0000-0700-000003000000}"/>
            </a:ext>
          </a:extLst>
        </xdr:cNvPr>
        <xdr:cNvSpPr/>
      </xdr:nvSpPr>
      <xdr:spPr>
        <a:xfrm>
          <a:off x="281940" y="91440"/>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Arial"/>
              <a:ea typeface="Arial"/>
              <a:cs typeface="Arial"/>
              <a:sym typeface="Arial"/>
            </a:rPr>
            <a:t>Capa | Cover</a:t>
          </a:r>
          <a:endParaRPr sz="1050" b="1">
            <a:solidFill>
              <a:srgbClr val="003D18"/>
            </a:solidFill>
            <a:latin typeface="Arial"/>
            <a:ea typeface="Arial"/>
            <a:cs typeface="Arial"/>
            <a:sym typeface="Arial"/>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3" name="Shape 21">
          <a:hlinkClick xmlns:r="http://schemas.openxmlformats.org/officeDocument/2006/relationships" r:id="rId1"/>
          <a:extLst>
            <a:ext uri="{FF2B5EF4-FFF2-40B4-BE49-F238E27FC236}">
              <a16:creationId xmlns:a16="http://schemas.microsoft.com/office/drawing/2014/main" id="{00000000-0008-0000-0800-000003000000}"/>
            </a:ext>
          </a:extLst>
        </xdr:cNvPr>
        <xdr:cNvSpPr/>
      </xdr:nvSpPr>
      <xdr:spPr>
        <a:xfrm>
          <a:off x="295275" y="857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1478280</xdr:colOff>
      <xdr:row>0</xdr:row>
      <xdr:rowOff>76200</xdr:rowOff>
    </xdr:from>
    <xdr:to>
      <xdr:col>2</xdr:col>
      <xdr:colOff>690880</xdr:colOff>
      <xdr:row>1</xdr:row>
      <xdr:rowOff>169545</xdr:rowOff>
    </xdr:to>
    <xdr:pic>
      <xdr:nvPicPr>
        <xdr:cNvPr id="4" name="Imagem 3">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7360" y="76200"/>
          <a:ext cx="1193800" cy="285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1478280</xdr:colOff>
      <xdr:row>0</xdr:row>
      <xdr:rowOff>76200</xdr:rowOff>
    </xdr:from>
    <xdr:to>
      <xdr:col>2</xdr:col>
      <xdr:colOff>1163320</xdr:colOff>
      <xdr:row>1</xdr:row>
      <xdr:rowOff>171450</xdr:rowOff>
    </xdr:to>
    <xdr:pic>
      <xdr:nvPicPr>
        <xdr:cNvPr id="4" name="Imagem 3">
          <a:extLst>
            <a:ext uri="{FF2B5EF4-FFF2-40B4-BE49-F238E27FC236}">
              <a16:creationId xmlns:a16="http://schemas.microsoft.com/office/drawing/2014/main" id="{00000000-0008-0000-09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7360" y="76200"/>
          <a:ext cx="1193800" cy="285750"/>
        </a:xfrm>
        <a:prstGeom prst="rect">
          <a:avLst/>
        </a:prstGeom>
      </xdr:spPr>
    </xdr:pic>
    <xdr:clientData/>
  </xdr:twoCellAnchor>
  <xdr:oneCellAnchor>
    <xdr:from>
      <xdr:col>1</xdr:col>
      <xdr:colOff>0</xdr:colOff>
      <xdr:row>0</xdr:row>
      <xdr:rowOff>106680</xdr:rowOff>
    </xdr:from>
    <xdr:ext cx="1343025" cy="266700"/>
    <xdr:sp macro="" textlink="">
      <xdr:nvSpPr>
        <xdr:cNvPr id="2" name="Shape 21">
          <a:hlinkClick xmlns:r="http://schemas.openxmlformats.org/officeDocument/2006/relationships" r:id="rId2"/>
          <a:extLst>
            <a:ext uri="{FF2B5EF4-FFF2-40B4-BE49-F238E27FC236}">
              <a16:creationId xmlns:a16="http://schemas.microsoft.com/office/drawing/2014/main" id="{00000000-0008-0000-0900-000002000000}"/>
            </a:ext>
          </a:extLst>
        </xdr:cNvPr>
        <xdr:cNvSpPr/>
      </xdr:nvSpPr>
      <xdr:spPr>
        <a:xfrm>
          <a:off x="251460" y="106680"/>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3" name="Shape 21">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295275" y="857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1403961</xdr:colOff>
      <xdr:row>0</xdr:row>
      <xdr:rowOff>112205</xdr:rowOff>
    </xdr:from>
    <xdr:to>
      <xdr:col>2</xdr:col>
      <xdr:colOff>729639</xdr:colOff>
      <xdr:row>0</xdr:row>
      <xdr:rowOff>329755</xdr:rowOff>
    </xdr:to>
    <xdr:pic>
      <xdr:nvPicPr>
        <xdr:cNvPr id="4" name="Imagem 3">
          <a:extLst>
            <a:ext uri="{FF2B5EF4-FFF2-40B4-BE49-F238E27FC236}">
              <a16:creationId xmlns:a16="http://schemas.microsoft.com/office/drawing/2014/main" id="{00000000-0008-0000-0A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63041" y="112205"/>
          <a:ext cx="1116378" cy="217550"/>
        </a:xfrm>
        <a:prstGeom prst="rect">
          <a:avLst/>
        </a:prstGeom>
      </xdr:spPr>
    </xdr:pic>
    <xdr:clientData/>
  </xdr:twoCellAnchor>
  <xdr:twoCellAnchor editAs="oneCell">
    <xdr:from>
      <xdr:col>2</xdr:col>
      <xdr:colOff>853589</xdr:colOff>
      <xdr:row>0</xdr:row>
      <xdr:rowOff>23536</xdr:rowOff>
    </xdr:from>
    <xdr:to>
      <xdr:col>2</xdr:col>
      <xdr:colOff>1733353</xdr:colOff>
      <xdr:row>0</xdr:row>
      <xdr:rowOff>383754</xdr:rowOff>
    </xdr:to>
    <xdr:pic>
      <xdr:nvPicPr>
        <xdr:cNvPr id="5" name="Imagem 4">
          <a:extLst>
            <a:ext uri="{FF2B5EF4-FFF2-40B4-BE49-F238E27FC236}">
              <a16:creationId xmlns:a16="http://schemas.microsoft.com/office/drawing/2014/main" id="{00000000-0008-0000-0A00-000005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03369" y="23536"/>
          <a:ext cx="879764" cy="36021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120015</xdr:colOff>
      <xdr:row>0</xdr:row>
      <xdr:rowOff>108585</xdr:rowOff>
    </xdr:from>
    <xdr:ext cx="1343025" cy="266700"/>
    <xdr:sp macro="" textlink="">
      <xdr:nvSpPr>
        <xdr:cNvPr id="3" name="Shape 21">
          <a:hlinkClick xmlns:r="http://schemas.openxmlformats.org/officeDocument/2006/relationships" r:id="rId1"/>
          <a:extLst>
            <a:ext uri="{FF2B5EF4-FFF2-40B4-BE49-F238E27FC236}">
              <a16:creationId xmlns:a16="http://schemas.microsoft.com/office/drawing/2014/main" id="{00000000-0008-0000-0B00-000003000000}"/>
            </a:ext>
          </a:extLst>
        </xdr:cNvPr>
        <xdr:cNvSpPr/>
      </xdr:nvSpPr>
      <xdr:spPr>
        <a:xfrm>
          <a:off x="120015" y="10858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2</xdr:col>
      <xdr:colOff>175260</xdr:colOff>
      <xdr:row>0</xdr:row>
      <xdr:rowOff>126769</xdr:rowOff>
    </xdr:from>
    <xdr:to>
      <xdr:col>2</xdr:col>
      <xdr:colOff>1291638</xdr:colOff>
      <xdr:row>0</xdr:row>
      <xdr:rowOff>344319</xdr:rowOff>
    </xdr:to>
    <xdr:pic>
      <xdr:nvPicPr>
        <xdr:cNvPr id="4" name="Imagem 3">
          <a:extLst>
            <a:ext uri="{FF2B5EF4-FFF2-40B4-BE49-F238E27FC236}">
              <a16:creationId xmlns:a16="http://schemas.microsoft.com/office/drawing/2014/main" id="{00000000-0008-0000-0B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39240" y="126769"/>
          <a:ext cx="1116378" cy="217550"/>
        </a:xfrm>
        <a:prstGeom prst="rect">
          <a:avLst/>
        </a:prstGeom>
      </xdr:spPr>
    </xdr:pic>
    <xdr:clientData/>
  </xdr:twoCellAnchor>
  <xdr:twoCellAnchor editAs="oneCell">
    <xdr:from>
      <xdr:col>2</xdr:col>
      <xdr:colOff>1415588</xdr:colOff>
      <xdr:row>0</xdr:row>
      <xdr:rowOff>38100</xdr:rowOff>
    </xdr:from>
    <xdr:to>
      <xdr:col>2</xdr:col>
      <xdr:colOff>2295352</xdr:colOff>
      <xdr:row>0</xdr:row>
      <xdr:rowOff>398318</xdr:rowOff>
    </xdr:to>
    <xdr:pic>
      <xdr:nvPicPr>
        <xdr:cNvPr id="5" name="Imagem 4">
          <a:extLst>
            <a:ext uri="{FF2B5EF4-FFF2-40B4-BE49-F238E27FC236}">
              <a16:creationId xmlns:a16="http://schemas.microsoft.com/office/drawing/2014/main" id="{00000000-0008-0000-0B00-000005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79568" y="38100"/>
          <a:ext cx="879764" cy="36021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3" name="Shape 21">
          <a:hlinkClick xmlns:r="http://schemas.openxmlformats.org/officeDocument/2006/relationships" r:id="rId1"/>
          <a:extLst>
            <a:ext uri="{FF2B5EF4-FFF2-40B4-BE49-F238E27FC236}">
              <a16:creationId xmlns:a16="http://schemas.microsoft.com/office/drawing/2014/main" id="{00000000-0008-0000-0C00-000003000000}"/>
            </a:ext>
          </a:extLst>
        </xdr:cNvPr>
        <xdr:cNvSpPr/>
      </xdr:nvSpPr>
      <xdr:spPr>
        <a:xfrm>
          <a:off x="295275" y="85725"/>
          <a:ext cx="1343025" cy="266700"/>
        </a:xfrm>
        <a:prstGeom prst="roundRect">
          <a:avLst>
            <a:gd name="adj" fmla="val 16667"/>
          </a:avLst>
        </a:prstGeom>
        <a:solidFill>
          <a:schemeClr val="tx1">
            <a:lumMod val="50000"/>
            <a:lumOff val="50000"/>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Arial"/>
              <a:ea typeface="Arial"/>
              <a:cs typeface="Arial"/>
              <a:sym typeface="Arial"/>
            </a:rPr>
            <a:t>Capa | Cover</a:t>
          </a:r>
          <a:endParaRPr sz="1050" b="1">
            <a:latin typeface="Arial"/>
            <a:ea typeface="Arial"/>
            <a:cs typeface="Arial"/>
            <a:sym typeface="Arial"/>
          </a:endParaRPr>
        </a:p>
      </xdr:txBody>
    </xdr:sp>
    <xdr:clientData fLocksWithSheet="0"/>
  </xdr:oneCellAnchor>
  <xdr:twoCellAnchor editAs="oneCell">
    <xdr:from>
      <xdr:col>1</xdr:col>
      <xdr:colOff>1478280</xdr:colOff>
      <xdr:row>0</xdr:row>
      <xdr:rowOff>76200</xdr:rowOff>
    </xdr:from>
    <xdr:to>
      <xdr:col>2</xdr:col>
      <xdr:colOff>325120</xdr:colOff>
      <xdr:row>0</xdr:row>
      <xdr:rowOff>361950</xdr:rowOff>
    </xdr:to>
    <xdr:pic>
      <xdr:nvPicPr>
        <xdr:cNvPr id="4" name="Imagem 3">
          <a:extLst>
            <a:ext uri="{FF2B5EF4-FFF2-40B4-BE49-F238E27FC236}">
              <a16:creationId xmlns:a16="http://schemas.microsoft.com/office/drawing/2014/main" id="{00000000-0008-0000-0C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7360" y="76200"/>
          <a:ext cx="1193800" cy="285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5" name="Shape 21">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295275" y="857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1465580</xdr:colOff>
      <xdr:row>0</xdr:row>
      <xdr:rowOff>102870</xdr:rowOff>
    </xdr:from>
    <xdr:to>
      <xdr:col>2</xdr:col>
      <xdr:colOff>601980</xdr:colOff>
      <xdr:row>0</xdr:row>
      <xdr:rowOff>388620</xdr:rowOff>
    </xdr:to>
    <xdr:pic>
      <xdr:nvPicPr>
        <xdr:cNvPr id="4" name="Imagem 3">
          <a:extLst>
            <a:ext uri="{FF2B5EF4-FFF2-40B4-BE49-F238E27FC236}">
              <a16:creationId xmlns:a16="http://schemas.microsoft.com/office/drawing/2014/main" id="{00000000-0008-0000-0D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2280" y="102870"/>
          <a:ext cx="1193800" cy="2857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2" name="Shape 2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282575" y="857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1478280</xdr:colOff>
      <xdr:row>0</xdr:row>
      <xdr:rowOff>76200</xdr:rowOff>
    </xdr:from>
    <xdr:to>
      <xdr:col>2</xdr:col>
      <xdr:colOff>690880</xdr:colOff>
      <xdr:row>1</xdr:row>
      <xdr:rowOff>169545</xdr:rowOff>
    </xdr:to>
    <xdr:pic>
      <xdr:nvPicPr>
        <xdr:cNvPr id="3" name="Imagem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2280" y="76200"/>
          <a:ext cx="1193800" cy="28384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1</xdr:col>
      <xdr:colOff>28575</xdr:colOff>
      <xdr:row>0</xdr:row>
      <xdr:rowOff>85725</xdr:rowOff>
    </xdr:from>
    <xdr:ext cx="1343025" cy="266700"/>
    <xdr:sp macro="" textlink="">
      <xdr:nvSpPr>
        <xdr:cNvPr id="3" name="Shape 21">
          <a:hlinkClick xmlns:r="http://schemas.openxmlformats.org/officeDocument/2006/relationships" r:id="rId1"/>
          <a:extLst>
            <a:ext uri="{FF2B5EF4-FFF2-40B4-BE49-F238E27FC236}">
              <a16:creationId xmlns:a16="http://schemas.microsoft.com/office/drawing/2014/main" id="{00000000-0008-0000-0F00-000003000000}"/>
            </a:ext>
          </a:extLst>
        </xdr:cNvPr>
        <xdr:cNvSpPr/>
      </xdr:nvSpPr>
      <xdr:spPr>
        <a:xfrm>
          <a:off x="295275" y="85725"/>
          <a:ext cx="1343025" cy="266700"/>
        </a:xfrm>
        <a:prstGeom prst="roundRect">
          <a:avLst>
            <a:gd name="adj" fmla="val 16667"/>
          </a:avLst>
        </a:prstGeom>
        <a:solidFill>
          <a:srgbClr val="B5FF2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rgbClr val="003D18"/>
              </a:solidFill>
              <a:latin typeface="Mona Sans" pitchFamily="2" charset="0"/>
              <a:ea typeface="Arial"/>
              <a:cs typeface="Arial"/>
              <a:sym typeface="Arial"/>
            </a:rPr>
            <a:t>Capa | Cover</a:t>
          </a:r>
          <a:endParaRPr sz="1050" b="1">
            <a:solidFill>
              <a:srgbClr val="003D18"/>
            </a:solidFill>
            <a:latin typeface="Mona Sans" pitchFamily="2" charset="0"/>
            <a:ea typeface="Arial"/>
            <a:cs typeface="Arial"/>
            <a:sym typeface="Arial"/>
          </a:endParaRPr>
        </a:p>
      </xdr:txBody>
    </xdr:sp>
    <xdr:clientData fLocksWithSheet="0"/>
  </xdr:oneCellAnchor>
  <xdr:twoCellAnchor editAs="oneCell">
    <xdr:from>
      <xdr:col>1</xdr:col>
      <xdr:colOff>1478280</xdr:colOff>
      <xdr:row>0</xdr:row>
      <xdr:rowOff>76200</xdr:rowOff>
    </xdr:from>
    <xdr:to>
      <xdr:col>2</xdr:col>
      <xdr:colOff>690880</xdr:colOff>
      <xdr:row>1</xdr:row>
      <xdr:rowOff>34290</xdr:rowOff>
    </xdr:to>
    <xdr:pic>
      <xdr:nvPicPr>
        <xdr:cNvPr id="4" name="Imagem 3">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7360" y="76200"/>
          <a:ext cx="1193800" cy="285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83884\Downloads\Quadros%20-%20GRUPO%20SBF%203T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83884\Downloads\Quadros%20-%20GRUPO%20SBF%204T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83884\Downloads\Quadros%20-%20GRUPO%20SBF%202T22%20-%2014.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M"/>
      <sheetName val="Consolidado - 30.09.2022"/>
      <sheetName val="DRE 3T22"/>
      <sheetName val="Base"/>
      <sheetName val="BP"/>
      <sheetName val="DRE - Trim"/>
      <sheetName val="DRE 2T22"/>
      <sheetName val="DRA "/>
      <sheetName val="DRA - Trim"/>
      <sheetName val="DRA - 1T22"/>
      <sheetName val="DMPL"/>
      <sheetName val="DFC"/>
      <sheetName val="Mapa DFC (Consolidado)"/>
      <sheetName val="Mapa DFC (Controladora)"/>
      <sheetName val="DVA"/>
      <sheetName val="RA(trim)"/>
      <sheetName val="1"/>
      <sheetName val="3"/>
      <sheetName val="4"/>
      <sheetName val="5"/>
      <sheetName val="6"/>
      <sheetName val="7"/>
      <sheetName val="8"/>
      <sheetName val="9"/>
      <sheetName val="10"/>
      <sheetName val="10.1"/>
      <sheetName val="11"/>
      <sheetName val="12"/>
      <sheetName val="12.1"/>
      <sheetName val="13"/>
      <sheetName val="14"/>
      <sheetName val="15"/>
      <sheetName val="16"/>
      <sheetName val="17"/>
      <sheetName val="18"/>
      <sheetName val="19"/>
      <sheetName val="20"/>
      <sheetName val="21"/>
      <sheetName val="21.1"/>
      <sheetName val="22"/>
      <sheetName val="23"/>
      <sheetName val="24"/>
      <sheetName val="25"/>
      <sheetName val="26"/>
      <sheetName val="27"/>
      <sheetName val="28"/>
      <sheetName val="29"/>
      <sheetName val="29.1"/>
      <sheetName val="30"/>
    </sheetNames>
    <sheetDataSet>
      <sheetData sheetId="0"/>
      <sheetData sheetId="1"/>
      <sheetData sheetId="2"/>
      <sheetData sheetId="3">
        <row r="1">
          <cell r="L1">
            <v>2.8596640191972257E-4</v>
          </cell>
        </row>
        <row r="2">
          <cell r="L2">
            <v>0.28596640191972256</v>
          </cell>
        </row>
        <row r="3">
          <cell r="F3"/>
          <cell r="L3" t="str">
            <v>Consolidado
CORRENTE</v>
          </cell>
        </row>
        <row r="4">
          <cell r="F4" t="str">
            <v>DF</v>
          </cell>
          <cell r="L4" t="str">
            <v>Corrente - Consolidado</v>
          </cell>
        </row>
        <row r="5">
          <cell r="F5" t="str">
            <v>Caixa e equivalentes de caixa</v>
          </cell>
          <cell r="L5">
            <v>20800.41</v>
          </cell>
        </row>
        <row r="6">
          <cell r="F6" t="str">
            <v>Caixa e equivalentes de caixa</v>
          </cell>
          <cell r="L6">
            <v>177595</v>
          </cell>
        </row>
        <row r="7">
          <cell r="F7" t="str">
            <v>Caixa e equivalentes de caixa</v>
          </cell>
          <cell r="L7">
            <v>1925911.3399999999</v>
          </cell>
        </row>
        <row r="8">
          <cell r="F8" t="str">
            <v>Caixa e equivalentes de caixa</v>
          </cell>
          <cell r="L8">
            <v>-913902.57</v>
          </cell>
        </row>
        <row r="9">
          <cell r="F9" t="str">
            <v>Caixa e equivalentes de caixa</v>
          </cell>
          <cell r="L9">
            <v>0</v>
          </cell>
        </row>
        <row r="10">
          <cell r="F10" t="str">
            <v>Caixa e equivalentes de caixa</v>
          </cell>
          <cell r="L10">
            <v>321430</v>
          </cell>
        </row>
        <row r="11">
          <cell r="F11" t="str">
            <v>Caixa e equivalentes de caixa</v>
          </cell>
          <cell r="L11">
            <v>14301459.77</v>
          </cell>
        </row>
        <row r="12">
          <cell r="F12" t="str">
            <v>Caixa e equivalentes de caixa</v>
          </cell>
          <cell r="L12">
            <v>0</v>
          </cell>
        </row>
        <row r="13">
          <cell r="F13" t="str">
            <v>Caixa e equivalentes de caixa</v>
          </cell>
          <cell r="L13">
            <v>0</v>
          </cell>
        </row>
        <row r="14">
          <cell r="F14" t="str">
            <v>Caixa e equivalentes de caixa</v>
          </cell>
          <cell r="L14">
            <v>31557.8</v>
          </cell>
        </row>
        <row r="15">
          <cell r="F15" t="str">
            <v>Caixa e equivalentes de caixa</v>
          </cell>
          <cell r="L15">
            <v>0</v>
          </cell>
        </row>
        <row r="16">
          <cell r="F16" t="str">
            <v>Caixa e equivalentes de caixa</v>
          </cell>
          <cell r="L16">
            <v>0</v>
          </cell>
        </row>
        <row r="17">
          <cell r="F17" t="str">
            <v>Caixa e equivalentes de caixa</v>
          </cell>
          <cell r="L17">
            <v>0</v>
          </cell>
        </row>
        <row r="18">
          <cell r="F18" t="str">
            <v>Caixa e equivalentes de caixa</v>
          </cell>
          <cell r="L18">
            <v>0</v>
          </cell>
        </row>
        <row r="19">
          <cell r="F19" t="str">
            <v>Caixa e equivalentes de caixa</v>
          </cell>
          <cell r="L19">
            <v>0</v>
          </cell>
        </row>
        <row r="20">
          <cell r="F20" t="str">
            <v>Caixa e equivalentes de caixa</v>
          </cell>
          <cell r="L20">
            <v>0</v>
          </cell>
        </row>
        <row r="21">
          <cell r="F21" t="str">
            <v>Caixa e equivalentes de caixa</v>
          </cell>
          <cell r="L21">
            <v>0</v>
          </cell>
        </row>
        <row r="22">
          <cell r="F22" t="str">
            <v>Caixa e equivalentes de caixa</v>
          </cell>
          <cell r="L22">
            <v>0</v>
          </cell>
        </row>
        <row r="23">
          <cell r="F23" t="str">
            <v>Caixa e equivalentes de caixa</v>
          </cell>
          <cell r="L23">
            <v>0</v>
          </cell>
        </row>
        <row r="24">
          <cell r="F24" t="str">
            <v>Caixa e equivalentes de caixa</v>
          </cell>
          <cell r="L24">
            <v>0</v>
          </cell>
        </row>
        <row r="25">
          <cell r="F25" t="str">
            <v>Caixa e equivalentes de caixa</v>
          </cell>
          <cell r="L25">
            <v>0</v>
          </cell>
        </row>
        <row r="26">
          <cell r="F26" t="str">
            <v>Caixa e equivalentes de caixa</v>
          </cell>
          <cell r="L26">
            <v>0</v>
          </cell>
        </row>
        <row r="27">
          <cell r="F27" t="str">
            <v>Caixa e equivalentes de caixa</v>
          </cell>
          <cell r="L27">
            <v>0</v>
          </cell>
        </row>
        <row r="28">
          <cell r="F28" t="str">
            <v>Caixa e equivalentes de caixa</v>
          </cell>
          <cell r="L28">
            <v>0</v>
          </cell>
        </row>
        <row r="29">
          <cell r="F29" t="str">
            <v>Caixa e equivalentes de caixa</v>
          </cell>
          <cell r="L29">
            <v>0</v>
          </cell>
        </row>
        <row r="30">
          <cell r="F30" t="str">
            <v>Caixa e equivalentes de caixa</v>
          </cell>
          <cell r="L30">
            <v>0</v>
          </cell>
        </row>
        <row r="31">
          <cell r="F31" t="str">
            <v>Caixa e equivalentes de caixa</v>
          </cell>
          <cell r="L31">
            <v>0</v>
          </cell>
        </row>
        <row r="32">
          <cell r="F32" t="str">
            <v>Caixa e equivalentes de caixa</v>
          </cell>
          <cell r="L32">
            <v>0</v>
          </cell>
        </row>
        <row r="33">
          <cell r="F33" t="str">
            <v>Caixa e equivalentes de caixa</v>
          </cell>
          <cell r="L33">
            <v>0</v>
          </cell>
        </row>
        <row r="34">
          <cell r="F34" t="str">
            <v>Caixa e equivalentes de caixa</v>
          </cell>
          <cell r="L34">
            <v>0</v>
          </cell>
        </row>
        <row r="35">
          <cell r="F35" t="str">
            <v>Caixa e equivalentes de caixa</v>
          </cell>
          <cell r="L35">
            <v>0</v>
          </cell>
        </row>
        <row r="36">
          <cell r="F36" t="str">
            <v>Caixa e equivalentes de caixa</v>
          </cell>
          <cell r="L36">
            <v>0</v>
          </cell>
        </row>
        <row r="37">
          <cell r="F37" t="str">
            <v>Caixa e equivalentes de caixa</v>
          </cell>
          <cell r="L37">
            <v>0</v>
          </cell>
        </row>
        <row r="38">
          <cell r="F38" t="str">
            <v>Caixa e equivalentes de caixa</v>
          </cell>
          <cell r="L38">
            <v>396826.1</v>
          </cell>
        </row>
        <row r="39">
          <cell r="F39" t="str">
            <v>Caixa e equivalentes de caixa</v>
          </cell>
          <cell r="L39">
            <v>0</v>
          </cell>
        </row>
        <row r="40">
          <cell r="F40" t="str">
            <v>Caixa e equivalentes de caixa</v>
          </cell>
          <cell r="L40">
            <v>0</v>
          </cell>
        </row>
        <row r="41">
          <cell r="F41" t="str">
            <v>Caixa e equivalentes de caixa</v>
          </cell>
          <cell r="L41">
            <v>0</v>
          </cell>
        </row>
        <row r="42">
          <cell r="F42" t="str">
            <v>Caixa e equivalentes de caixa</v>
          </cell>
          <cell r="L42">
            <v>0</v>
          </cell>
        </row>
        <row r="43">
          <cell r="F43" t="str">
            <v>Caixa e equivalentes de caixa</v>
          </cell>
          <cell r="L43">
            <v>0</v>
          </cell>
        </row>
        <row r="44">
          <cell r="F44" t="str">
            <v>Caixa e equivalentes de caixa</v>
          </cell>
          <cell r="L44">
            <v>0</v>
          </cell>
        </row>
        <row r="45">
          <cell r="F45" t="str">
            <v>Caixa e equivalentes de caixa</v>
          </cell>
          <cell r="L45">
            <v>107528.76</v>
          </cell>
        </row>
        <row r="46">
          <cell r="F46" t="str">
            <v>Caixa e equivalentes de caixa</v>
          </cell>
          <cell r="L46">
            <v>305660.21000000002</v>
          </cell>
        </row>
        <row r="47">
          <cell r="F47" t="str">
            <v>Caixa e equivalentes de caixa</v>
          </cell>
          <cell r="L47">
            <v>0</v>
          </cell>
        </row>
        <row r="48">
          <cell r="F48" t="str">
            <v>Caixa e equivalentes de caixa</v>
          </cell>
          <cell r="L48">
            <v>0</v>
          </cell>
        </row>
        <row r="49">
          <cell r="F49" t="str">
            <v>Caixa e equivalentes de caixa</v>
          </cell>
          <cell r="L49">
            <v>0</v>
          </cell>
        </row>
        <row r="50">
          <cell r="F50" t="str">
            <v>Caixa e equivalentes de caixa</v>
          </cell>
          <cell r="L50">
            <v>0</v>
          </cell>
        </row>
        <row r="51">
          <cell r="F51" t="str">
            <v>Caixa e equivalentes de caixa</v>
          </cell>
          <cell r="L51">
            <v>71729.62</v>
          </cell>
        </row>
        <row r="52">
          <cell r="F52" t="str">
            <v>Caixa e equivalentes de caixa</v>
          </cell>
          <cell r="L52">
            <v>0</v>
          </cell>
        </row>
        <row r="53">
          <cell r="F53" t="str">
            <v>Caixa e equivalentes de caixa</v>
          </cell>
          <cell r="L53">
            <v>0</v>
          </cell>
        </row>
        <row r="54">
          <cell r="F54" t="str">
            <v>Caixa e equivalentes de caixa</v>
          </cell>
          <cell r="L54">
            <v>19010.649999999998</v>
          </cell>
        </row>
        <row r="55">
          <cell r="F55" t="str">
            <v>Caixa e equivalentes de caixa</v>
          </cell>
          <cell r="L55">
            <v>0</v>
          </cell>
        </row>
        <row r="56">
          <cell r="F56" t="str">
            <v>Caixa e equivalentes de caixa</v>
          </cell>
          <cell r="L56">
            <v>0</v>
          </cell>
        </row>
        <row r="57">
          <cell r="F57" t="str">
            <v>Caixa e equivalentes de caixa</v>
          </cell>
          <cell r="L57">
            <v>0</v>
          </cell>
        </row>
        <row r="58">
          <cell r="F58" t="str">
            <v>Caixa e equivalentes de caixa</v>
          </cell>
          <cell r="L58">
            <v>0</v>
          </cell>
        </row>
        <row r="59">
          <cell r="F59" t="str">
            <v>Caixa e equivalentes de caixa</v>
          </cell>
          <cell r="L59">
            <v>0</v>
          </cell>
        </row>
        <row r="60">
          <cell r="F60" t="str">
            <v>Caixa e equivalentes de caixa</v>
          </cell>
          <cell r="L60">
            <v>0</v>
          </cell>
        </row>
        <row r="61">
          <cell r="F61" t="str">
            <v>Caixa e equivalentes de caixa</v>
          </cell>
          <cell r="L61">
            <v>0</v>
          </cell>
        </row>
        <row r="62">
          <cell r="F62" t="str">
            <v>Caixa e equivalentes de caixa</v>
          </cell>
          <cell r="L62">
            <v>0</v>
          </cell>
        </row>
        <row r="63">
          <cell r="F63" t="str">
            <v>Caixa e equivalentes de caixa</v>
          </cell>
          <cell r="L63">
            <v>0</v>
          </cell>
        </row>
        <row r="64">
          <cell r="F64" t="str">
            <v>Caixa e equivalentes de caixa</v>
          </cell>
          <cell r="L64">
            <v>0</v>
          </cell>
        </row>
        <row r="65">
          <cell r="F65" t="str">
            <v>Caixa e equivalentes de caixa</v>
          </cell>
          <cell r="L65">
            <v>0</v>
          </cell>
        </row>
        <row r="66">
          <cell r="F66" t="str">
            <v>Caixa e equivalentes de caixa</v>
          </cell>
          <cell r="L66">
            <v>2170382.3199999998</v>
          </cell>
        </row>
        <row r="67">
          <cell r="F67" t="str">
            <v>Caixa e equivalentes de caixa</v>
          </cell>
          <cell r="L67">
            <v>0</v>
          </cell>
        </row>
        <row r="68">
          <cell r="F68" t="str">
            <v>Caixa e equivalentes de caixa</v>
          </cell>
          <cell r="L68">
            <v>0</v>
          </cell>
        </row>
        <row r="69">
          <cell r="F69" t="str">
            <v>Caixa e equivalentes de caixa</v>
          </cell>
          <cell r="L69">
            <v>0</v>
          </cell>
        </row>
        <row r="70">
          <cell r="F70" t="str">
            <v>Caixa e equivalentes de caixa</v>
          </cell>
          <cell r="L70">
            <v>0</v>
          </cell>
        </row>
        <row r="71">
          <cell r="F71" t="str">
            <v>Caixa e equivalentes de caixa</v>
          </cell>
          <cell r="L71">
            <v>0</v>
          </cell>
        </row>
        <row r="72">
          <cell r="F72" t="str">
            <v>Caixa e equivalentes de caixa</v>
          </cell>
          <cell r="L72">
            <v>0</v>
          </cell>
        </row>
        <row r="73">
          <cell r="F73" t="str">
            <v>Caixa e equivalentes de caixa</v>
          </cell>
          <cell r="L73">
            <v>0</v>
          </cell>
        </row>
        <row r="74">
          <cell r="F74" t="str">
            <v>Caixa e equivalentes de caixa</v>
          </cell>
          <cell r="L74">
            <v>0</v>
          </cell>
        </row>
        <row r="75">
          <cell r="F75" t="str">
            <v>Caixa e equivalentes de caixa</v>
          </cell>
          <cell r="L75">
            <v>0</v>
          </cell>
        </row>
        <row r="76">
          <cell r="F76" t="str">
            <v>Caixa e equivalentes de caixa</v>
          </cell>
          <cell r="L76">
            <v>0</v>
          </cell>
        </row>
        <row r="77">
          <cell r="F77" t="str">
            <v>Caixa e equivalentes de caixa</v>
          </cell>
          <cell r="L77">
            <v>0</v>
          </cell>
        </row>
        <row r="78">
          <cell r="F78" t="str">
            <v>Caixa e equivalentes de caixa</v>
          </cell>
          <cell r="L78">
            <v>2644.4</v>
          </cell>
        </row>
        <row r="79">
          <cell r="F79" t="str">
            <v>Caixa e equivalentes de caixa</v>
          </cell>
          <cell r="L79">
            <v>0</v>
          </cell>
        </row>
        <row r="80">
          <cell r="F80" t="str">
            <v>Caixa e equivalentes de caixa</v>
          </cell>
          <cell r="L80">
            <v>0</v>
          </cell>
        </row>
        <row r="81">
          <cell r="F81" t="str">
            <v>Caixa e equivalentes de caixa</v>
          </cell>
          <cell r="L81">
            <v>0</v>
          </cell>
        </row>
        <row r="82">
          <cell r="F82" t="str">
            <v>Caixa e equivalentes de caixa</v>
          </cell>
          <cell r="L82">
            <v>0</v>
          </cell>
        </row>
        <row r="83">
          <cell r="F83" t="str">
            <v>Caixa e equivalentes de caixa</v>
          </cell>
          <cell r="L83">
            <v>0</v>
          </cell>
        </row>
        <row r="84">
          <cell r="F84" t="str">
            <v>Caixa e equivalentes de caixa</v>
          </cell>
          <cell r="L84">
            <v>0</v>
          </cell>
        </row>
        <row r="85">
          <cell r="F85" t="str">
            <v>Caixa e equivalentes de caixa</v>
          </cell>
          <cell r="L85">
            <v>0</v>
          </cell>
        </row>
        <row r="86">
          <cell r="F86" t="str">
            <v>Caixa e equivalentes de caixa</v>
          </cell>
          <cell r="L86">
            <v>0</v>
          </cell>
        </row>
        <row r="87">
          <cell r="F87" t="str">
            <v>Caixa e equivalentes de caixa</v>
          </cell>
          <cell r="L87">
            <v>26503.86</v>
          </cell>
        </row>
        <row r="88">
          <cell r="F88" t="str">
            <v>Caixa e equivalentes de caixa</v>
          </cell>
          <cell r="L88">
            <v>0</v>
          </cell>
        </row>
        <row r="89">
          <cell r="F89" t="str">
            <v>Caixa e equivalentes de caixa</v>
          </cell>
          <cell r="L89">
            <v>0</v>
          </cell>
        </row>
        <row r="90">
          <cell r="F90" t="str">
            <v>Caixa e equivalentes de caixa</v>
          </cell>
          <cell r="L90">
            <v>0</v>
          </cell>
        </row>
        <row r="91">
          <cell r="F91" t="str">
            <v>Caixa e equivalentes de caixa</v>
          </cell>
          <cell r="L91">
            <v>0</v>
          </cell>
        </row>
        <row r="92">
          <cell r="F92" t="str">
            <v>Caixa e equivalentes de caixa</v>
          </cell>
          <cell r="L92">
            <v>0</v>
          </cell>
        </row>
        <row r="93">
          <cell r="F93" t="str">
            <v>Caixa e equivalentes de caixa</v>
          </cell>
          <cell r="L93">
            <v>115379.18</v>
          </cell>
        </row>
        <row r="94">
          <cell r="F94" t="str">
            <v>Caixa e equivalentes de caixa</v>
          </cell>
          <cell r="L94">
            <v>0</v>
          </cell>
        </row>
        <row r="95">
          <cell r="F95" t="str">
            <v>Caixa e equivalentes de caixa</v>
          </cell>
          <cell r="L95">
            <v>0</v>
          </cell>
        </row>
        <row r="96">
          <cell r="F96" t="str">
            <v>Caixa e equivalentes de caixa</v>
          </cell>
          <cell r="L96">
            <v>0</v>
          </cell>
        </row>
        <row r="97">
          <cell r="F97" t="str">
            <v>Caixa e equivalentes de caixa</v>
          </cell>
          <cell r="L97">
            <v>916.27</v>
          </cell>
        </row>
        <row r="98">
          <cell r="F98" t="str">
            <v>Caixa e equivalentes de caixa</v>
          </cell>
          <cell r="L98">
            <v>0</v>
          </cell>
        </row>
        <row r="99">
          <cell r="F99" t="str">
            <v>Caixa e equivalentes de caixa</v>
          </cell>
          <cell r="L99">
            <v>0</v>
          </cell>
        </row>
        <row r="100">
          <cell r="F100" t="str">
            <v>Caixa e equivalentes de caixa</v>
          </cell>
          <cell r="L100">
            <v>26804.57</v>
          </cell>
        </row>
        <row r="101">
          <cell r="F101" t="str">
            <v>Caixa e equivalentes de caixa</v>
          </cell>
          <cell r="L101">
            <v>0</v>
          </cell>
        </row>
        <row r="102">
          <cell r="F102" t="str">
            <v>Caixa e equivalentes de caixa</v>
          </cell>
          <cell r="L102">
            <v>3.8</v>
          </cell>
        </row>
        <row r="103">
          <cell r="F103" t="str">
            <v>Caixa e equivalentes de caixa</v>
          </cell>
          <cell r="L103">
            <v>0</v>
          </cell>
        </row>
        <row r="104">
          <cell r="F104" t="str">
            <v>Caixa e equivalentes de caixa</v>
          </cell>
          <cell r="L104">
            <v>0</v>
          </cell>
        </row>
        <row r="105">
          <cell r="F105" t="str">
            <v>Caixa e equivalentes de caixa</v>
          </cell>
          <cell r="L105">
            <v>0</v>
          </cell>
        </row>
        <row r="106">
          <cell r="F106" t="str">
            <v>Caixa e equivalentes de caixa</v>
          </cell>
          <cell r="L106">
            <v>0</v>
          </cell>
        </row>
        <row r="107">
          <cell r="F107" t="str">
            <v>Caixa e equivalentes de caixa</v>
          </cell>
          <cell r="L107">
            <v>0</v>
          </cell>
        </row>
        <row r="108">
          <cell r="F108" t="str">
            <v>Caixa e equivalentes de caixa</v>
          </cell>
          <cell r="L108">
            <v>0</v>
          </cell>
        </row>
        <row r="109">
          <cell r="F109" t="str">
            <v>Caixa e equivalentes de caixa</v>
          </cell>
          <cell r="L109">
            <v>0</v>
          </cell>
        </row>
        <row r="110">
          <cell r="F110" t="str">
            <v>Caixa e equivalentes de caixa</v>
          </cell>
          <cell r="L110">
            <v>0</v>
          </cell>
        </row>
        <row r="111">
          <cell r="F111" t="str">
            <v>Caixa e equivalentes de caixa</v>
          </cell>
          <cell r="L111">
            <v>0</v>
          </cell>
        </row>
        <row r="112">
          <cell r="F112" t="str">
            <v>Caixa e equivalentes de caixa</v>
          </cell>
          <cell r="L112">
            <v>0</v>
          </cell>
        </row>
        <row r="113">
          <cell r="F113" t="str">
            <v>Caixa e equivalentes de caixa</v>
          </cell>
          <cell r="L113">
            <v>0</v>
          </cell>
        </row>
        <row r="114">
          <cell r="F114" t="str">
            <v>Caixa e equivalentes de caixa</v>
          </cell>
          <cell r="L114">
            <v>0</v>
          </cell>
        </row>
        <row r="115">
          <cell r="F115" t="str">
            <v>Caixa e equivalentes de caixa</v>
          </cell>
          <cell r="L115">
            <v>0</v>
          </cell>
        </row>
        <row r="116">
          <cell r="F116" t="str">
            <v>Caixa e equivalentes de caixa</v>
          </cell>
          <cell r="L116">
            <v>0</v>
          </cell>
        </row>
        <row r="117">
          <cell r="F117" t="str">
            <v>Caixa e equivalentes de caixa</v>
          </cell>
          <cell r="L117">
            <v>0</v>
          </cell>
        </row>
        <row r="118">
          <cell r="F118" t="str">
            <v>Caixa e equivalentes de caixa</v>
          </cell>
          <cell r="L118">
            <v>0</v>
          </cell>
        </row>
        <row r="119">
          <cell r="F119" t="str">
            <v>Caixa e equivalentes de caixa</v>
          </cell>
          <cell r="L119">
            <v>0</v>
          </cell>
        </row>
        <row r="120">
          <cell r="F120" t="str">
            <v>Caixa e equivalentes de caixa</v>
          </cell>
          <cell r="L120">
            <v>8755.89</v>
          </cell>
        </row>
        <row r="121">
          <cell r="F121" t="str">
            <v>Caixa e equivalentes de caixa</v>
          </cell>
          <cell r="L121">
            <v>0</v>
          </cell>
        </row>
        <row r="122">
          <cell r="F122" t="str">
            <v>Caixa e equivalentes de caixa</v>
          </cell>
          <cell r="L122">
            <v>0</v>
          </cell>
        </row>
        <row r="123">
          <cell r="F123" t="str">
            <v>Caixa e equivalentes de caixa</v>
          </cell>
          <cell r="L123">
            <v>0</v>
          </cell>
        </row>
        <row r="124">
          <cell r="F124" t="str">
            <v>Caixa e equivalentes de caixa</v>
          </cell>
          <cell r="L124">
            <v>0</v>
          </cell>
        </row>
        <row r="125">
          <cell r="F125" t="str">
            <v>Caixa e equivalentes de caixa</v>
          </cell>
          <cell r="L125">
            <v>0</v>
          </cell>
        </row>
        <row r="126">
          <cell r="F126" t="str">
            <v>Caixa e equivalentes de caixa</v>
          </cell>
          <cell r="L126">
            <v>516.76</v>
          </cell>
        </row>
        <row r="127">
          <cell r="F127" t="str">
            <v>Caixa e equivalentes de caixa</v>
          </cell>
          <cell r="L127">
            <v>0</v>
          </cell>
        </row>
        <row r="128">
          <cell r="F128" t="str">
            <v>Caixa e equivalentes de caixa</v>
          </cell>
          <cell r="L128">
            <v>0</v>
          </cell>
        </row>
        <row r="129">
          <cell r="F129" t="str">
            <v>Caixa e equivalentes de caixa</v>
          </cell>
          <cell r="L129">
            <v>0</v>
          </cell>
        </row>
        <row r="130">
          <cell r="F130" t="str">
            <v>Caixa e equivalentes de caixa</v>
          </cell>
          <cell r="L130">
            <v>0</v>
          </cell>
        </row>
        <row r="131">
          <cell r="F131" t="str">
            <v>Caixa e equivalentes de caixa</v>
          </cell>
          <cell r="L131">
            <v>0</v>
          </cell>
        </row>
        <row r="132">
          <cell r="F132" t="str">
            <v>Caixa e equivalentes de caixa</v>
          </cell>
          <cell r="L132">
            <v>0</v>
          </cell>
        </row>
        <row r="133">
          <cell r="F133" t="str">
            <v>Caixa e equivalentes de caixa</v>
          </cell>
          <cell r="L133">
            <v>0</v>
          </cell>
        </row>
        <row r="134">
          <cell r="F134" t="str">
            <v>Caixa e equivalentes de caixa</v>
          </cell>
          <cell r="L134">
            <v>0</v>
          </cell>
        </row>
        <row r="135">
          <cell r="F135" t="str">
            <v>Caixa e equivalentes de caixa</v>
          </cell>
          <cell r="L135">
            <v>26560.1</v>
          </cell>
        </row>
        <row r="136">
          <cell r="F136" t="str">
            <v>Caixa e equivalentes de caixa</v>
          </cell>
          <cell r="L136">
            <v>0</v>
          </cell>
        </row>
        <row r="137">
          <cell r="F137" t="str">
            <v>Caixa e equivalentes de caixa</v>
          </cell>
          <cell r="L137">
            <v>0</v>
          </cell>
        </row>
        <row r="138">
          <cell r="F138" t="str">
            <v>Caixa e equivalentes de caixa</v>
          </cell>
          <cell r="L138">
            <v>0</v>
          </cell>
        </row>
        <row r="139">
          <cell r="F139" t="str">
            <v>Caixa e equivalentes de caixa</v>
          </cell>
          <cell r="L139">
            <v>0</v>
          </cell>
        </row>
        <row r="140">
          <cell r="F140" t="str">
            <v>Caixa e equivalentes de caixa</v>
          </cell>
          <cell r="L140">
            <v>0</v>
          </cell>
        </row>
        <row r="141">
          <cell r="F141" t="str">
            <v>Caixa e equivalentes de caixa</v>
          </cell>
          <cell r="L141">
            <v>0</v>
          </cell>
        </row>
        <row r="142">
          <cell r="F142" t="str">
            <v>Caixa e equivalentes de caixa</v>
          </cell>
          <cell r="L142">
            <v>1948.09</v>
          </cell>
        </row>
        <row r="143">
          <cell r="F143" t="str">
            <v>Caixa e equivalentes de caixa</v>
          </cell>
          <cell r="L143">
            <v>0</v>
          </cell>
        </row>
        <row r="144">
          <cell r="F144" t="str">
            <v>Caixa e equivalentes de caixa</v>
          </cell>
          <cell r="L144">
            <v>0</v>
          </cell>
        </row>
        <row r="145">
          <cell r="F145" t="str">
            <v>Caixa e equivalentes de caixa</v>
          </cell>
          <cell r="L145">
            <v>0</v>
          </cell>
        </row>
        <row r="146">
          <cell r="F146" t="str">
            <v>Caixa e equivalentes de caixa</v>
          </cell>
          <cell r="L146">
            <v>0</v>
          </cell>
        </row>
        <row r="147">
          <cell r="F147" t="str">
            <v>Caixa e equivalentes de caixa</v>
          </cell>
          <cell r="L147">
            <v>0</v>
          </cell>
        </row>
        <row r="148">
          <cell r="F148" t="str">
            <v>Caixa e equivalentes de caixa</v>
          </cell>
          <cell r="L148">
            <v>0</v>
          </cell>
        </row>
        <row r="149">
          <cell r="F149" t="str">
            <v>Caixa e equivalentes de caixa</v>
          </cell>
          <cell r="L149">
            <v>7185170.0999999996</v>
          </cell>
        </row>
        <row r="150">
          <cell r="F150" t="str">
            <v>Caixa e equivalentes de caixa</v>
          </cell>
          <cell r="L150">
            <v>0</v>
          </cell>
        </row>
        <row r="151">
          <cell r="F151" t="str">
            <v>Caixa e equivalentes de caixa</v>
          </cell>
          <cell r="L151">
            <v>0</v>
          </cell>
        </row>
        <row r="152">
          <cell r="F152" t="str">
            <v>Caixa e equivalentes de caixa</v>
          </cell>
          <cell r="L152">
            <v>303761.77</v>
          </cell>
        </row>
        <row r="153">
          <cell r="F153" t="str">
            <v>Caixa e equivalentes de caixa</v>
          </cell>
          <cell r="L153">
            <v>0</v>
          </cell>
        </row>
        <row r="154">
          <cell r="F154" t="str">
            <v>Caixa e equivalentes de caixa</v>
          </cell>
          <cell r="L154">
            <v>0</v>
          </cell>
        </row>
        <row r="155">
          <cell r="F155" t="str">
            <v>Caixa e equivalentes de caixa</v>
          </cell>
          <cell r="L155">
            <v>1330823.93</v>
          </cell>
        </row>
        <row r="156">
          <cell r="F156" t="str">
            <v>Caixa e equivalentes de caixa</v>
          </cell>
          <cell r="L156">
            <v>0</v>
          </cell>
        </row>
        <row r="157">
          <cell r="F157" t="str">
            <v>Caixa e equivalentes de caixa</v>
          </cell>
          <cell r="L157">
            <v>0</v>
          </cell>
        </row>
        <row r="158">
          <cell r="F158" t="str">
            <v>Caixa e equivalentes de caixa</v>
          </cell>
          <cell r="L158">
            <v>32375.48</v>
          </cell>
        </row>
        <row r="159">
          <cell r="F159" t="str">
            <v>Caixa e equivalentes de caixa</v>
          </cell>
          <cell r="L159">
            <v>0</v>
          </cell>
        </row>
        <row r="160">
          <cell r="F160" t="str">
            <v>Caixa e equivalentes de caixa</v>
          </cell>
          <cell r="L160">
            <v>0</v>
          </cell>
        </row>
        <row r="161">
          <cell r="F161" t="str">
            <v>Caixa e equivalentes de caixa</v>
          </cell>
          <cell r="L161">
            <v>16025.470000000001</v>
          </cell>
        </row>
        <row r="162">
          <cell r="F162" t="str">
            <v>Caixa e equivalentes de caixa</v>
          </cell>
          <cell r="L162">
            <v>0</v>
          </cell>
        </row>
        <row r="163">
          <cell r="F163" t="str">
            <v>Caixa e equivalentes de caixa</v>
          </cell>
          <cell r="L163">
            <v>0</v>
          </cell>
        </row>
        <row r="164">
          <cell r="F164" t="str">
            <v>Caixa e equivalentes de caixa</v>
          </cell>
          <cell r="L164">
            <v>393.41</v>
          </cell>
        </row>
        <row r="165">
          <cell r="F165" t="str">
            <v>Caixa e equivalentes de caixa</v>
          </cell>
          <cell r="L165">
            <v>0</v>
          </cell>
        </row>
        <row r="166">
          <cell r="F166" t="str">
            <v>Caixa e equivalentes de caixa</v>
          </cell>
          <cell r="L166">
            <v>0</v>
          </cell>
        </row>
        <row r="167">
          <cell r="F167" t="str">
            <v>Caixa e equivalentes de caixa</v>
          </cell>
          <cell r="L167">
            <v>3720.81</v>
          </cell>
        </row>
        <row r="168">
          <cell r="F168" t="str">
            <v>Caixa e equivalentes de caixa</v>
          </cell>
          <cell r="L168">
            <v>0</v>
          </cell>
        </row>
        <row r="169">
          <cell r="F169" t="str">
            <v>Caixa e equivalentes de caixa</v>
          </cell>
          <cell r="L169">
            <v>0</v>
          </cell>
        </row>
        <row r="170">
          <cell r="F170" t="str">
            <v>Caixa e equivalentes de caixa</v>
          </cell>
          <cell r="L170">
            <v>0</v>
          </cell>
        </row>
        <row r="171">
          <cell r="F171" t="str">
            <v>Caixa e equivalentes de caixa</v>
          </cell>
          <cell r="L171">
            <v>0</v>
          </cell>
        </row>
        <row r="172">
          <cell r="F172" t="str">
            <v>Caixa e equivalentes de caixa</v>
          </cell>
          <cell r="L172">
            <v>0</v>
          </cell>
        </row>
        <row r="173">
          <cell r="F173" t="str">
            <v>Caixa e equivalentes de caixa</v>
          </cell>
          <cell r="L173">
            <v>83311.39</v>
          </cell>
        </row>
        <row r="174">
          <cell r="F174" t="str">
            <v>Caixa e equivalentes de caixa</v>
          </cell>
          <cell r="L174">
            <v>0</v>
          </cell>
        </row>
        <row r="175">
          <cell r="F175" t="str">
            <v>Caixa e equivalentes de caixa</v>
          </cell>
          <cell r="L175">
            <v>0</v>
          </cell>
        </row>
        <row r="176">
          <cell r="F176" t="str">
            <v>Caixa e equivalentes de caixa</v>
          </cell>
          <cell r="L176">
            <v>2973.85</v>
          </cell>
        </row>
        <row r="177">
          <cell r="F177" t="str">
            <v>Caixa e equivalentes de caixa</v>
          </cell>
          <cell r="L177">
            <v>0</v>
          </cell>
        </row>
        <row r="178">
          <cell r="F178" t="str">
            <v>Caixa e equivalentes de caixa</v>
          </cell>
          <cell r="L178">
            <v>0</v>
          </cell>
        </row>
        <row r="179">
          <cell r="F179" t="str">
            <v>Caixa e equivalentes de caixa</v>
          </cell>
          <cell r="L179">
            <v>2208848.1999999997</v>
          </cell>
        </row>
        <row r="180">
          <cell r="F180" t="str">
            <v>Caixa e equivalentes de caixa</v>
          </cell>
          <cell r="L180">
            <v>0</v>
          </cell>
        </row>
        <row r="181">
          <cell r="F181" t="str">
            <v>Caixa e equivalentes de caixa</v>
          </cell>
          <cell r="L181">
            <v>0</v>
          </cell>
        </row>
        <row r="182">
          <cell r="F182" t="str">
            <v>Caixa e equivalentes de caixa</v>
          </cell>
          <cell r="L182">
            <v>14989.43</v>
          </cell>
        </row>
        <row r="183">
          <cell r="F183" t="str">
            <v>Caixa e equivalentes de caixa</v>
          </cell>
          <cell r="L183">
            <v>0</v>
          </cell>
        </row>
        <row r="184">
          <cell r="F184" t="str">
            <v>Caixa e equivalentes de caixa</v>
          </cell>
          <cell r="L184">
            <v>0</v>
          </cell>
        </row>
        <row r="185">
          <cell r="F185" t="str">
            <v>Caixa e equivalentes de caixa</v>
          </cell>
          <cell r="L185">
            <v>0</v>
          </cell>
        </row>
        <row r="186">
          <cell r="F186" t="str">
            <v>Caixa e equivalentes de caixa</v>
          </cell>
          <cell r="L186">
            <v>0</v>
          </cell>
        </row>
        <row r="187">
          <cell r="F187" t="str">
            <v>Caixa e equivalentes de caixa</v>
          </cell>
          <cell r="L187">
            <v>0</v>
          </cell>
        </row>
        <row r="188">
          <cell r="F188" t="str">
            <v>Caixa e equivalentes de caixa</v>
          </cell>
          <cell r="L188">
            <v>3899.01</v>
          </cell>
        </row>
        <row r="189">
          <cell r="F189" t="str">
            <v>Caixa e equivalentes de caixa</v>
          </cell>
          <cell r="L189">
            <v>15087.61</v>
          </cell>
        </row>
        <row r="190">
          <cell r="F190" t="str">
            <v>Caixa e equivalentes de caixa</v>
          </cell>
          <cell r="L190">
            <v>0</v>
          </cell>
        </row>
        <row r="191">
          <cell r="F191" t="str">
            <v>Caixa e equivalentes de caixa</v>
          </cell>
          <cell r="L191">
            <v>0</v>
          </cell>
        </row>
        <row r="192">
          <cell r="F192" t="str">
            <v>Caixa e equivalentes de caixa</v>
          </cell>
          <cell r="L192">
            <v>787.74</v>
          </cell>
        </row>
        <row r="193">
          <cell r="F193" t="str">
            <v>Caixa e equivalentes de caixa</v>
          </cell>
          <cell r="L193">
            <v>28305.98</v>
          </cell>
        </row>
        <row r="194">
          <cell r="F194" t="str">
            <v>Caixa e equivalentes de caixa</v>
          </cell>
          <cell r="L194">
            <v>0</v>
          </cell>
        </row>
        <row r="195">
          <cell r="F195" t="str">
            <v>Caixa e equivalentes de caixa</v>
          </cell>
          <cell r="L195">
            <v>0</v>
          </cell>
        </row>
        <row r="196">
          <cell r="F196" t="str">
            <v>Caixa e equivalentes de caixa</v>
          </cell>
          <cell r="L196">
            <v>3228.98</v>
          </cell>
        </row>
        <row r="197">
          <cell r="F197" t="str">
            <v>Caixa e equivalentes de caixa</v>
          </cell>
          <cell r="L197">
            <v>5592.68</v>
          </cell>
        </row>
        <row r="198">
          <cell r="F198" t="str">
            <v>Caixa e equivalentes de caixa</v>
          </cell>
          <cell r="L198">
            <v>0</v>
          </cell>
        </row>
        <row r="199">
          <cell r="F199" t="str">
            <v>Caixa e equivalentes de caixa</v>
          </cell>
          <cell r="L199">
            <v>0</v>
          </cell>
        </row>
        <row r="200">
          <cell r="F200" t="str">
            <v>Caixa e equivalentes de caixa</v>
          </cell>
          <cell r="L200">
            <v>0</v>
          </cell>
        </row>
        <row r="201">
          <cell r="F201" t="str">
            <v>Caixa e equivalentes de caixa</v>
          </cell>
          <cell r="L201">
            <v>3074.45</v>
          </cell>
        </row>
        <row r="202">
          <cell r="F202" t="str">
            <v>Caixa e equivalentes de caixa</v>
          </cell>
          <cell r="L202">
            <v>0</v>
          </cell>
        </row>
        <row r="203">
          <cell r="F203" t="str">
            <v>Caixa e equivalentes de caixa</v>
          </cell>
          <cell r="L203">
            <v>0</v>
          </cell>
        </row>
        <row r="204">
          <cell r="F204" t="str">
            <v>Caixa e equivalentes de caixa</v>
          </cell>
          <cell r="L204">
            <v>47.98</v>
          </cell>
        </row>
        <row r="205">
          <cell r="F205" t="str">
            <v>Caixa e equivalentes de caixa</v>
          </cell>
          <cell r="L205">
            <v>0</v>
          </cell>
        </row>
        <row r="206">
          <cell r="F206" t="str">
            <v>Caixa e equivalentes de caixa</v>
          </cell>
          <cell r="L206">
            <v>0</v>
          </cell>
        </row>
        <row r="207">
          <cell r="F207" t="str">
            <v>Caixa e equivalentes de caixa</v>
          </cell>
          <cell r="L207">
            <v>0</v>
          </cell>
        </row>
        <row r="208">
          <cell r="F208" t="str">
            <v>Caixa e equivalentes de caixa</v>
          </cell>
          <cell r="L208">
            <v>0</v>
          </cell>
        </row>
        <row r="209">
          <cell r="F209" t="str">
            <v>Caixa e equivalentes de caixa</v>
          </cell>
          <cell r="L209">
            <v>0</v>
          </cell>
        </row>
        <row r="210">
          <cell r="F210" t="str">
            <v>Caixa e equivalentes de caixa</v>
          </cell>
          <cell r="L210">
            <v>0</v>
          </cell>
        </row>
        <row r="211">
          <cell r="F211" t="str">
            <v>Caixa e equivalentes de caixa</v>
          </cell>
          <cell r="L211">
            <v>0</v>
          </cell>
        </row>
        <row r="212">
          <cell r="F212" t="str">
            <v>Caixa e equivalentes de caixa</v>
          </cell>
          <cell r="L212">
            <v>0</v>
          </cell>
        </row>
        <row r="213">
          <cell r="F213" t="str">
            <v>Caixa e equivalentes de caixa</v>
          </cell>
          <cell r="L213">
            <v>225971544.40000004</v>
          </cell>
        </row>
        <row r="214">
          <cell r="F214" t="str">
            <v>Caixa e equivalentes de caixa</v>
          </cell>
          <cell r="L214">
            <v>0</v>
          </cell>
        </row>
        <row r="215">
          <cell r="F215" t="str">
            <v>Caixa e equivalentes de caixa</v>
          </cell>
          <cell r="L215">
            <v>1867.96</v>
          </cell>
        </row>
        <row r="216">
          <cell r="F216" t="str">
            <v>Caixa e equivalentes de caixa</v>
          </cell>
          <cell r="L216">
            <v>160351.44</v>
          </cell>
        </row>
        <row r="217">
          <cell r="F217" t="str">
            <v>Caixa e equivalentes de caixa</v>
          </cell>
          <cell r="L217">
            <v>989.18</v>
          </cell>
        </row>
        <row r="218">
          <cell r="F218" t="str">
            <v>Caixa e equivalentes de caixa</v>
          </cell>
          <cell r="L218">
            <v>4429.87</v>
          </cell>
        </row>
        <row r="219">
          <cell r="F219" t="str">
            <v>Caixa e equivalentes de caixa</v>
          </cell>
          <cell r="L219">
            <v>2614.87</v>
          </cell>
        </row>
        <row r="220">
          <cell r="F220" t="str">
            <v>Caixa e equivalentes de caixa</v>
          </cell>
          <cell r="L220">
            <v>40000.199999999997</v>
          </cell>
        </row>
        <row r="221">
          <cell r="F221" t="str">
            <v>Caixa e equivalentes de caixa</v>
          </cell>
          <cell r="L221">
            <v>11537.9</v>
          </cell>
        </row>
        <row r="222">
          <cell r="F222" t="str">
            <v>Caixa e equivalentes de caixa</v>
          </cell>
          <cell r="L222">
            <v>415</v>
          </cell>
        </row>
        <row r="223">
          <cell r="F223" t="str">
            <v>Caixa e equivalentes de caixa</v>
          </cell>
          <cell r="L223">
            <v>6036</v>
          </cell>
        </row>
        <row r="224">
          <cell r="F224" t="str">
            <v>Contas a receber</v>
          </cell>
          <cell r="L224">
            <v>1084619822.0599999</v>
          </cell>
        </row>
        <row r="225">
          <cell r="F225" t="str">
            <v>Contas a receber</v>
          </cell>
          <cell r="L225">
            <v>-12119114.060000001</v>
          </cell>
        </row>
        <row r="226">
          <cell r="F226" t="str">
            <v>Contas a receber</v>
          </cell>
          <cell r="L226">
            <v>0</v>
          </cell>
        </row>
        <row r="227">
          <cell r="F227" t="str">
            <v>Contas a receber</v>
          </cell>
          <cell r="L227">
            <v>0</v>
          </cell>
        </row>
        <row r="228">
          <cell r="F228" t="str">
            <v>Contas a receber</v>
          </cell>
          <cell r="L228">
            <v>0</v>
          </cell>
        </row>
        <row r="229">
          <cell r="F229" t="str">
            <v>Contas a receber</v>
          </cell>
          <cell r="L229">
            <v>0</v>
          </cell>
        </row>
        <row r="230">
          <cell r="F230" t="str">
            <v>Contas a receber</v>
          </cell>
          <cell r="L230">
            <v>0</v>
          </cell>
        </row>
        <row r="231">
          <cell r="F231" t="str">
            <v>Contas a receber</v>
          </cell>
          <cell r="L231">
            <v>0</v>
          </cell>
        </row>
        <row r="232">
          <cell r="F232" t="str">
            <v>Contas a receber</v>
          </cell>
          <cell r="L232">
            <v>0</v>
          </cell>
        </row>
        <row r="233">
          <cell r="F233" t="str">
            <v>Contas a receber</v>
          </cell>
          <cell r="L233">
            <v>104659561.01999591</v>
          </cell>
        </row>
        <row r="234">
          <cell r="F234" t="str">
            <v>Contas a receber</v>
          </cell>
          <cell r="L234">
            <v>0</v>
          </cell>
        </row>
        <row r="235">
          <cell r="F235" t="str">
            <v>Contas a receber</v>
          </cell>
          <cell r="L235">
            <v>48279358.280004136</v>
          </cell>
        </row>
        <row r="236">
          <cell r="F236" t="str">
            <v>Contas a receber</v>
          </cell>
          <cell r="L236">
            <v>-283125.40999999997</v>
          </cell>
        </row>
        <row r="237">
          <cell r="F237" t="str">
            <v>Contas a receber</v>
          </cell>
          <cell r="L237">
            <v>30087.95</v>
          </cell>
        </row>
        <row r="238">
          <cell r="F238" t="str">
            <v>Contas a receber</v>
          </cell>
          <cell r="L238">
            <v>107455.68999999999</v>
          </cell>
        </row>
        <row r="239">
          <cell r="F239" t="str">
            <v>Contas a receber</v>
          </cell>
          <cell r="L239">
            <v>44716763.989999995</v>
          </cell>
        </row>
        <row r="240">
          <cell r="F240" t="str">
            <v>Contas a receber</v>
          </cell>
          <cell r="L240">
            <v>2271398.4500000002</v>
          </cell>
        </row>
        <row r="241">
          <cell r="F241" t="str">
            <v>Contas a receber</v>
          </cell>
          <cell r="L241">
            <v>1163453.6199999999</v>
          </cell>
        </row>
        <row r="242">
          <cell r="F242" t="str">
            <v>Contas a receber</v>
          </cell>
          <cell r="L242">
            <v>28878.21</v>
          </cell>
        </row>
        <row r="243">
          <cell r="F243" t="str">
            <v>Contas a receber</v>
          </cell>
          <cell r="L243">
            <v>1707813.2</v>
          </cell>
        </row>
        <row r="244">
          <cell r="F244" t="str">
            <v>Contas a receber</v>
          </cell>
          <cell r="L244">
            <v>-1321789.98</v>
          </cell>
        </row>
        <row r="245">
          <cell r="F245" t="str">
            <v>Contas a receber</v>
          </cell>
          <cell r="L245">
            <v>0</v>
          </cell>
        </row>
        <row r="246">
          <cell r="F246" t="str">
            <v>Contas a receber</v>
          </cell>
          <cell r="L246">
            <v>0</v>
          </cell>
        </row>
        <row r="247">
          <cell r="F247" t="str">
            <v>Contas a receber</v>
          </cell>
          <cell r="L247">
            <v>0</v>
          </cell>
        </row>
        <row r="248">
          <cell r="F248" t="str">
            <v>Contas a receber</v>
          </cell>
          <cell r="L248">
            <v>0</v>
          </cell>
        </row>
        <row r="249">
          <cell r="F249" t="str">
            <v>Instrumentos financeiros derivativos</v>
          </cell>
          <cell r="L249">
            <v>0</v>
          </cell>
        </row>
        <row r="250">
          <cell r="F250" t="str">
            <v>Contas a receber</v>
          </cell>
          <cell r="L250">
            <v>0</v>
          </cell>
        </row>
        <row r="251">
          <cell r="F251" t="str">
            <v>Contas a receber</v>
          </cell>
          <cell r="L251">
            <v>0</v>
          </cell>
        </row>
        <row r="252">
          <cell r="F252" t="str">
            <v>Outros ativos</v>
          </cell>
          <cell r="L252">
            <v>110176</v>
          </cell>
        </row>
        <row r="253">
          <cell r="F253" t="str">
            <v>Outros ativos</v>
          </cell>
          <cell r="L253">
            <v>0</v>
          </cell>
        </row>
        <row r="254">
          <cell r="F254" t="str">
            <v>Outros ativos</v>
          </cell>
          <cell r="L254">
            <v>0</v>
          </cell>
        </row>
        <row r="255">
          <cell r="F255" t="str">
            <v>Outros ativos</v>
          </cell>
          <cell r="L255">
            <v>1005378.39</v>
          </cell>
        </row>
        <row r="256">
          <cell r="F256" t="str">
            <v>Outros ativos</v>
          </cell>
          <cell r="L256">
            <v>-41264.799999999996</v>
          </cell>
        </row>
        <row r="257">
          <cell r="F257" t="str">
            <v>Outros ativos</v>
          </cell>
          <cell r="L257">
            <v>0</v>
          </cell>
        </row>
        <row r="258">
          <cell r="F258" t="str">
            <v>Outros ativos</v>
          </cell>
          <cell r="L258">
            <v>0</v>
          </cell>
        </row>
        <row r="259">
          <cell r="F259" t="str">
            <v>Outros ativos</v>
          </cell>
          <cell r="L259">
            <v>3283931.3299999996</v>
          </cell>
        </row>
        <row r="260">
          <cell r="F260" t="str">
            <v>Outros ativos</v>
          </cell>
          <cell r="L260">
            <v>0</v>
          </cell>
        </row>
        <row r="261">
          <cell r="F261" t="str">
            <v>Outros ativos</v>
          </cell>
          <cell r="L261">
            <v>2127894.7399999998</v>
          </cell>
        </row>
        <row r="262">
          <cell r="F262" t="str">
            <v>Outros ativos</v>
          </cell>
          <cell r="L262">
            <v>0</v>
          </cell>
        </row>
        <row r="263">
          <cell r="F263" t="str">
            <v>Outros ativos</v>
          </cell>
          <cell r="L263">
            <v>174729.40000000002</v>
          </cell>
        </row>
        <row r="264">
          <cell r="F264" t="str">
            <v>Outros ativos</v>
          </cell>
          <cell r="L264">
            <v>1283933.8599999999</v>
          </cell>
        </row>
        <row r="265">
          <cell r="F265" t="str">
            <v>Outros ativos</v>
          </cell>
          <cell r="L265">
            <v>20262.86</v>
          </cell>
        </row>
        <row r="266">
          <cell r="F266" t="str">
            <v>Outros ativos</v>
          </cell>
          <cell r="L266">
            <v>0</v>
          </cell>
        </row>
        <row r="267">
          <cell r="F267" t="str">
            <v>Outros ativos</v>
          </cell>
          <cell r="L267">
            <v>0</v>
          </cell>
        </row>
        <row r="268">
          <cell r="F268" t="str">
            <v>Outros ativos</v>
          </cell>
          <cell r="L268">
            <v>16014210.77</v>
          </cell>
        </row>
        <row r="269">
          <cell r="F269" t="str">
            <v>Outros ativos</v>
          </cell>
          <cell r="L269">
            <v>22200000</v>
          </cell>
        </row>
        <row r="270">
          <cell r="F270" t="str">
            <v>Outros ativos</v>
          </cell>
          <cell r="L270">
            <v>0</v>
          </cell>
        </row>
        <row r="271">
          <cell r="F271" t="str">
            <v>Outros ativos</v>
          </cell>
          <cell r="L271">
            <v>68124.45</v>
          </cell>
        </row>
        <row r="272">
          <cell r="F272" t="str">
            <v>Outros ativos</v>
          </cell>
          <cell r="L272">
            <v>165751.21</v>
          </cell>
        </row>
        <row r="273">
          <cell r="F273" t="str">
            <v>Outros ativos</v>
          </cell>
          <cell r="L273">
            <v>0</v>
          </cell>
        </row>
        <row r="274">
          <cell r="F274" t="str">
            <v>Tributos a compensar</v>
          </cell>
          <cell r="L274">
            <v>149178180.34562695</v>
          </cell>
        </row>
        <row r="275">
          <cell r="F275" t="str">
            <v>Imposto de renda e contribuição social a compensar</v>
          </cell>
          <cell r="L275">
            <v>4013728.96</v>
          </cell>
        </row>
        <row r="276">
          <cell r="F276" t="str">
            <v>Tributos a compensar</v>
          </cell>
          <cell r="L276">
            <v>107886601.16522768</v>
          </cell>
        </row>
        <row r="277">
          <cell r="F277" t="str">
            <v>Imposto de renda e contribuição social a compensar</v>
          </cell>
          <cell r="L277">
            <v>42642480.359999992</v>
          </cell>
        </row>
        <row r="278">
          <cell r="F278" t="str">
            <v>Tributos a compensar</v>
          </cell>
          <cell r="L278">
            <v>8428131.4699999988</v>
          </cell>
        </row>
        <row r="279">
          <cell r="F279" t="str">
            <v>Tributos a compensar</v>
          </cell>
          <cell r="L279">
            <v>24324.750000000004</v>
          </cell>
        </row>
        <row r="280">
          <cell r="F280" t="str">
            <v>Tributos a compensar</v>
          </cell>
          <cell r="L280">
            <v>17653819.356155846</v>
          </cell>
        </row>
        <row r="281">
          <cell r="F281" t="str">
            <v>Tributos a compensar</v>
          </cell>
          <cell r="L281">
            <v>723047.66999999993</v>
          </cell>
        </row>
        <row r="282">
          <cell r="F282" t="str">
            <v>Tributos a compensar</v>
          </cell>
          <cell r="L282">
            <v>9998791.9899999984</v>
          </cell>
        </row>
        <row r="283">
          <cell r="F283" t="str">
            <v>Tributos a compensar</v>
          </cell>
          <cell r="L283">
            <v>4567.369999999999</v>
          </cell>
        </row>
        <row r="284">
          <cell r="F284" t="str">
            <v>Tributos a compensar</v>
          </cell>
          <cell r="L284">
            <v>0</v>
          </cell>
        </row>
        <row r="285">
          <cell r="F285" t="str">
            <v>Tributos a compensar</v>
          </cell>
          <cell r="L285">
            <v>0</v>
          </cell>
        </row>
        <row r="286">
          <cell r="F286" t="str">
            <v>Tributos a compensar</v>
          </cell>
          <cell r="L286">
            <v>0</v>
          </cell>
        </row>
        <row r="287">
          <cell r="F287" t="str">
            <v>Tributos a compensar</v>
          </cell>
          <cell r="L287">
            <v>0.54</v>
          </cell>
        </row>
        <row r="288">
          <cell r="F288" t="str">
            <v>Tributos a compensar</v>
          </cell>
          <cell r="L288">
            <v>8922.1</v>
          </cell>
        </row>
        <row r="289">
          <cell r="F289" t="str">
            <v>Tributos a compensar</v>
          </cell>
          <cell r="L289">
            <v>0</v>
          </cell>
        </row>
        <row r="290">
          <cell r="F290" t="str">
            <v>Tributos a compensar</v>
          </cell>
          <cell r="L290">
            <v>6402.72</v>
          </cell>
        </row>
        <row r="291">
          <cell r="F291" t="str">
            <v>Tributos a compensar</v>
          </cell>
          <cell r="L291">
            <v>844497.61</v>
          </cell>
        </row>
        <row r="292">
          <cell r="F292" t="str">
            <v>Tributos a compensar</v>
          </cell>
          <cell r="L292">
            <v>0</v>
          </cell>
        </row>
        <row r="293">
          <cell r="F293" t="str">
            <v>Tributos a compensar</v>
          </cell>
          <cell r="L293">
            <v>0</v>
          </cell>
        </row>
        <row r="294">
          <cell r="F294" t="str">
            <v>Tributos a compensar</v>
          </cell>
          <cell r="L294">
            <v>0</v>
          </cell>
        </row>
        <row r="295">
          <cell r="F295" t="str">
            <v>Tributos a compensar</v>
          </cell>
          <cell r="L295">
            <v>0</v>
          </cell>
        </row>
        <row r="296">
          <cell r="F296" t="str">
            <v>Tributos a compensar</v>
          </cell>
          <cell r="L296">
            <v>6850842.669999999</v>
          </cell>
        </row>
        <row r="297">
          <cell r="F297" t="str">
            <v>Tributos a compensar</v>
          </cell>
          <cell r="L297">
            <v>168383.96</v>
          </cell>
        </row>
        <row r="298">
          <cell r="F298" t="str">
            <v>Tributos a compensar</v>
          </cell>
          <cell r="L298">
            <v>0</v>
          </cell>
        </row>
        <row r="299">
          <cell r="F299" t="str">
            <v>Tributos a compensar</v>
          </cell>
          <cell r="L299">
            <v>0</v>
          </cell>
        </row>
        <row r="300">
          <cell r="F300" t="str">
            <v>Tributos a compensar</v>
          </cell>
          <cell r="L300">
            <v>0</v>
          </cell>
        </row>
        <row r="301">
          <cell r="F301" t="str">
            <v>Tributos a compensar</v>
          </cell>
          <cell r="L301">
            <v>0</v>
          </cell>
        </row>
        <row r="302">
          <cell r="F302" t="str">
            <v>Tributos a compensar</v>
          </cell>
          <cell r="L302">
            <v>0</v>
          </cell>
        </row>
        <row r="303">
          <cell r="F303" t="str">
            <v>Tributos a compensar</v>
          </cell>
          <cell r="L303">
            <v>0</v>
          </cell>
        </row>
        <row r="304">
          <cell r="F304" t="str">
            <v>Tributos a compensar</v>
          </cell>
          <cell r="L304">
            <v>0</v>
          </cell>
        </row>
        <row r="305">
          <cell r="F305" t="str">
            <v>Tributos a compensar</v>
          </cell>
          <cell r="L305">
            <v>0</v>
          </cell>
        </row>
        <row r="306">
          <cell r="F306" t="str">
            <v>Tributos a compensar</v>
          </cell>
          <cell r="L306">
            <v>112682.85</v>
          </cell>
        </row>
        <row r="307">
          <cell r="F307" t="str">
            <v>Tributos a compensar</v>
          </cell>
          <cell r="L307">
            <v>0</v>
          </cell>
        </row>
        <row r="308">
          <cell r="F308" t="str">
            <v>Tributos a compensar</v>
          </cell>
          <cell r="L308">
            <v>0</v>
          </cell>
        </row>
        <row r="309">
          <cell r="F309" t="str">
            <v>Tributos a compensar</v>
          </cell>
          <cell r="L309">
            <v>0</v>
          </cell>
        </row>
        <row r="310">
          <cell r="F310" t="str">
            <v>Tributos a compensar</v>
          </cell>
          <cell r="L310">
            <v>294175.64</v>
          </cell>
        </row>
        <row r="311">
          <cell r="F311" t="str">
            <v>Tributos a compensar</v>
          </cell>
          <cell r="L311">
            <v>1354717.23</v>
          </cell>
        </row>
        <row r="312">
          <cell r="F312" t="str">
            <v>Tributos a compensar</v>
          </cell>
          <cell r="L312">
            <v>0</v>
          </cell>
        </row>
        <row r="313">
          <cell r="F313" t="str">
            <v>Tributos a compensar</v>
          </cell>
          <cell r="L313">
            <v>0</v>
          </cell>
        </row>
        <row r="314">
          <cell r="F314" t="str">
            <v>Tributos a compensar</v>
          </cell>
          <cell r="L314">
            <v>109282338.82000001</v>
          </cell>
        </row>
        <row r="315">
          <cell r="F315" t="str">
            <v>Tributos a compensar</v>
          </cell>
          <cell r="L315">
            <v>0</v>
          </cell>
        </row>
        <row r="316">
          <cell r="F316" t="str">
            <v>Tributos a compensar</v>
          </cell>
          <cell r="L316">
            <v>31635.13</v>
          </cell>
        </row>
        <row r="317">
          <cell r="F317" t="str">
            <v>Tributos a compensar</v>
          </cell>
          <cell r="L317">
            <v>0</v>
          </cell>
        </row>
        <row r="318">
          <cell r="F318" t="str">
            <v>Tributos a compensar</v>
          </cell>
          <cell r="L318">
            <v>0</v>
          </cell>
        </row>
        <row r="319">
          <cell r="F319" t="str">
            <v>Tributos a compensar</v>
          </cell>
          <cell r="L319">
            <v>2779293.1999999997</v>
          </cell>
        </row>
        <row r="320">
          <cell r="F320" t="str">
            <v>Tributos a compensar</v>
          </cell>
          <cell r="L320">
            <v>433461.58</v>
          </cell>
        </row>
        <row r="321">
          <cell r="F321" t="str">
            <v>Outros ativos</v>
          </cell>
          <cell r="L321">
            <v>0</v>
          </cell>
        </row>
        <row r="322">
          <cell r="F322" t="str">
            <v>Instrumentos financeiros derivativos</v>
          </cell>
          <cell r="L322">
            <v>-19095445.27</v>
          </cell>
        </row>
        <row r="323">
          <cell r="F323" t="str">
            <v>Outros ativos</v>
          </cell>
          <cell r="L323">
            <v>21478913.98</v>
          </cell>
        </row>
        <row r="324">
          <cell r="F324" t="str">
            <v>Estoques</v>
          </cell>
          <cell r="L324">
            <v>0</v>
          </cell>
        </row>
        <row r="325">
          <cell r="F325" t="str">
            <v>Estoques</v>
          </cell>
          <cell r="L325">
            <v>0</v>
          </cell>
        </row>
        <row r="326">
          <cell r="F326" t="str">
            <v>Estoques</v>
          </cell>
          <cell r="L326">
            <v>0</v>
          </cell>
        </row>
        <row r="327">
          <cell r="F327" t="str">
            <v>Estoques</v>
          </cell>
          <cell r="L327">
            <v>-64622741.710000001</v>
          </cell>
        </row>
        <row r="328">
          <cell r="F328" t="str">
            <v>Estoques</v>
          </cell>
          <cell r="L328">
            <v>-7243633.6082978621</v>
          </cell>
        </row>
        <row r="329">
          <cell r="F329" t="str">
            <v>Estoques</v>
          </cell>
          <cell r="L329">
            <v>0</v>
          </cell>
        </row>
        <row r="330">
          <cell r="F330" t="str">
            <v>Estoques</v>
          </cell>
          <cell r="L330">
            <v>0</v>
          </cell>
        </row>
        <row r="331">
          <cell r="F331" t="str">
            <v>Estoques</v>
          </cell>
          <cell r="L331">
            <v>0</v>
          </cell>
        </row>
        <row r="332">
          <cell r="F332" t="str">
            <v>Estoques</v>
          </cell>
          <cell r="L332">
            <v>-397937070.05992579</v>
          </cell>
        </row>
        <row r="333">
          <cell r="F333" t="str">
            <v>Estoques</v>
          </cell>
          <cell r="L333">
            <v>1736700834.0600002</v>
          </cell>
        </row>
        <row r="334">
          <cell r="F334" t="str">
            <v>Estoques</v>
          </cell>
          <cell r="L334">
            <v>3211973.92</v>
          </cell>
        </row>
        <row r="335">
          <cell r="F335" t="str">
            <v>Estoques</v>
          </cell>
          <cell r="L335">
            <v>0</v>
          </cell>
        </row>
        <row r="336">
          <cell r="F336" t="str">
            <v>Estoques</v>
          </cell>
          <cell r="L336">
            <v>0</v>
          </cell>
        </row>
        <row r="337">
          <cell r="F337" t="str">
            <v>Estoques</v>
          </cell>
          <cell r="L337">
            <v>18126460.248571992</v>
          </cell>
        </row>
        <row r="338">
          <cell r="F338" t="str">
            <v>Estoques</v>
          </cell>
          <cell r="L338">
            <v>0</v>
          </cell>
        </row>
        <row r="339">
          <cell r="F339" t="str">
            <v>Estoques</v>
          </cell>
          <cell r="L339">
            <v>-11532350.789999999</v>
          </cell>
        </row>
        <row r="340">
          <cell r="F340" t="str">
            <v>Estoques</v>
          </cell>
          <cell r="L340">
            <v>-56774621.729999997</v>
          </cell>
        </row>
        <row r="341">
          <cell r="F341" t="str">
            <v>Estoques</v>
          </cell>
          <cell r="L341">
            <v>-6663763</v>
          </cell>
        </row>
        <row r="342">
          <cell r="F342" t="str">
            <v>Estoques</v>
          </cell>
          <cell r="L342">
            <v>6778324.8399999999</v>
          </cell>
        </row>
        <row r="343">
          <cell r="F343" t="str">
            <v>Estoques</v>
          </cell>
          <cell r="L343">
            <v>-10661259.029999999</v>
          </cell>
        </row>
        <row r="344">
          <cell r="F344" t="str">
            <v>Estoques</v>
          </cell>
          <cell r="L344">
            <v>0</v>
          </cell>
        </row>
        <row r="345">
          <cell r="F345" t="str">
            <v>Estoques</v>
          </cell>
          <cell r="L345">
            <v>0</v>
          </cell>
        </row>
        <row r="346">
          <cell r="F346" t="str">
            <v>Estoques</v>
          </cell>
          <cell r="L346">
            <v>0</v>
          </cell>
        </row>
        <row r="347">
          <cell r="F347" t="str">
            <v>Estoques</v>
          </cell>
          <cell r="L347">
            <v>-2752259.41</v>
          </cell>
        </row>
        <row r="348">
          <cell r="F348" t="str">
            <v>Estoques</v>
          </cell>
          <cell r="L348">
            <v>1609196.85</v>
          </cell>
        </row>
        <row r="349">
          <cell r="F349" t="str">
            <v>Estoques</v>
          </cell>
          <cell r="L349">
            <v>381782.78</v>
          </cell>
        </row>
        <row r="350">
          <cell r="F350" t="str">
            <v>Estoques</v>
          </cell>
          <cell r="L350">
            <v>498380.27000000142</v>
          </cell>
        </row>
        <row r="351">
          <cell r="F351" t="str">
            <v>Estoques</v>
          </cell>
          <cell r="L351">
            <v>0</v>
          </cell>
        </row>
        <row r="352">
          <cell r="F352" t="str">
            <v>Estoques</v>
          </cell>
          <cell r="L352">
            <v>0</v>
          </cell>
        </row>
        <row r="353">
          <cell r="F353" t="str">
            <v>Estoques</v>
          </cell>
          <cell r="L353">
            <v>9158691.8199999984</v>
          </cell>
        </row>
        <row r="354">
          <cell r="F354" t="str">
            <v>Estoques</v>
          </cell>
          <cell r="L354">
            <v>271634959.80000001</v>
          </cell>
        </row>
        <row r="355">
          <cell r="F355" t="str">
            <v>Estoques</v>
          </cell>
          <cell r="L355">
            <v>0</v>
          </cell>
        </row>
        <row r="356">
          <cell r="F356" t="str">
            <v>Estoques</v>
          </cell>
          <cell r="L356">
            <v>-293993.42</v>
          </cell>
        </row>
        <row r="357">
          <cell r="F357" t="str">
            <v>Estoques</v>
          </cell>
          <cell r="L357">
            <v>0</v>
          </cell>
        </row>
        <row r="358">
          <cell r="F358" t="str">
            <v>Estoques</v>
          </cell>
          <cell r="L358">
            <v>0</v>
          </cell>
        </row>
        <row r="359">
          <cell r="F359" t="str">
            <v>Estoques</v>
          </cell>
          <cell r="L359">
            <v>13364.65</v>
          </cell>
        </row>
        <row r="360">
          <cell r="F360" t="str">
            <v>Outros ativos</v>
          </cell>
          <cell r="L360">
            <v>9772623.9399999995</v>
          </cell>
        </row>
        <row r="361">
          <cell r="F361" t="str">
            <v>Outros ativos</v>
          </cell>
          <cell r="L361">
            <v>0</v>
          </cell>
        </row>
        <row r="362">
          <cell r="F362" t="str">
            <v>Outros ativos</v>
          </cell>
          <cell r="L362">
            <v>-211860.39</v>
          </cell>
        </row>
        <row r="363">
          <cell r="F363" t="str">
            <v>Outros ativos</v>
          </cell>
          <cell r="L363">
            <v>24934238.021599114</v>
          </cell>
        </row>
        <row r="364">
          <cell r="F364" t="str">
            <v>Outros ativos</v>
          </cell>
          <cell r="L364">
            <v>0</v>
          </cell>
        </row>
        <row r="365">
          <cell r="F365" t="str">
            <v>Outros ativos</v>
          </cell>
          <cell r="L365">
            <v>-26493534.539999999</v>
          </cell>
        </row>
        <row r="366">
          <cell r="F366" t="str">
            <v>Outros ativos</v>
          </cell>
          <cell r="L366">
            <v>5336993.8899999997</v>
          </cell>
        </row>
        <row r="367">
          <cell r="F367" t="str">
            <v>Empréstimos</v>
          </cell>
          <cell r="L367">
            <v>0</v>
          </cell>
        </row>
        <row r="368">
          <cell r="F368" t="str">
            <v>Mutuos a Receber</v>
          </cell>
          <cell r="L368">
            <v>15725708.549999997</v>
          </cell>
        </row>
        <row r="369">
          <cell r="F369" t="str">
            <v>Mutuos a Receber</v>
          </cell>
          <cell r="L369">
            <v>-5281319.3099999996</v>
          </cell>
        </row>
        <row r="370">
          <cell r="F370" t="str">
            <v>Partes Relacionadas - outras contas a pagar</v>
          </cell>
          <cell r="L370">
            <v>0</v>
          </cell>
        </row>
        <row r="371">
          <cell r="F371" t="str">
            <v>Outros ativos</v>
          </cell>
          <cell r="L371">
            <v>0</v>
          </cell>
        </row>
        <row r="372">
          <cell r="F372" t="str">
            <v>Contas a receber</v>
          </cell>
          <cell r="L372">
            <v>0</v>
          </cell>
        </row>
        <row r="373">
          <cell r="F373" t="str">
            <v>Outros ativos</v>
          </cell>
          <cell r="L373">
            <v>0</v>
          </cell>
        </row>
        <row r="374">
          <cell r="F374" t="str">
            <v>Caixa e equivalentes de caixa</v>
          </cell>
          <cell r="L374">
            <v>0</v>
          </cell>
        </row>
        <row r="375">
          <cell r="F375" t="str">
            <v>Caixa e equivalentes de caixa</v>
          </cell>
          <cell r="L375">
            <v>0</v>
          </cell>
        </row>
        <row r="376">
          <cell r="F376" t="str">
            <v>Caixa e equivalentes de caixa</v>
          </cell>
          <cell r="L376">
            <v>0</v>
          </cell>
        </row>
        <row r="377">
          <cell r="F377" t="str">
            <v>Investimentos</v>
          </cell>
          <cell r="L377">
            <v>0</v>
          </cell>
        </row>
        <row r="378">
          <cell r="F378" t="str">
            <v>Dividendos a receber</v>
          </cell>
          <cell r="L378">
            <v>0</v>
          </cell>
        </row>
        <row r="379">
          <cell r="F379" t="str">
            <v>Depósitos judiciais</v>
          </cell>
          <cell r="L379">
            <v>3764495.96</v>
          </cell>
        </row>
        <row r="380">
          <cell r="F380" t="str">
            <v>Depósitos judiciais</v>
          </cell>
          <cell r="L380">
            <v>179135742.38</v>
          </cell>
        </row>
        <row r="381">
          <cell r="F381" t="str">
            <v>Depósitos judiciais</v>
          </cell>
          <cell r="L381">
            <v>1923224.5399999998</v>
          </cell>
        </row>
        <row r="382">
          <cell r="F382" t="str">
            <v>Depósitos judiciais</v>
          </cell>
          <cell r="L382">
            <v>2197364.1199999996</v>
          </cell>
        </row>
        <row r="383">
          <cell r="F383" t="str">
            <v>Depósitos judiciais</v>
          </cell>
          <cell r="L383">
            <v>732.04</v>
          </cell>
        </row>
        <row r="384">
          <cell r="F384" t="str">
            <v>Depósitos judiciais</v>
          </cell>
          <cell r="L384">
            <v>0</v>
          </cell>
        </row>
        <row r="385">
          <cell r="F385" t="str">
            <v>Depósitos judiciais</v>
          </cell>
          <cell r="L385">
            <v>417405.92000000004</v>
          </cell>
        </row>
        <row r="386">
          <cell r="F386" t="str">
            <v>Outros ativos</v>
          </cell>
          <cell r="L386">
            <v>7002003.2699999996</v>
          </cell>
        </row>
        <row r="387">
          <cell r="F387" t="str">
            <v>Outros ativos</v>
          </cell>
          <cell r="L387">
            <v>8278312.5300000003</v>
          </cell>
        </row>
        <row r="388">
          <cell r="F388" t="str">
            <v>Depósitos judiciais</v>
          </cell>
          <cell r="L388">
            <v>3531482.23</v>
          </cell>
        </row>
        <row r="389">
          <cell r="F389" t="str">
            <v>Depósitos judiciais</v>
          </cell>
          <cell r="L389">
            <v>42263392.32</v>
          </cell>
        </row>
        <row r="390">
          <cell r="F390" t="str">
            <v>Outros ativos</v>
          </cell>
          <cell r="L390">
            <v>25878089.359999999</v>
          </cell>
        </row>
        <row r="391">
          <cell r="F391" t="str">
            <v>Tributos a compensar</v>
          </cell>
          <cell r="L391">
            <v>0</v>
          </cell>
        </row>
        <row r="392">
          <cell r="F392" t="str">
            <v>Tributos a compensar</v>
          </cell>
          <cell r="L392">
            <v>346445294.53000003</v>
          </cell>
        </row>
        <row r="393">
          <cell r="F393" t="str">
            <v>Tributos a compensar</v>
          </cell>
          <cell r="L393">
            <v>77164552.310000002</v>
          </cell>
        </row>
        <row r="394">
          <cell r="F394" t="str">
            <v>Tributos a compensar</v>
          </cell>
          <cell r="L394">
            <v>31801190.080000002</v>
          </cell>
        </row>
        <row r="395">
          <cell r="F395" t="str">
            <v>Tributos a compensar</v>
          </cell>
          <cell r="L395">
            <v>0</v>
          </cell>
        </row>
        <row r="396">
          <cell r="F396" t="str">
            <v>Tributos a compensar</v>
          </cell>
          <cell r="L396">
            <v>0</v>
          </cell>
        </row>
        <row r="397">
          <cell r="F397" t="str">
            <v>Tributos a compensar</v>
          </cell>
          <cell r="L397">
            <v>-77431247.840000004</v>
          </cell>
        </row>
        <row r="398">
          <cell r="F398" t="str">
            <v>Imposto de renda e contribuição social a compensar</v>
          </cell>
          <cell r="L398">
            <v>90864965.140000015</v>
          </cell>
        </row>
        <row r="399">
          <cell r="F399" t="str">
            <v>Tributos a compensar</v>
          </cell>
          <cell r="L399">
            <v>0</v>
          </cell>
        </row>
        <row r="400">
          <cell r="F400" t="str">
            <v>Tributos a compensar</v>
          </cell>
          <cell r="L400">
            <v>0</v>
          </cell>
        </row>
        <row r="401">
          <cell r="F401" t="str">
            <v>Tributos a compensar</v>
          </cell>
          <cell r="L401">
            <v>0</v>
          </cell>
        </row>
        <row r="402">
          <cell r="F402" t="str">
            <v>Ativo fiscal diferido</v>
          </cell>
          <cell r="L402">
            <v>624683135.04498148</v>
          </cell>
        </row>
        <row r="403">
          <cell r="F403" t="str">
            <v>Ativo fiscal diferido</v>
          </cell>
          <cell r="L403">
            <v>226103472.6833933</v>
          </cell>
        </row>
        <row r="404">
          <cell r="F404" t="str">
            <v>Investimentos</v>
          </cell>
          <cell r="L404">
            <v>0</v>
          </cell>
        </row>
        <row r="405">
          <cell r="F405" t="str">
            <v>Investimentos</v>
          </cell>
          <cell r="L405">
            <v>0</v>
          </cell>
        </row>
        <row r="406">
          <cell r="F406" t="str">
            <v>Investimentos</v>
          </cell>
          <cell r="L406">
            <v>0</v>
          </cell>
        </row>
        <row r="407">
          <cell r="F407" t="str">
            <v>Investimentos</v>
          </cell>
          <cell r="L407">
            <v>0</v>
          </cell>
        </row>
        <row r="408">
          <cell r="F408" t="str">
            <v>Investimentos</v>
          </cell>
          <cell r="L408">
            <v>0</v>
          </cell>
        </row>
        <row r="409">
          <cell r="F409" t="str">
            <v>Investimentos</v>
          </cell>
          <cell r="L409">
            <v>0</v>
          </cell>
        </row>
        <row r="410">
          <cell r="F410" t="str">
            <v>Investimentos</v>
          </cell>
          <cell r="L410">
            <v>0</v>
          </cell>
        </row>
        <row r="411">
          <cell r="F411" t="str">
            <v>Investimentos</v>
          </cell>
          <cell r="L411">
            <v>0</v>
          </cell>
        </row>
        <row r="412">
          <cell r="F412" t="str">
            <v>Investimentos</v>
          </cell>
          <cell r="L412">
            <v>0</v>
          </cell>
        </row>
        <row r="413">
          <cell r="F413" t="str">
            <v>Investimentos</v>
          </cell>
          <cell r="L413">
            <v>0</v>
          </cell>
        </row>
        <row r="414">
          <cell r="F414" t="str">
            <v>Investimentos</v>
          </cell>
          <cell r="L414">
            <v>0</v>
          </cell>
        </row>
        <row r="415">
          <cell r="F415" t="str">
            <v>Investimentos</v>
          </cell>
          <cell r="L415">
            <v>0</v>
          </cell>
        </row>
        <row r="416">
          <cell r="F416" t="str">
            <v>Investimentos</v>
          </cell>
          <cell r="L416">
            <v>0</v>
          </cell>
        </row>
        <row r="417">
          <cell r="F417" t="str">
            <v>Investimentos</v>
          </cell>
          <cell r="L417">
            <v>0</v>
          </cell>
        </row>
        <row r="418">
          <cell r="F418" t="str">
            <v>Investimentos</v>
          </cell>
          <cell r="L418">
            <v>0</v>
          </cell>
        </row>
        <row r="419">
          <cell r="F419" t="str">
            <v>Investimentos</v>
          </cell>
          <cell r="L419">
            <v>0</v>
          </cell>
        </row>
        <row r="420">
          <cell r="F420" t="str">
            <v>Investimentos</v>
          </cell>
          <cell r="L420">
            <v>0</v>
          </cell>
        </row>
        <row r="421">
          <cell r="F421" t="str">
            <v>Investimentos</v>
          </cell>
          <cell r="L421">
            <v>0</v>
          </cell>
        </row>
        <row r="422">
          <cell r="F422" t="str">
            <v>Investimentos</v>
          </cell>
          <cell r="L422">
            <v>0</v>
          </cell>
        </row>
        <row r="423">
          <cell r="F423" t="str">
            <v>Investimentos</v>
          </cell>
          <cell r="L423">
            <v>0</v>
          </cell>
        </row>
        <row r="424">
          <cell r="F424" t="str">
            <v>Investimentos</v>
          </cell>
          <cell r="L424">
            <v>0</v>
          </cell>
        </row>
        <row r="425">
          <cell r="F425" t="str">
            <v>Investimentos</v>
          </cell>
          <cell r="L425">
            <v>0</v>
          </cell>
        </row>
        <row r="426">
          <cell r="F426" t="str">
            <v>Investimentos</v>
          </cell>
          <cell r="L426">
            <v>0</v>
          </cell>
        </row>
        <row r="427">
          <cell r="F427" t="str">
            <v>Investimentos</v>
          </cell>
          <cell r="L427">
            <v>0</v>
          </cell>
        </row>
        <row r="428">
          <cell r="F428" t="str">
            <v>Investimentos</v>
          </cell>
          <cell r="L428">
            <v>0</v>
          </cell>
        </row>
        <row r="429">
          <cell r="F429" t="str">
            <v>Investimentos</v>
          </cell>
          <cell r="L429">
            <v>0</v>
          </cell>
        </row>
        <row r="430">
          <cell r="F430" t="str">
            <v>Investimentos</v>
          </cell>
          <cell r="L430">
            <v>0</v>
          </cell>
        </row>
        <row r="431">
          <cell r="F431" t="str">
            <v>Investimentos</v>
          </cell>
          <cell r="L431">
            <v>2064951.41</v>
          </cell>
        </row>
        <row r="432">
          <cell r="F432" t="str">
            <v>Investimentos</v>
          </cell>
          <cell r="L432">
            <v>0</v>
          </cell>
        </row>
        <row r="433">
          <cell r="F433" t="str">
            <v>Investimentos</v>
          </cell>
          <cell r="L433">
            <v>0</v>
          </cell>
        </row>
        <row r="434">
          <cell r="F434" t="str">
            <v>Investimentos</v>
          </cell>
          <cell r="L434">
            <v>2813961.95</v>
          </cell>
        </row>
        <row r="435">
          <cell r="F435" t="str">
            <v>Intangível</v>
          </cell>
          <cell r="L435">
            <v>0</v>
          </cell>
        </row>
        <row r="436">
          <cell r="F436" t="str">
            <v>Intangível</v>
          </cell>
          <cell r="L436">
            <v>0</v>
          </cell>
        </row>
        <row r="437">
          <cell r="F437" t="str">
            <v>Intangível</v>
          </cell>
          <cell r="L437">
            <v>0</v>
          </cell>
        </row>
        <row r="438">
          <cell r="F438" t="str">
            <v>Intangível</v>
          </cell>
          <cell r="L438">
            <v>0</v>
          </cell>
        </row>
        <row r="439">
          <cell r="F439" t="str">
            <v>Intangível</v>
          </cell>
          <cell r="L439">
            <v>0</v>
          </cell>
        </row>
        <row r="440">
          <cell r="F440" t="str">
            <v>Intangível</v>
          </cell>
          <cell r="L440">
            <v>0</v>
          </cell>
        </row>
        <row r="441">
          <cell r="F441" t="str">
            <v>Outros ativos</v>
          </cell>
          <cell r="L441">
            <v>34744792.810000002</v>
          </cell>
        </row>
        <row r="442">
          <cell r="F442" t="str">
            <v>Investimentos</v>
          </cell>
          <cell r="L442">
            <v>0</v>
          </cell>
        </row>
        <row r="443">
          <cell r="F443" t="str">
            <v>Investimentos</v>
          </cell>
          <cell r="L443">
            <v>0</v>
          </cell>
        </row>
        <row r="444">
          <cell r="F444" t="str">
            <v>Outros ativos</v>
          </cell>
          <cell r="L444">
            <v>323523.13</v>
          </cell>
        </row>
        <row r="445">
          <cell r="F445" t="str">
            <v>Caixa e equivalentes de caixa</v>
          </cell>
          <cell r="L445">
            <v>0</v>
          </cell>
        </row>
        <row r="446">
          <cell r="F446" t="str">
            <v>Outros ativos</v>
          </cell>
          <cell r="L446">
            <v>7249817.2800000003</v>
          </cell>
        </row>
        <row r="447">
          <cell r="F447" t="str">
            <v>Imobilizado</v>
          </cell>
          <cell r="L447">
            <v>0</v>
          </cell>
        </row>
        <row r="448">
          <cell r="F448" t="str">
            <v>Imobilizado</v>
          </cell>
          <cell r="L448">
            <v>0</v>
          </cell>
        </row>
        <row r="449">
          <cell r="F449" t="str">
            <v>Imobilizado</v>
          </cell>
          <cell r="L449">
            <v>189638414.84999996</v>
          </cell>
        </row>
        <row r="450">
          <cell r="F450" t="str">
            <v>Imobilizado</v>
          </cell>
          <cell r="L450">
            <v>61053118.660000004</v>
          </cell>
        </row>
        <row r="451">
          <cell r="F451" t="str">
            <v>Imobilizado</v>
          </cell>
          <cell r="L451">
            <v>246107976.38999999</v>
          </cell>
        </row>
        <row r="452">
          <cell r="F452" t="str">
            <v>Imobilizado</v>
          </cell>
          <cell r="L452">
            <v>2727390.14</v>
          </cell>
        </row>
        <row r="453">
          <cell r="F453" t="str">
            <v>Imobilizado</v>
          </cell>
          <cell r="L453">
            <v>0</v>
          </cell>
        </row>
        <row r="454">
          <cell r="F454" t="str">
            <v>Imobilizado</v>
          </cell>
          <cell r="L454">
            <v>0</v>
          </cell>
        </row>
        <row r="455">
          <cell r="F455" t="str">
            <v>Imobilizado</v>
          </cell>
          <cell r="L455">
            <v>0</v>
          </cell>
        </row>
        <row r="456">
          <cell r="F456" t="str">
            <v>Imobilizado</v>
          </cell>
          <cell r="L456">
            <v>441105254.62000006</v>
          </cell>
        </row>
        <row r="457">
          <cell r="F457" t="str">
            <v>Imobilizado</v>
          </cell>
          <cell r="L457">
            <v>1994174.96</v>
          </cell>
        </row>
        <row r="458">
          <cell r="F458" t="str">
            <v>Imobilizado</v>
          </cell>
          <cell r="L458">
            <v>0</v>
          </cell>
        </row>
        <row r="459">
          <cell r="F459" t="str">
            <v>Imobilizado</v>
          </cell>
          <cell r="L459">
            <v>0</v>
          </cell>
        </row>
        <row r="460">
          <cell r="F460" t="str">
            <v>Imobilizado</v>
          </cell>
          <cell r="L460">
            <v>0</v>
          </cell>
        </row>
        <row r="461">
          <cell r="F461" t="str">
            <v>Imobilizado</v>
          </cell>
          <cell r="L461">
            <v>242984847.53000003</v>
          </cell>
        </row>
        <row r="462">
          <cell r="F462" t="str">
            <v>Imobilizado</v>
          </cell>
          <cell r="L462">
            <v>0</v>
          </cell>
        </row>
        <row r="463">
          <cell r="F463" t="str">
            <v>Imobilizado</v>
          </cell>
          <cell r="L463">
            <v>0</v>
          </cell>
        </row>
        <row r="464">
          <cell r="F464" t="str">
            <v>Imobilizado</v>
          </cell>
          <cell r="L464">
            <v>-134542224.98000002</v>
          </cell>
        </row>
        <row r="465">
          <cell r="F465" t="str">
            <v>Imobilizado</v>
          </cell>
          <cell r="L465">
            <v>-45347282.289999999</v>
          </cell>
        </row>
        <row r="466">
          <cell r="F466" t="str">
            <v>Imobilizado</v>
          </cell>
          <cell r="L466">
            <v>-126411805.83000001</v>
          </cell>
        </row>
        <row r="467">
          <cell r="F467" t="str">
            <v>Imobilizado</v>
          </cell>
          <cell r="L467">
            <v>-2727390.14</v>
          </cell>
        </row>
        <row r="468">
          <cell r="F468" t="str">
            <v>Imobilizado</v>
          </cell>
          <cell r="L468">
            <v>0</v>
          </cell>
        </row>
        <row r="469">
          <cell r="F469" t="str">
            <v>Imobilizado</v>
          </cell>
          <cell r="L469">
            <v>0</v>
          </cell>
        </row>
        <row r="470">
          <cell r="F470" t="str">
            <v>Imobilizado</v>
          </cell>
          <cell r="L470">
            <v>-435717898.37</v>
          </cell>
        </row>
        <row r="471">
          <cell r="F471" t="str">
            <v>Imobilizado</v>
          </cell>
          <cell r="L471">
            <v>0</v>
          </cell>
        </row>
        <row r="472">
          <cell r="F472" t="str">
            <v>Imobilizado</v>
          </cell>
          <cell r="L472">
            <v>0</v>
          </cell>
        </row>
        <row r="473">
          <cell r="F473" t="str">
            <v>Imobilizado</v>
          </cell>
          <cell r="L473">
            <v>-1994174.96</v>
          </cell>
        </row>
        <row r="474">
          <cell r="F474" t="str">
            <v>Imobilizado</v>
          </cell>
          <cell r="L474">
            <v>-89525666.979999989</v>
          </cell>
        </row>
        <row r="475">
          <cell r="F475" t="str">
            <v>Imobilizado</v>
          </cell>
          <cell r="L475">
            <v>43840839.649999999</v>
          </cell>
        </row>
        <row r="476">
          <cell r="F476" t="str">
            <v>Imobilizado</v>
          </cell>
          <cell r="L476">
            <v>0</v>
          </cell>
        </row>
        <row r="477">
          <cell r="F477" t="str">
            <v>Imobilizado</v>
          </cell>
          <cell r="L477">
            <v>0</v>
          </cell>
        </row>
        <row r="478">
          <cell r="F478" t="str">
            <v>Imobilizado</v>
          </cell>
          <cell r="L478">
            <v>0</v>
          </cell>
        </row>
        <row r="479">
          <cell r="F479" t="str">
            <v>Imobilizado</v>
          </cell>
          <cell r="L479">
            <v>56828.72</v>
          </cell>
        </row>
        <row r="480">
          <cell r="F480" t="str">
            <v>Imobilizado</v>
          </cell>
          <cell r="L480">
            <v>308596.88</v>
          </cell>
        </row>
        <row r="481">
          <cell r="F481" t="str">
            <v>Imobilizado</v>
          </cell>
          <cell r="L481">
            <v>643906</v>
          </cell>
        </row>
        <row r="482">
          <cell r="F482" t="str">
            <v>Imobilizado</v>
          </cell>
          <cell r="L482">
            <v>0</v>
          </cell>
        </row>
        <row r="483">
          <cell r="F483" t="str">
            <v>Imobilizado</v>
          </cell>
          <cell r="L483">
            <v>18767471.440000001</v>
          </cell>
        </row>
        <row r="484">
          <cell r="F484" t="str">
            <v>Imobilizado</v>
          </cell>
          <cell r="L484">
            <v>0</v>
          </cell>
        </row>
        <row r="485">
          <cell r="F485" t="str">
            <v>Imobilizado</v>
          </cell>
          <cell r="L485">
            <v>0</v>
          </cell>
        </row>
        <row r="486">
          <cell r="F486" t="str">
            <v>Imobilizado</v>
          </cell>
          <cell r="L486">
            <v>-56828.72</v>
          </cell>
        </row>
        <row r="487">
          <cell r="F487" t="str">
            <v>Imobilizado</v>
          </cell>
          <cell r="L487">
            <v>-312377.7</v>
          </cell>
        </row>
        <row r="488">
          <cell r="F488" t="str">
            <v>Imobilizado</v>
          </cell>
          <cell r="L488">
            <v>-648734.76</v>
          </cell>
        </row>
        <row r="489">
          <cell r="F489" t="str">
            <v>Imobilizado</v>
          </cell>
          <cell r="L489">
            <v>0</v>
          </cell>
        </row>
        <row r="490">
          <cell r="F490" t="str">
            <v>Imobilizado</v>
          </cell>
          <cell r="L490">
            <v>-9396319.0299999993</v>
          </cell>
        </row>
        <row r="491">
          <cell r="F491" t="str">
            <v>Imobilizado</v>
          </cell>
          <cell r="L491">
            <v>0</v>
          </cell>
        </row>
        <row r="492">
          <cell r="F492" t="str">
            <v>Imobilizado</v>
          </cell>
          <cell r="L492">
            <v>0</v>
          </cell>
        </row>
        <row r="493">
          <cell r="F493" t="str">
            <v>Intangível</v>
          </cell>
          <cell r="L493">
            <v>14106444</v>
          </cell>
        </row>
        <row r="494">
          <cell r="F494" t="str">
            <v>Intangível</v>
          </cell>
          <cell r="L494">
            <v>0</v>
          </cell>
        </row>
        <row r="495">
          <cell r="F495" t="str">
            <v>Intangível</v>
          </cell>
          <cell r="L495">
            <v>368274013.98000002</v>
          </cell>
        </row>
        <row r="496">
          <cell r="F496" t="str">
            <v>Intangível</v>
          </cell>
          <cell r="L496">
            <v>5503360.1600000001</v>
          </cell>
        </row>
        <row r="497">
          <cell r="F497" t="str">
            <v>Intangível</v>
          </cell>
          <cell r="L497">
            <v>86325277.590000004</v>
          </cell>
        </row>
        <row r="498">
          <cell r="F498" t="str">
            <v>Intangível</v>
          </cell>
          <cell r="L498">
            <v>0</v>
          </cell>
        </row>
        <row r="499">
          <cell r="F499" t="str">
            <v>Intangível</v>
          </cell>
          <cell r="L499">
            <v>134603474.28</v>
          </cell>
        </row>
        <row r="500">
          <cell r="F500" t="str">
            <v>Intangível</v>
          </cell>
          <cell r="L500">
            <v>46738253.239999995</v>
          </cell>
        </row>
        <row r="501">
          <cell r="F501" t="str">
            <v>Intangível</v>
          </cell>
          <cell r="L501">
            <v>1610803.53</v>
          </cell>
        </row>
        <row r="502">
          <cell r="F502" t="str">
            <v>Intangível</v>
          </cell>
          <cell r="L502">
            <v>9778326.7300000004</v>
          </cell>
        </row>
        <row r="503">
          <cell r="F503" t="str">
            <v>Intangível</v>
          </cell>
          <cell r="L503">
            <v>997300.13</v>
          </cell>
        </row>
        <row r="504">
          <cell r="F504" t="str">
            <v>Intangível</v>
          </cell>
          <cell r="L504">
            <v>6688838.5500000007</v>
          </cell>
        </row>
        <row r="505">
          <cell r="F505" t="str">
            <v>Intangível</v>
          </cell>
          <cell r="L505">
            <v>1996178.28</v>
          </cell>
        </row>
        <row r="506">
          <cell r="F506" t="str">
            <v>Intangível</v>
          </cell>
          <cell r="L506">
            <v>1037595.79</v>
          </cell>
        </row>
        <row r="507">
          <cell r="F507" t="str">
            <v>Intangível</v>
          </cell>
          <cell r="L507">
            <v>1814658.51</v>
          </cell>
        </row>
        <row r="508">
          <cell r="F508" t="str">
            <v>Intangível</v>
          </cell>
          <cell r="L508">
            <v>-10893880.5</v>
          </cell>
        </row>
        <row r="509">
          <cell r="F509" t="str">
            <v>Intangível</v>
          </cell>
          <cell r="L509">
            <v>0</v>
          </cell>
        </row>
        <row r="510">
          <cell r="F510" t="str">
            <v>Intangível</v>
          </cell>
          <cell r="L510">
            <v>-214198476.63999999</v>
          </cell>
        </row>
        <row r="511">
          <cell r="F511" t="str">
            <v>Intangível</v>
          </cell>
          <cell r="L511">
            <v>-42557.32</v>
          </cell>
        </row>
        <row r="512">
          <cell r="F512" t="str">
            <v>Intangível</v>
          </cell>
          <cell r="L512">
            <v>0</v>
          </cell>
        </row>
        <row r="513">
          <cell r="F513" t="str">
            <v>Intangível</v>
          </cell>
          <cell r="L513">
            <v>0</v>
          </cell>
        </row>
        <row r="514">
          <cell r="F514" t="str">
            <v>Intangível</v>
          </cell>
          <cell r="L514">
            <v>0</v>
          </cell>
        </row>
        <row r="515">
          <cell r="F515" t="str">
            <v>Intangível</v>
          </cell>
          <cell r="L515">
            <v>0</v>
          </cell>
        </row>
        <row r="516">
          <cell r="F516" t="str">
            <v>Intangível</v>
          </cell>
          <cell r="L516">
            <v>0</v>
          </cell>
        </row>
        <row r="517">
          <cell r="F517" t="str">
            <v>Intangível</v>
          </cell>
          <cell r="L517">
            <v>0</v>
          </cell>
        </row>
        <row r="518">
          <cell r="F518" t="str">
            <v>Intangível</v>
          </cell>
          <cell r="L518">
            <v>0</v>
          </cell>
        </row>
        <row r="519">
          <cell r="F519" t="str">
            <v>Intangível</v>
          </cell>
          <cell r="L519">
            <v>0</v>
          </cell>
        </row>
        <row r="520">
          <cell r="F520" t="str">
            <v>Intangível</v>
          </cell>
          <cell r="L520">
            <v>0</v>
          </cell>
        </row>
        <row r="521">
          <cell r="F521" t="str">
            <v>Intangível</v>
          </cell>
          <cell r="L521">
            <v>0</v>
          </cell>
        </row>
        <row r="522">
          <cell r="F522" t="str">
            <v>Direito de uso</v>
          </cell>
          <cell r="L522">
            <v>2014545265.1799998</v>
          </cell>
        </row>
        <row r="523">
          <cell r="F523" t="str">
            <v>Direito de uso</v>
          </cell>
          <cell r="L523">
            <v>-1.2399999999999998</v>
          </cell>
        </row>
        <row r="524">
          <cell r="F524" t="str">
            <v>Imobilizado</v>
          </cell>
          <cell r="L524">
            <v>86417071.930000007</v>
          </cell>
        </row>
        <row r="525">
          <cell r="F525" t="str">
            <v>Direito de uso</v>
          </cell>
          <cell r="L525">
            <v>13292092.810000001</v>
          </cell>
        </row>
        <row r="526">
          <cell r="F526" t="str">
            <v>Direito de uso</v>
          </cell>
          <cell r="L526">
            <v>14585436.59</v>
          </cell>
        </row>
        <row r="527">
          <cell r="F527" t="str">
            <v>Direito de uso</v>
          </cell>
          <cell r="L527">
            <v>0</v>
          </cell>
        </row>
        <row r="528">
          <cell r="F528" t="str">
            <v>Direito de uso</v>
          </cell>
          <cell r="L528">
            <v>-594589227.52999997</v>
          </cell>
        </row>
        <row r="529">
          <cell r="F529" t="str">
            <v>Imobilizado</v>
          </cell>
          <cell r="L529">
            <v>-8269355.4900000002</v>
          </cell>
        </row>
        <row r="530">
          <cell r="F530" t="str">
            <v>Direito de uso</v>
          </cell>
          <cell r="L530">
            <v>-4871565.12</v>
          </cell>
        </row>
        <row r="531">
          <cell r="F531" t="str">
            <v>Direito de uso</v>
          </cell>
          <cell r="L531">
            <v>-616277.6</v>
          </cell>
        </row>
        <row r="532">
          <cell r="F532" t="str">
            <v>Imobilizado</v>
          </cell>
          <cell r="L532">
            <v>-7034826.9500000002</v>
          </cell>
        </row>
        <row r="533">
          <cell r="F533" t="str">
            <v>Empréstimos e financiamentos</v>
          </cell>
          <cell r="L533">
            <v>-84761488.539999992</v>
          </cell>
        </row>
        <row r="534">
          <cell r="F534" t="str">
            <v>Empréstimos e financiamentos</v>
          </cell>
          <cell r="L534">
            <v>0</v>
          </cell>
        </row>
        <row r="535">
          <cell r="F535" t="str">
            <v>Empréstimos e financiamentos</v>
          </cell>
          <cell r="L535">
            <v>0</v>
          </cell>
        </row>
        <row r="536">
          <cell r="F536" t="str">
            <v>Empréstimos e financiamentos</v>
          </cell>
          <cell r="L536">
            <v>0</v>
          </cell>
        </row>
        <row r="537">
          <cell r="F537" t="str">
            <v>Empréstimos e financiamentos</v>
          </cell>
          <cell r="L537">
            <v>0</v>
          </cell>
        </row>
        <row r="538">
          <cell r="F538" t="str">
            <v>Empréstimos e financiamentos</v>
          </cell>
          <cell r="L538">
            <v>0</v>
          </cell>
        </row>
        <row r="539">
          <cell r="F539" t="str">
            <v>Empréstimos e financiamentos</v>
          </cell>
          <cell r="L539">
            <v>0</v>
          </cell>
        </row>
        <row r="540">
          <cell r="F540" t="str">
            <v>Empréstimos e financiamentos</v>
          </cell>
          <cell r="L540">
            <v>-8809070.9399999995</v>
          </cell>
        </row>
        <row r="541">
          <cell r="F541" t="str">
            <v>Empréstimos e financiamentos</v>
          </cell>
          <cell r="L541">
            <v>0</v>
          </cell>
        </row>
        <row r="542">
          <cell r="F542" t="str">
            <v>Empréstimos e financiamentos</v>
          </cell>
          <cell r="L542">
            <v>1029566.11</v>
          </cell>
        </row>
        <row r="543">
          <cell r="F543" t="str">
            <v>Empréstimos e financiamentos</v>
          </cell>
          <cell r="L543">
            <v>0</v>
          </cell>
        </row>
        <row r="544">
          <cell r="F544" t="str">
            <v>Debêntures</v>
          </cell>
          <cell r="L544">
            <v>-230812873.63</v>
          </cell>
        </row>
        <row r="545">
          <cell r="F545" t="str">
            <v>Debêntures</v>
          </cell>
          <cell r="L545">
            <v>2621555.0699999998</v>
          </cell>
        </row>
        <row r="546">
          <cell r="F546" t="str">
            <v>Partes Relacionadas - outras contas a pagar</v>
          </cell>
          <cell r="L546">
            <v>0</v>
          </cell>
        </row>
        <row r="547">
          <cell r="F547" t="str">
            <v>Fornecedores</v>
          </cell>
          <cell r="L547">
            <v>-533880075.17000008</v>
          </cell>
        </row>
        <row r="548">
          <cell r="F548" t="str">
            <v>Fornecedores</v>
          </cell>
          <cell r="L548">
            <v>-373316468.64999998</v>
          </cell>
        </row>
        <row r="549">
          <cell r="F549" t="str">
            <v>Fornecedores</v>
          </cell>
          <cell r="L549">
            <v>240899045.97999999</v>
          </cell>
        </row>
        <row r="550">
          <cell r="F550" t="str">
            <v>Fornecedores</v>
          </cell>
          <cell r="L550">
            <v>0</v>
          </cell>
        </row>
        <row r="551">
          <cell r="F551" t="str">
            <v>Fornecedores</v>
          </cell>
          <cell r="L551">
            <v>-7663186.5299999993</v>
          </cell>
        </row>
        <row r="552">
          <cell r="F552" t="str">
            <v>Fornecedores</v>
          </cell>
          <cell r="L552">
            <v>1452439.52</v>
          </cell>
        </row>
        <row r="553">
          <cell r="F553" t="str">
            <v>Fornecedores</v>
          </cell>
          <cell r="L553">
            <v>104311107.79000001</v>
          </cell>
        </row>
        <row r="554">
          <cell r="F554" t="str">
            <v>Fornecedores</v>
          </cell>
          <cell r="L554">
            <v>0</v>
          </cell>
        </row>
        <row r="555">
          <cell r="F555" t="str">
            <v>Fornecedores</v>
          </cell>
          <cell r="L555">
            <v>-267591861.21000001</v>
          </cell>
        </row>
        <row r="556">
          <cell r="F556" t="str">
            <v>Fornecedores</v>
          </cell>
          <cell r="L556">
            <v>-323511.32</v>
          </cell>
        </row>
        <row r="557">
          <cell r="F557" t="str">
            <v>Fornecedores</v>
          </cell>
          <cell r="L557">
            <v>-1260728.51</v>
          </cell>
        </row>
        <row r="558">
          <cell r="F558" t="str">
            <v>Fornecedores</v>
          </cell>
          <cell r="L558">
            <v>-8185365.3899999997</v>
          </cell>
        </row>
        <row r="559">
          <cell r="F559" t="str">
            <v>Fornecedores</v>
          </cell>
          <cell r="L559">
            <v>-54053893.730000004</v>
          </cell>
        </row>
        <row r="560">
          <cell r="F560" t="str">
            <v>Fornecedores</v>
          </cell>
          <cell r="L560">
            <v>-53978.259999999995</v>
          </cell>
        </row>
        <row r="561">
          <cell r="F561" t="str">
            <v>Fornecedores</v>
          </cell>
          <cell r="L561">
            <v>-6971668.3999999994</v>
          </cell>
        </row>
        <row r="562">
          <cell r="F562" t="str">
            <v>Fornecedores</v>
          </cell>
          <cell r="L562">
            <v>-7651011.3000000007</v>
          </cell>
        </row>
        <row r="563">
          <cell r="F563" t="str">
            <v>Fornecedores</v>
          </cell>
          <cell r="L563">
            <v>-59334.5</v>
          </cell>
        </row>
        <row r="564">
          <cell r="F564" t="str">
            <v>Fornecedores</v>
          </cell>
          <cell r="L564">
            <v>2874323.44</v>
          </cell>
        </row>
        <row r="565">
          <cell r="F565" t="str">
            <v>Arrendamentos a pagar</v>
          </cell>
          <cell r="L565">
            <v>-26239341.240000002</v>
          </cell>
        </row>
        <row r="566">
          <cell r="F566" t="str">
            <v>Fornecedores</v>
          </cell>
          <cell r="L566">
            <v>-8073808.8399999999</v>
          </cell>
        </row>
        <row r="567">
          <cell r="F567" t="str">
            <v>Arrendamentos a pagar</v>
          </cell>
          <cell r="L567">
            <v>-1128896205.9300001</v>
          </cell>
        </row>
        <row r="568">
          <cell r="F568" t="str">
            <v>Arrendamentos a pagar</v>
          </cell>
          <cell r="L568">
            <v>127254787.91000001</v>
          </cell>
        </row>
        <row r="569">
          <cell r="F569" t="str">
            <v>Arrendamentos a pagar</v>
          </cell>
          <cell r="L569">
            <v>16644902.73</v>
          </cell>
        </row>
        <row r="570">
          <cell r="F570" t="str">
            <v>Arrendamentos a pagar</v>
          </cell>
          <cell r="L570">
            <v>793608142.10000002</v>
          </cell>
        </row>
        <row r="571">
          <cell r="F571" t="str">
            <v>Arrendamentos a pagar</v>
          </cell>
          <cell r="L571">
            <v>12410760.73</v>
          </cell>
        </row>
        <row r="572">
          <cell r="F572" t="str">
            <v>Outros passivos</v>
          </cell>
          <cell r="L572">
            <v>-3651571.4</v>
          </cell>
        </row>
        <row r="573">
          <cell r="F573" t="str">
            <v>Outras contas a pagar</v>
          </cell>
          <cell r="L573">
            <v>0</v>
          </cell>
        </row>
        <row r="574">
          <cell r="F574" t="str">
            <v>Outras contas a pagar</v>
          </cell>
          <cell r="L574">
            <v>0</v>
          </cell>
        </row>
        <row r="575">
          <cell r="F575" t="str">
            <v>Outros passivos</v>
          </cell>
          <cell r="L575">
            <v>-11957669.550000016</v>
          </cell>
        </row>
        <row r="576">
          <cell r="F576" t="str">
            <v>Partes Relacionadas - outras contas a pagar</v>
          </cell>
          <cell r="L576">
            <v>0</v>
          </cell>
        </row>
        <row r="577">
          <cell r="F577" t="str">
            <v>Outras contas a pagar</v>
          </cell>
          <cell r="L577">
            <v>0</v>
          </cell>
        </row>
        <row r="578">
          <cell r="F578" t="str">
            <v>Outras contas a pagar</v>
          </cell>
          <cell r="L578">
            <v>0</v>
          </cell>
        </row>
        <row r="579">
          <cell r="F579" t="str">
            <v>Outras contas a pagar</v>
          </cell>
          <cell r="L579">
            <v>0</v>
          </cell>
        </row>
        <row r="580">
          <cell r="F580" t="str">
            <v>Outros passivos</v>
          </cell>
          <cell r="L580">
            <v>0</v>
          </cell>
        </row>
        <row r="581">
          <cell r="F581" t="str">
            <v>Outras contas a pagar</v>
          </cell>
          <cell r="L581">
            <v>0</v>
          </cell>
        </row>
        <row r="582">
          <cell r="F582" t="str">
            <v>Outras contas a pagar</v>
          </cell>
          <cell r="L582">
            <v>0</v>
          </cell>
        </row>
        <row r="583">
          <cell r="F583" t="str">
            <v>Outros passivos</v>
          </cell>
          <cell r="L583">
            <v>784549.9299999997</v>
          </cell>
        </row>
        <row r="584">
          <cell r="F584" t="str">
            <v>Outros passivos</v>
          </cell>
          <cell r="L584">
            <v>964470.7</v>
          </cell>
        </row>
        <row r="585">
          <cell r="F585" t="str">
            <v>Outras contas a pagar</v>
          </cell>
          <cell r="L585">
            <v>0</v>
          </cell>
        </row>
        <row r="586">
          <cell r="F586" t="str">
            <v>Outros passivos</v>
          </cell>
          <cell r="L586">
            <v>0</v>
          </cell>
        </row>
        <row r="587">
          <cell r="F587" t="str">
            <v>Outros passivos</v>
          </cell>
          <cell r="L587">
            <v>-17827697.690000001</v>
          </cell>
        </row>
        <row r="588">
          <cell r="F588" t="str">
            <v>Outras contas a pagar</v>
          </cell>
          <cell r="L588">
            <v>0</v>
          </cell>
        </row>
        <row r="589">
          <cell r="F589" t="str">
            <v>Outras contas a pagar</v>
          </cell>
          <cell r="L589">
            <v>0</v>
          </cell>
        </row>
        <row r="590">
          <cell r="F590" t="str">
            <v>Outros passivos</v>
          </cell>
          <cell r="L590">
            <v>-10142477.87000004</v>
          </cell>
        </row>
        <row r="591">
          <cell r="F591" t="str">
            <v>Outras contas a pagar</v>
          </cell>
          <cell r="L591">
            <v>0</v>
          </cell>
        </row>
        <row r="592">
          <cell r="F592" t="str">
            <v>Outras contas a pagar</v>
          </cell>
          <cell r="L592">
            <v>0</v>
          </cell>
        </row>
        <row r="593">
          <cell r="F593" t="str">
            <v>Contas a receber</v>
          </cell>
          <cell r="L593">
            <v>-1791993.19</v>
          </cell>
        </row>
        <row r="594">
          <cell r="F594" t="str">
            <v>Contas a receber</v>
          </cell>
          <cell r="L594">
            <v>17788622.069999989</v>
          </cell>
        </row>
        <row r="595">
          <cell r="F595" t="str">
            <v>Outros passivos</v>
          </cell>
          <cell r="L595">
            <v>924987.66</v>
          </cell>
        </row>
        <row r="596">
          <cell r="F596" t="str">
            <v>Outras contas a pagar</v>
          </cell>
          <cell r="L596">
            <v>-6184650.0199999996</v>
          </cell>
        </row>
        <row r="597">
          <cell r="F597" t="str">
            <v>Outras contas a pagar</v>
          </cell>
          <cell r="L597">
            <v>0</v>
          </cell>
        </row>
        <row r="598">
          <cell r="F598" t="str">
            <v>Outras contas a pagar</v>
          </cell>
          <cell r="L598">
            <v>0</v>
          </cell>
        </row>
        <row r="599">
          <cell r="F599" t="str">
            <v>Outras contas a pagar</v>
          </cell>
          <cell r="L599">
            <v>0</v>
          </cell>
        </row>
        <row r="600">
          <cell r="F600" t="str">
            <v>Outras contas a pagar</v>
          </cell>
          <cell r="L600">
            <v>0</v>
          </cell>
        </row>
        <row r="601">
          <cell r="F601" t="str">
            <v>Partes Relacionadas - outras contas a pagar</v>
          </cell>
          <cell r="L601">
            <v>0</v>
          </cell>
        </row>
        <row r="602">
          <cell r="F602" t="str">
            <v>Outras contas a pagar</v>
          </cell>
          <cell r="L602">
            <v>-91412450.75</v>
          </cell>
        </row>
        <row r="603">
          <cell r="F603" t="str">
            <v>Outras contas a pagar</v>
          </cell>
          <cell r="L603">
            <v>-9342523.7599999998</v>
          </cell>
        </row>
        <row r="604">
          <cell r="F604" t="str">
            <v>Outras contas a pagar</v>
          </cell>
          <cell r="L604">
            <v>-843345</v>
          </cell>
        </row>
        <row r="605">
          <cell r="F605" t="str">
            <v>Outras contas a pagar</v>
          </cell>
          <cell r="L605">
            <v>-1744341.44</v>
          </cell>
        </row>
        <row r="606">
          <cell r="F606" t="str">
            <v>Outras contas a pagar</v>
          </cell>
          <cell r="L606">
            <v>0</v>
          </cell>
        </row>
        <row r="607">
          <cell r="F607" t="str">
            <v>Outros passivos</v>
          </cell>
          <cell r="L607">
            <v>-17372384.049999997</v>
          </cell>
        </row>
        <row r="608">
          <cell r="F608" t="str">
            <v>Outros passivos</v>
          </cell>
          <cell r="L608">
            <v>0</v>
          </cell>
        </row>
        <row r="609">
          <cell r="F609" t="str">
            <v>Outros passivos</v>
          </cell>
          <cell r="L609">
            <v>41490.559999999998</v>
          </cell>
        </row>
        <row r="610">
          <cell r="F610" t="str">
            <v>Outros passivos</v>
          </cell>
          <cell r="L610">
            <v>-6682590.7400000002</v>
          </cell>
        </row>
        <row r="611">
          <cell r="F611" t="str">
            <v>Outros passivos</v>
          </cell>
          <cell r="L611">
            <v>11888747.800000001</v>
          </cell>
        </row>
        <row r="612">
          <cell r="F612" t="str">
            <v>Outros passivos</v>
          </cell>
          <cell r="L612">
            <v>0</v>
          </cell>
        </row>
        <row r="613">
          <cell r="F613" t="str">
            <v>Outros passivos</v>
          </cell>
          <cell r="L613">
            <v>0.02</v>
          </cell>
        </row>
        <row r="614">
          <cell r="F614" t="str">
            <v>Outros passivos</v>
          </cell>
          <cell r="L614">
            <v>-0.02</v>
          </cell>
        </row>
        <row r="615">
          <cell r="F615" t="str">
            <v>Imposto de renda e contribuição social a recolher</v>
          </cell>
          <cell r="L615">
            <v>-131604.1</v>
          </cell>
        </row>
        <row r="616">
          <cell r="F616" t="str">
            <v>Imposto de renda e contribuição social a recolher</v>
          </cell>
          <cell r="L616">
            <v>-55147.079999999994</v>
          </cell>
        </row>
        <row r="617">
          <cell r="F617" t="str">
            <v>Obrigações tributárias</v>
          </cell>
          <cell r="L617">
            <v>-242859.11859353626</v>
          </cell>
        </row>
        <row r="618">
          <cell r="F618" t="str">
            <v>Obrigações tributárias</v>
          </cell>
          <cell r="L618">
            <v>-1163611.0383702277</v>
          </cell>
        </row>
        <row r="619">
          <cell r="F619" t="str">
            <v>Obrigações tributárias</v>
          </cell>
          <cell r="L619">
            <v>-25871852.235974334</v>
          </cell>
        </row>
        <row r="620">
          <cell r="F620" t="str">
            <v>Obrigações tributárias</v>
          </cell>
          <cell r="L620">
            <v>-1269593.54</v>
          </cell>
        </row>
        <row r="621">
          <cell r="F621" t="str">
            <v>Obrigações tributárias</v>
          </cell>
          <cell r="L621">
            <v>-1754569.03</v>
          </cell>
        </row>
        <row r="622">
          <cell r="F622" t="str">
            <v>Obrigações tributárias</v>
          </cell>
          <cell r="L622">
            <v>-527208.52999999991</v>
          </cell>
        </row>
        <row r="623">
          <cell r="F623" t="str">
            <v>Obrigações tributárias</v>
          </cell>
          <cell r="L623">
            <v>-906276.73</v>
          </cell>
        </row>
        <row r="624">
          <cell r="F624" t="str">
            <v>Obrigações tributárias</v>
          </cell>
          <cell r="L624">
            <v>0</v>
          </cell>
        </row>
        <row r="625">
          <cell r="F625" t="str">
            <v>Obrigações tributárias</v>
          </cell>
          <cell r="L625">
            <v>315178.38</v>
          </cell>
        </row>
        <row r="626">
          <cell r="F626" t="str">
            <v>Obrigações tributárias</v>
          </cell>
          <cell r="L626">
            <v>-5987126.29</v>
          </cell>
        </row>
        <row r="627">
          <cell r="F627" t="str">
            <v>Obrigações tributárias</v>
          </cell>
          <cell r="L627">
            <v>0</v>
          </cell>
        </row>
        <row r="628">
          <cell r="F628" t="str">
            <v>Obrigações tributárias</v>
          </cell>
          <cell r="L628">
            <v>0</v>
          </cell>
        </row>
        <row r="629">
          <cell r="F629" t="str">
            <v>Obrigações tributárias</v>
          </cell>
          <cell r="L629">
            <v>-3671586.04</v>
          </cell>
        </row>
        <row r="630">
          <cell r="F630" t="str">
            <v>Obrigações tributárias</v>
          </cell>
          <cell r="L630">
            <v>0</v>
          </cell>
        </row>
        <row r="631">
          <cell r="F631" t="str">
            <v>Obrigações tributárias</v>
          </cell>
          <cell r="L631">
            <v>4.54</v>
          </cell>
        </row>
        <row r="632">
          <cell r="F632" t="str">
            <v>Obrigações tributárias</v>
          </cell>
          <cell r="L632">
            <v>20.89</v>
          </cell>
        </row>
        <row r="633">
          <cell r="F633" t="str">
            <v>Obrigações tributárias</v>
          </cell>
          <cell r="L633">
            <v>32.590000000000003</v>
          </cell>
        </row>
        <row r="634">
          <cell r="F634" t="str">
            <v>Obrigações tributárias</v>
          </cell>
          <cell r="L634">
            <v>0</v>
          </cell>
        </row>
        <row r="635">
          <cell r="F635" t="str">
            <v>Obrigações tributárias</v>
          </cell>
          <cell r="L635">
            <v>0</v>
          </cell>
        </row>
        <row r="636">
          <cell r="F636" t="str">
            <v>Obrigações tributárias</v>
          </cell>
          <cell r="L636">
            <v>0</v>
          </cell>
        </row>
        <row r="637">
          <cell r="F637" t="str">
            <v>Obrigações tributárias</v>
          </cell>
          <cell r="L637">
            <v>-74196306.310000002</v>
          </cell>
        </row>
        <row r="638">
          <cell r="F638" t="str">
            <v>Obrigações tributárias</v>
          </cell>
          <cell r="L638">
            <v>577409.9</v>
          </cell>
        </row>
        <row r="639">
          <cell r="F639" t="str">
            <v>Obrigações tributárias</v>
          </cell>
          <cell r="L639">
            <v>-145802.28</v>
          </cell>
        </row>
        <row r="640">
          <cell r="F640" t="str">
            <v>Obrigações tributárias</v>
          </cell>
          <cell r="L640">
            <v>0</v>
          </cell>
        </row>
        <row r="641">
          <cell r="F641" t="str">
            <v>Obrigações tributárias</v>
          </cell>
          <cell r="L641">
            <v>-3262615.43</v>
          </cell>
        </row>
        <row r="642">
          <cell r="F642" t="str">
            <v>Obrigações tributárias</v>
          </cell>
          <cell r="L642">
            <v>-22.15</v>
          </cell>
        </row>
        <row r="643">
          <cell r="F643" t="str">
            <v>Impostos parcelados</v>
          </cell>
          <cell r="L643">
            <v>-36480130.479999997</v>
          </cell>
        </row>
        <row r="644">
          <cell r="F644" t="str">
            <v>Impostos parcelados</v>
          </cell>
          <cell r="L644">
            <v>-2226657.89</v>
          </cell>
        </row>
        <row r="645">
          <cell r="F645" t="str">
            <v>Impostos parcelados</v>
          </cell>
          <cell r="L645">
            <v>-9120854</v>
          </cell>
        </row>
        <row r="646">
          <cell r="F646" t="str">
            <v>Impostos parcelados</v>
          </cell>
          <cell r="L646">
            <v>0</v>
          </cell>
        </row>
        <row r="647">
          <cell r="F647" t="str">
            <v>Impostos parcelados</v>
          </cell>
          <cell r="L647">
            <v>-612812.31000000006</v>
          </cell>
        </row>
        <row r="648">
          <cell r="F648" t="str">
            <v>Impostos parcelados</v>
          </cell>
          <cell r="L648">
            <v>0</v>
          </cell>
        </row>
        <row r="649">
          <cell r="F649" t="str">
            <v>Impostos parcelados</v>
          </cell>
          <cell r="L649">
            <v>-1571766.17</v>
          </cell>
        </row>
        <row r="650">
          <cell r="F650" t="str">
            <v>Impostos parcelados</v>
          </cell>
          <cell r="L650">
            <v>0</v>
          </cell>
        </row>
        <row r="651">
          <cell r="F651" t="str">
            <v>Impostos parcelados</v>
          </cell>
          <cell r="L651">
            <v>-1267545.1599999999</v>
          </cell>
        </row>
        <row r="652">
          <cell r="F652" t="str">
            <v>Impostos parcelados</v>
          </cell>
          <cell r="L652">
            <v>0</v>
          </cell>
        </row>
        <row r="653">
          <cell r="F653" t="str">
            <v>Impostos parcelados</v>
          </cell>
          <cell r="L653">
            <v>0</v>
          </cell>
        </row>
        <row r="654">
          <cell r="F654" t="str">
            <v>Impostos parcelados</v>
          </cell>
          <cell r="L654">
            <v>-504375.71</v>
          </cell>
        </row>
        <row r="655">
          <cell r="F655" t="str">
            <v>Impostos parcelados</v>
          </cell>
          <cell r="L655">
            <v>0</v>
          </cell>
        </row>
        <row r="656">
          <cell r="F656" t="str">
            <v>Impostos parcelados</v>
          </cell>
          <cell r="L656">
            <v>0</v>
          </cell>
        </row>
        <row r="657">
          <cell r="F657" t="str">
            <v>Impostos parcelados</v>
          </cell>
          <cell r="L657">
            <v>-0.01</v>
          </cell>
        </row>
        <row r="658">
          <cell r="F658" t="str">
            <v>Impostos parcelados</v>
          </cell>
          <cell r="L658">
            <v>0</v>
          </cell>
        </row>
        <row r="659">
          <cell r="F659" t="str">
            <v>Impostos parcelados</v>
          </cell>
          <cell r="L659">
            <v>0</v>
          </cell>
        </row>
        <row r="660">
          <cell r="F660" t="str">
            <v>Impostos parcelados</v>
          </cell>
          <cell r="L660">
            <v>0</v>
          </cell>
        </row>
        <row r="661">
          <cell r="F661" t="str">
            <v>Impostos parcelados</v>
          </cell>
          <cell r="L661">
            <v>0</v>
          </cell>
        </row>
        <row r="662">
          <cell r="F662" t="str">
            <v>Obrigações trabalhistas e previdenciárias</v>
          </cell>
          <cell r="L662">
            <v>-22097378.969999999</v>
          </cell>
        </row>
        <row r="663">
          <cell r="F663" t="str">
            <v>Obrigações trabalhistas e previdenciárias</v>
          </cell>
          <cell r="L663">
            <v>-55480303.480000004</v>
          </cell>
        </row>
        <row r="664">
          <cell r="F664" t="str">
            <v>Obrigações trabalhistas e previdenciárias</v>
          </cell>
          <cell r="L664">
            <v>-213964.73</v>
          </cell>
        </row>
        <row r="665">
          <cell r="F665" t="str">
            <v>Obrigações trabalhistas e previdenciárias</v>
          </cell>
          <cell r="L665">
            <v>0</v>
          </cell>
        </row>
        <row r="666">
          <cell r="F666" t="str">
            <v>Obrigações trabalhistas e previdenciárias</v>
          </cell>
          <cell r="L666">
            <v>726039.43</v>
          </cell>
        </row>
        <row r="667">
          <cell r="F667" t="str">
            <v>Obrigações trabalhistas e previdenciárias</v>
          </cell>
          <cell r="L667">
            <v>-1078.68</v>
          </cell>
        </row>
        <row r="668">
          <cell r="F668" t="str">
            <v>Obrigações trabalhistas e previdenciárias</v>
          </cell>
          <cell r="L668">
            <v>-1127584.98</v>
          </cell>
        </row>
        <row r="669">
          <cell r="F669" t="str">
            <v>Obrigações trabalhistas e previdenciárias</v>
          </cell>
          <cell r="L669">
            <v>-908299.57</v>
          </cell>
        </row>
        <row r="670">
          <cell r="F670" t="str">
            <v>Obrigações trabalhistas e previdenciárias</v>
          </cell>
          <cell r="L670">
            <v>-420987.70999999996</v>
          </cell>
        </row>
        <row r="671">
          <cell r="F671" t="str">
            <v>Obrigações trabalhistas e previdenciárias</v>
          </cell>
          <cell r="L671">
            <v>-21055204.289999999</v>
          </cell>
        </row>
        <row r="672">
          <cell r="F672" t="str">
            <v>Obrigações trabalhistas e previdenciárias</v>
          </cell>
          <cell r="L672">
            <v>-2415712.1700000004</v>
          </cell>
        </row>
        <row r="673">
          <cell r="F673" t="str">
            <v>Obrigações trabalhistas e previdenciárias</v>
          </cell>
          <cell r="L673">
            <v>-226898.17</v>
          </cell>
        </row>
        <row r="674">
          <cell r="F674" t="str">
            <v>Obrigações trabalhistas e previdenciárias</v>
          </cell>
          <cell r="L674">
            <v>523675.27999999997</v>
          </cell>
        </row>
        <row r="675">
          <cell r="F675" t="str">
            <v>Obrigações trabalhistas e previdenciárias</v>
          </cell>
          <cell r="L675">
            <v>-32473.68</v>
          </cell>
        </row>
        <row r="676">
          <cell r="F676" t="str">
            <v>Obrigações trabalhistas e previdenciárias</v>
          </cell>
          <cell r="L676">
            <v>-22048.829999999998</v>
          </cell>
        </row>
        <row r="677">
          <cell r="F677" t="str">
            <v>Obrigações trabalhistas e previdenciárias</v>
          </cell>
          <cell r="L677">
            <v>-409016.89999999997</v>
          </cell>
        </row>
        <row r="678">
          <cell r="F678" t="str">
            <v>Obrigações trabalhistas e previdenciárias</v>
          </cell>
          <cell r="L678">
            <v>-711694.79</v>
          </cell>
        </row>
        <row r="679">
          <cell r="F679" t="str">
            <v>Obrigações trabalhistas e previdenciárias</v>
          </cell>
          <cell r="L679">
            <v>-43700444.030000001</v>
          </cell>
        </row>
        <row r="680">
          <cell r="F680" t="str">
            <v>Obrigações trabalhistas e previdenciárias</v>
          </cell>
          <cell r="L680">
            <v>-9823290.5099999998</v>
          </cell>
        </row>
        <row r="681">
          <cell r="F681" t="str">
            <v>Obrigações trabalhistas e previdenciárias</v>
          </cell>
          <cell r="L681">
            <v>-3737164.3499999996</v>
          </cell>
        </row>
        <row r="682">
          <cell r="F682" t="str">
            <v>Obrigações trabalhistas e previdenciárias</v>
          </cell>
          <cell r="L682">
            <v>-23408437.289999992</v>
          </cell>
        </row>
        <row r="683">
          <cell r="F683" t="str">
            <v>Obrigações trabalhistas e previdenciárias</v>
          </cell>
          <cell r="L683">
            <v>-5348385.5200000005</v>
          </cell>
        </row>
        <row r="684">
          <cell r="F684" t="str">
            <v>Obrigações trabalhistas e previdenciárias</v>
          </cell>
          <cell r="L684">
            <v>-1655623.2300000002</v>
          </cell>
        </row>
        <row r="685">
          <cell r="F685" t="str">
            <v>Imposto de renda e contribuição social a recolher</v>
          </cell>
          <cell r="L685">
            <v>-18383294.039999999</v>
          </cell>
        </row>
        <row r="686">
          <cell r="F686" t="str">
            <v>Imposto de renda e contribuição social a recolher</v>
          </cell>
          <cell r="L686">
            <v>-7026753.5099999998</v>
          </cell>
        </row>
        <row r="687">
          <cell r="F687" t="str">
            <v>Dividendos a Pagar</v>
          </cell>
          <cell r="L687">
            <v>0</v>
          </cell>
        </row>
        <row r="688">
          <cell r="F688" t="str">
            <v>Outras contas a pagar</v>
          </cell>
          <cell r="L688">
            <v>0</v>
          </cell>
        </row>
        <row r="689">
          <cell r="F689" t="str">
            <v>Outras contas a pagar</v>
          </cell>
          <cell r="L689">
            <v>0</v>
          </cell>
        </row>
        <row r="690">
          <cell r="F690" t="str">
            <v>Outras contas a pagar</v>
          </cell>
          <cell r="L690">
            <v>0</v>
          </cell>
        </row>
        <row r="691">
          <cell r="F691" t="str">
            <v>Outras contas a pagar</v>
          </cell>
          <cell r="L691">
            <v>0</v>
          </cell>
        </row>
        <row r="692">
          <cell r="F692" t="str">
            <v>Empréstimos e financiamentos</v>
          </cell>
          <cell r="L692">
            <v>-78465983.74000001</v>
          </cell>
        </row>
        <row r="693">
          <cell r="F693" t="str">
            <v>Empréstimos e financiamentos</v>
          </cell>
          <cell r="L693">
            <v>0</v>
          </cell>
        </row>
        <row r="694">
          <cell r="F694" t="str">
            <v>Empréstimos e financiamentos</v>
          </cell>
          <cell r="L694">
            <v>0</v>
          </cell>
        </row>
        <row r="695">
          <cell r="F695" t="str">
            <v>Empréstimos e financiamentos</v>
          </cell>
          <cell r="L695">
            <v>0</v>
          </cell>
        </row>
        <row r="696">
          <cell r="F696" t="str">
            <v>Debêntures</v>
          </cell>
          <cell r="L696">
            <v>-776666666.65999997</v>
          </cell>
        </row>
        <row r="697">
          <cell r="F697" t="str">
            <v>Empréstimos e financiamentos</v>
          </cell>
          <cell r="L697">
            <v>0</v>
          </cell>
        </row>
        <row r="698">
          <cell r="F698" t="str">
            <v>Empréstimos e financiamentos</v>
          </cell>
          <cell r="L698">
            <v>-6440220.3499999996</v>
          </cell>
        </row>
        <row r="699">
          <cell r="F699" t="str">
            <v>Empréstimos e financiamentos</v>
          </cell>
          <cell r="L699">
            <v>0</v>
          </cell>
        </row>
        <row r="700">
          <cell r="F700" t="str">
            <v>Empréstimos e financiamentos</v>
          </cell>
          <cell r="L700">
            <v>0</v>
          </cell>
        </row>
        <row r="701">
          <cell r="F701" t="str">
            <v>Empréstimos e financiamentos</v>
          </cell>
          <cell r="L701">
            <v>441242.61</v>
          </cell>
        </row>
        <row r="702">
          <cell r="F702" t="str">
            <v>Empréstimos e financiamentos</v>
          </cell>
          <cell r="L702">
            <v>0</v>
          </cell>
        </row>
        <row r="703">
          <cell r="F703" t="str">
            <v>Debêntures</v>
          </cell>
          <cell r="L703">
            <v>3527751.39</v>
          </cell>
        </row>
        <row r="704">
          <cell r="F704" t="str">
            <v>Mutuos a pagar</v>
          </cell>
          <cell r="L704">
            <v>-766645.70999999344</v>
          </cell>
        </row>
        <row r="705">
          <cell r="F705" t="str">
            <v>Arrendamentos a pagar</v>
          </cell>
          <cell r="L705">
            <v>-1958094197.4499998</v>
          </cell>
        </row>
        <row r="706">
          <cell r="F706" t="str">
            <v>Arrendamentos a pagar</v>
          </cell>
          <cell r="L706">
            <v>526745247.33999997</v>
          </cell>
        </row>
        <row r="707">
          <cell r="F707" t="str">
            <v>Arrendamentos a pagar</v>
          </cell>
          <cell r="L707">
            <v>0</v>
          </cell>
        </row>
        <row r="708">
          <cell r="F708" t="str">
            <v>Fornecedores</v>
          </cell>
          <cell r="L708">
            <v>0</v>
          </cell>
        </row>
        <row r="709">
          <cell r="F709" t="str">
            <v>Fornecedores</v>
          </cell>
          <cell r="L709">
            <v>0</v>
          </cell>
        </row>
        <row r="710">
          <cell r="F710" t="str">
            <v>Outras contas a pagar</v>
          </cell>
          <cell r="L710">
            <v>0</v>
          </cell>
        </row>
        <row r="711">
          <cell r="F711" t="str">
            <v>Outras contas a pagar</v>
          </cell>
          <cell r="L711">
            <v>0</v>
          </cell>
        </row>
        <row r="712">
          <cell r="F712" t="str">
            <v>Outras contas a pagar</v>
          </cell>
          <cell r="L712">
            <v>0</v>
          </cell>
        </row>
        <row r="713">
          <cell r="F713" t="str">
            <v>Adiantamento para futuro aumento de capital</v>
          </cell>
          <cell r="L713">
            <v>0</v>
          </cell>
        </row>
        <row r="714">
          <cell r="F714" t="str">
            <v>Passivos a descoberto em controladas</v>
          </cell>
          <cell r="L714">
            <v>0</v>
          </cell>
        </row>
        <row r="715">
          <cell r="F715" t="str">
            <v>Passivos a descoberto em controladas</v>
          </cell>
          <cell r="L715">
            <v>0</v>
          </cell>
        </row>
        <row r="716">
          <cell r="F716" t="str">
            <v>Passivos a descoberto em controladas</v>
          </cell>
          <cell r="L716">
            <v>0</v>
          </cell>
        </row>
        <row r="717">
          <cell r="F717" t="str">
            <v>Passivos a descoberto em controladas</v>
          </cell>
          <cell r="L717">
            <v>0</v>
          </cell>
        </row>
        <row r="718">
          <cell r="F718" t="str">
            <v>Passivos a descoberto em controladas</v>
          </cell>
          <cell r="L718">
            <v>0</v>
          </cell>
        </row>
        <row r="719">
          <cell r="F719" t="str">
            <v>Passivos a descoberto em controladas</v>
          </cell>
          <cell r="L719">
            <v>0</v>
          </cell>
        </row>
        <row r="720">
          <cell r="F720" t="str">
            <v>Passivos a descoberto em controladas</v>
          </cell>
          <cell r="L720">
            <v>0</v>
          </cell>
        </row>
        <row r="721">
          <cell r="F721" t="str">
            <v>Passivos a descoberto em controladas</v>
          </cell>
          <cell r="L721">
            <v>0</v>
          </cell>
        </row>
        <row r="722">
          <cell r="F722" t="str">
            <v>Passivos a descoberto em controladas</v>
          </cell>
          <cell r="L722">
            <v>0</v>
          </cell>
        </row>
        <row r="723">
          <cell r="F723" t="str">
            <v>Outros passivos</v>
          </cell>
          <cell r="L723">
            <v>-111187731.62</v>
          </cell>
        </row>
        <row r="724">
          <cell r="F724" t="str">
            <v>Outras contas a pagar</v>
          </cell>
          <cell r="L724">
            <v>-156451763.24000001</v>
          </cell>
        </row>
        <row r="725">
          <cell r="F725" t="str">
            <v>Impostos parcelados</v>
          </cell>
          <cell r="L725">
            <v>-294065969.43000001</v>
          </cell>
        </row>
        <row r="726">
          <cell r="F726" t="str">
            <v>Impostos parcelados</v>
          </cell>
          <cell r="L726">
            <v>-1197726.03</v>
          </cell>
        </row>
        <row r="727">
          <cell r="F727" t="str">
            <v>Impostos parcelados</v>
          </cell>
          <cell r="L727">
            <v>-5084367.83</v>
          </cell>
        </row>
        <row r="728">
          <cell r="F728" t="str">
            <v>Impostos parcelados</v>
          </cell>
          <cell r="L728">
            <v>0</v>
          </cell>
        </row>
        <row r="729">
          <cell r="F729" t="str">
            <v>Impostos parcelados</v>
          </cell>
          <cell r="L729">
            <v>0</v>
          </cell>
        </row>
        <row r="730">
          <cell r="F730" t="str">
            <v>Impostos parcelados</v>
          </cell>
          <cell r="L730">
            <v>0</v>
          </cell>
        </row>
        <row r="731">
          <cell r="F731" t="str">
            <v>Impostos parcelados</v>
          </cell>
          <cell r="L731">
            <v>-329010.39</v>
          </cell>
        </row>
        <row r="732">
          <cell r="F732" t="str">
            <v>Impostos parcelados</v>
          </cell>
          <cell r="L732">
            <v>0</v>
          </cell>
        </row>
        <row r="733">
          <cell r="F733" t="str">
            <v>Impostos parcelados</v>
          </cell>
          <cell r="L733">
            <v>0</v>
          </cell>
        </row>
        <row r="734">
          <cell r="F734" t="str">
            <v>Impostos parcelados</v>
          </cell>
          <cell r="L734">
            <v>0</v>
          </cell>
        </row>
        <row r="735">
          <cell r="F735" t="str">
            <v>Impostos parcelados</v>
          </cell>
          <cell r="L735">
            <v>-421847.51</v>
          </cell>
        </row>
        <row r="736">
          <cell r="F736" t="str">
            <v>Impostos parcelados</v>
          </cell>
          <cell r="L736">
            <v>0</v>
          </cell>
        </row>
        <row r="737">
          <cell r="F737" t="str">
            <v>Impostos parcelados</v>
          </cell>
          <cell r="L737">
            <v>0</v>
          </cell>
        </row>
        <row r="738">
          <cell r="F738" t="str">
            <v>Impostos parcelados</v>
          </cell>
          <cell r="L738">
            <v>0</v>
          </cell>
        </row>
        <row r="739">
          <cell r="F739" t="str">
            <v>Impostos parcelados</v>
          </cell>
          <cell r="L739">
            <v>0</v>
          </cell>
        </row>
        <row r="740">
          <cell r="F740" t="str">
            <v>Impostos parcelados</v>
          </cell>
          <cell r="L740">
            <v>0</v>
          </cell>
        </row>
        <row r="741">
          <cell r="F741" t="str">
            <v>Impostos parcelados</v>
          </cell>
          <cell r="L741">
            <v>0</v>
          </cell>
        </row>
        <row r="742">
          <cell r="F742" t="str">
            <v>Impostos parcelados</v>
          </cell>
          <cell r="L742">
            <v>0</v>
          </cell>
        </row>
        <row r="743">
          <cell r="F743" t="str">
            <v>Impostos parcelados</v>
          </cell>
          <cell r="L743">
            <v>232472039.40000001</v>
          </cell>
        </row>
        <row r="744">
          <cell r="F744" t="str">
            <v>Provisão para riscos administrativos e judiciais</v>
          </cell>
          <cell r="L744">
            <v>-22605543.329200007</v>
          </cell>
        </row>
        <row r="745">
          <cell r="F745" t="str">
            <v>Provisão para riscos administrativos e judiciais</v>
          </cell>
          <cell r="L745">
            <v>-352879309.79824245</v>
          </cell>
        </row>
        <row r="746">
          <cell r="F746" t="str">
            <v>Provisão para riscos administrativos e judiciais</v>
          </cell>
          <cell r="L746">
            <v>-3714541.42</v>
          </cell>
        </row>
        <row r="747">
          <cell r="F747" t="str">
            <v>Provisão para riscos administrativos e judiciais</v>
          </cell>
          <cell r="L747">
            <v>0</v>
          </cell>
        </row>
        <row r="748">
          <cell r="F748" t="str">
            <v>Provisão para riscos administrativos e judiciais</v>
          </cell>
          <cell r="L748">
            <v>0</v>
          </cell>
        </row>
        <row r="749">
          <cell r="F749" t="str">
            <v>Provisão para riscos administrativos e judiciais</v>
          </cell>
          <cell r="L749">
            <v>-8556703.6099999994</v>
          </cell>
        </row>
        <row r="750">
          <cell r="F750" t="str">
            <v>Provisão para riscos administrativos e judiciais</v>
          </cell>
          <cell r="L750">
            <v>-1745214.68</v>
          </cell>
        </row>
        <row r="751">
          <cell r="F751" t="str">
            <v>Provisão para riscos administrativos e judiciais</v>
          </cell>
          <cell r="L751">
            <v>-244408678.85999998</v>
          </cell>
        </row>
        <row r="752">
          <cell r="F752" t="str">
            <v>Passivo fiscal diferido</v>
          </cell>
          <cell r="L752">
            <v>-6798112.5369999995</v>
          </cell>
        </row>
        <row r="753">
          <cell r="F753" t="str">
            <v>Passivo fiscal diferido</v>
          </cell>
          <cell r="L753">
            <v>-2447320.5219999999</v>
          </cell>
        </row>
        <row r="754">
          <cell r="F754" t="str">
            <v>Outras contas a pagar</v>
          </cell>
          <cell r="L754">
            <v>0</v>
          </cell>
        </row>
        <row r="755">
          <cell r="F755" t="str">
            <v>Capital social</v>
          </cell>
          <cell r="L755">
            <v>0</v>
          </cell>
        </row>
        <row r="756">
          <cell r="F756" t="str">
            <v>Capital social</v>
          </cell>
          <cell r="L756">
            <v>-1823527195.5500002</v>
          </cell>
        </row>
        <row r="757">
          <cell r="F757" t="str">
            <v>Reservas de capital</v>
          </cell>
          <cell r="L757">
            <v>0</v>
          </cell>
        </row>
        <row r="758">
          <cell r="F758" t="str">
            <v>Reservas de capital</v>
          </cell>
          <cell r="L758">
            <v>0</v>
          </cell>
        </row>
        <row r="759">
          <cell r="F759" t="str">
            <v>Reservas de capital</v>
          </cell>
          <cell r="L759">
            <v>0</v>
          </cell>
        </row>
        <row r="760">
          <cell r="F760" t="str">
            <v>Reservas de capital</v>
          </cell>
          <cell r="L760">
            <v>-154753307.19999999</v>
          </cell>
        </row>
        <row r="761">
          <cell r="F761" t="str">
            <v>Reservas de capital</v>
          </cell>
          <cell r="L761">
            <v>-140464980.93000001</v>
          </cell>
        </row>
        <row r="762">
          <cell r="F762" t="str">
            <v>Reservas de capital</v>
          </cell>
          <cell r="L762">
            <v>41245715.030000001</v>
          </cell>
        </row>
        <row r="763">
          <cell r="F763" t="str">
            <v>Reservas de capital</v>
          </cell>
          <cell r="L763">
            <v>0</v>
          </cell>
        </row>
        <row r="764">
          <cell r="F764" t="str">
            <v>Reservas de Lucros</v>
          </cell>
          <cell r="L764">
            <v>0</v>
          </cell>
        </row>
        <row r="765">
          <cell r="F765" t="str">
            <v>Reservas de Lucros</v>
          </cell>
          <cell r="L765">
            <v>-9420000</v>
          </cell>
        </row>
        <row r="766">
          <cell r="F766" t="str">
            <v>Reservas de Lucros</v>
          </cell>
          <cell r="L766">
            <v>-64439000</v>
          </cell>
        </row>
        <row r="767">
          <cell r="F767" t="str">
            <v>Prejuízos acumulados</v>
          </cell>
          <cell r="L767">
            <v>0</v>
          </cell>
        </row>
        <row r="768">
          <cell r="F768" t="str">
            <v>Prejuízos acumulados</v>
          </cell>
          <cell r="L768">
            <v>0</v>
          </cell>
        </row>
        <row r="769">
          <cell r="F769" t="str">
            <v>Prejuízos acumulados</v>
          </cell>
          <cell r="L769">
            <v>0</v>
          </cell>
        </row>
        <row r="770">
          <cell r="F770" t="str">
            <v>Ajuste de avaliação patrimonial</v>
          </cell>
          <cell r="L770">
            <v>-8864332.9800000004</v>
          </cell>
        </row>
        <row r="771">
          <cell r="F771" t="str">
            <v>Reservas de Lucros</v>
          </cell>
          <cell r="L771">
            <v>-85911000</v>
          </cell>
        </row>
        <row r="772">
          <cell r="F772" t="str">
            <v>Prejuízos acumulados</v>
          </cell>
          <cell r="L772">
            <v>12190840.437562943</v>
          </cell>
        </row>
        <row r="773">
          <cell r="F773" t="str">
            <v>Prejuízos acumulados</v>
          </cell>
          <cell r="L773">
            <v>-1647092.3491889327</v>
          </cell>
        </row>
        <row r="774">
          <cell r="F774" t="str">
            <v>Adiantamento para futuro aumento de capital</v>
          </cell>
          <cell r="L774">
            <v>-6996799.2699999996</v>
          </cell>
        </row>
        <row r="775">
          <cell r="F775" t="str">
            <v>Transitória</v>
          </cell>
          <cell r="L775">
            <v>0</v>
          </cell>
        </row>
        <row r="776">
          <cell r="F776" t="str">
            <v>Transitória</v>
          </cell>
          <cell r="L776">
            <v>0</v>
          </cell>
        </row>
        <row r="777">
          <cell r="F777" t="str">
            <v>Transitória</v>
          </cell>
          <cell r="L777">
            <v>0</v>
          </cell>
        </row>
        <row r="778">
          <cell r="F778" t="str">
            <v>Transitória</v>
          </cell>
          <cell r="L778">
            <v>0</v>
          </cell>
        </row>
        <row r="779">
          <cell r="F779" t="str">
            <v>Transitória</v>
          </cell>
          <cell r="L779">
            <v>-938.9899999999999</v>
          </cell>
        </row>
        <row r="780">
          <cell r="F780" t="str">
            <v>Transitória</v>
          </cell>
          <cell r="L780">
            <v>0</v>
          </cell>
        </row>
        <row r="781">
          <cell r="F781" t="str">
            <v>Transitória</v>
          </cell>
          <cell r="L781">
            <v>0</v>
          </cell>
        </row>
        <row r="782">
          <cell r="F782" t="str">
            <v>Transitória</v>
          </cell>
          <cell r="L782">
            <v>0</v>
          </cell>
        </row>
        <row r="783">
          <cell r="F783" t="str">
            <v>Transitória</v>
          </cell>
          <cell r="L783">
            <v>0</v>
          </cell>
        </row>
        <row r="784">
          <cell r="F784" t="str">
            <v>Transitória</v>
          </cell>
          <cell r="L784">
            <v>0</v>
          </cell>
        </row>
        <row r="785">
          <cell r="F785" t="str">
            <v>Transitória</v>
          </cell>
          <cell r="L785">
            <v>0</v>
          </cell>
        </row>
        <row r="786">
          <cell r="F786" t="str">
            <v>Transitória</v>
          </cell>
          <cell r="L786">
            <v>0</v>
          </cell>
        </row>
        <row r="787">
          <cell r="F787" t="str">
            <v>Transitória</v>
          </cell>
          <cell r="L787">
            <v>0</v>
          </cell>
        </row>
        <row r="788">
          <cell r="F788" t="str">
            <v>Transitória</v>
          </cell>
          <cell r="L788">
            <v>0</v>
          </cell>
        </row>
        <row r="789">
          <cell r="F789" t="str">
            <v>Transitória</v>
          </cell>
          <cell r="L789">
            <v>0</v>
          </cell>
        </row>
        <row r="790">
          <cell r="F790" t="str">
            <v>Transitória</v>
          </cell>
          <cell r="L790">
            <v>0</v>
          </cell>
        </row>
        <row r="791">
          <cell r="F791" t="str">
            <v>Transitória</v>
          </cell>
          <cell r="L791">
            <v>0</v>
          </cell>
        </row>
        <row r="792">
          <cell r="F792" t="str">
            <v>Transitória</v>
          </cell>
          <cell r="L792">
            <v>0</v>
          </cell>
        </row>
        <row r="793">
          <cell r="F793" t="str">
            <v>Transitória</v>
          </cell>
          <cell r="L793">
            <v>0</v>
          </cell>
        </row>
        <row r="794">
          <cell r="F794" t="str">
            <v>Contas a receber</v>
          </cell>
          <cell r="L794">
            <v>0</v>
          </cell>
        </row>
        <row r="795">
          <cell r="F795" t="str">
            <v>Transitória</v>
          </cell>
          <cell r="L795">
            <v>0</v>
          </cell>
        </row>
        <row r="796">
          <cell r="F796"/>
        </row>
        <row r="797">
          <cell r="F797" t="str">
            <v>Receitas líquidas</v>
          </cell>
          <cell r="L797">
            <v>-5520957771.3999996</v>
          </cell>
        </row>
        <row r="798">
          <cell r="F798" t="str">
            <v>Receitas líquidas</v>
          </cell>
          <cell r="L798">
            <v>0</v>
          </cell>
        </row>
        <row r="799">
          <cell r="F799" t="str">
            <v>Receitas líquidas</v>
          </cell>
          <cell r="L799">
            <v>0</v>
          </cell>
        </row>
        <row r="800">
          <cell r="F800" t="str">
            <v>Receitas líquidas</v>
          </cell>
          <cell r="L800">
            <v>-9652.1</v>
          </cell>
        </row>
        <row r="801">
          <cell r="F801" t="str">
            <v>Receitas líquidas</v>
          </cell>
          <cell r="L801">
            <v>0</v>
          </cell>
        </row>
        <row r="802">
          <cell r="F802" t="str">
            <v>Receitas líquidas</v>
          </cell>
          <cell r="L802">
            <v>16521620.66</v>
          </cell>
        </row>
        <row r="803">
          <cell r="F803" t="str">
            <v>Receitas líquidas</v>
          </cell>
          <cell r="L803">
            <v>-1263054.33</v>
          </cell>
        </row>
        <row r="804">
          <cell r="F804" t="str">
            <v>Receitas líquidas</v>
          </cell>
          <cell r="L804">
            <v>-42144525.719999999</v>
          </cell>
        </row>
        <row r="805">
          <cell r="F805" t="str">
            <v>Receitas líquidas</v>
          </cell>
          <cell r="L805">
            <v>-0.01</v>
          </cell>
        </row>
        <row r="806">
          <cell r="F806" t="str">
            <v>Receitas líquidas</v>
          </cell>
          <cell r="L806">
            <v>0</v>
          </cell>
        </row>
        <row r="807">
          <cell r="F807" t="str">
            <v>Receitas líquidas</v>
          </cell>
          <cell r="L807">
            <v>0</v>
          </cell>
        </row>
        <row r="808">
          <cell r="F808" t="str">
            <v>Receitas líquidas</v>
          </cell>
          <cell r="L808">
            <v>0</v>
          </cell>
        </row>
        <row r="809">
          <cell r="F809" t="str">
            <v>Receitas líquidas</v>
          </cell>
          <cell r="L809">
            <v>0</v>
          </cell>
        </row>
        <row r="810">
          <cell r="F810" t="str">
            <v>Receitas líquidas</v>
          </cell>
          <cell r="L810">
            <v>0</v>
          </cell>
        </row>
        <row r="811">
          <cell r="F811" t="str">
            <v>Receitas líquidas</v>
          </cell>
          <cell r="L811">
            <v>0</v>
          </cell>
        </row>
        <row r="812">
          <cell r="F812" t="str">
            <v>Receitas líquidas</v>
          </cell>
          <cell r="L812">
            <v>-42619811.610000201</v>
          </cell>
        </row>
        <row r="813">
          <cell r="F813" t="str">
            <v>Receitas líquidas</v>
          </cell>
          <cell r="L813">
            <v>0</v>
          </cell>
        </row>
        <row r="814">
          <cell r="F814" t="str">
            <v>Receitas líquidas</v>
          </cell>
          <cell r="L814">
            <v>-1892400</v>
          </cell>
        </row>
        <row r="815">
          <cell r="F815" t="str">
            <v>Receitas líquidas</v>
          </cell>
          <cell r="L815">
            <v>-650319.07999999996</v>
          </cell>
        </row>
        <row r="816">
          <cell r="F816" t="str">
            <v>Receitas líquidas</v>
          </cell>
          <cell r="L816">
            <v>0</v>
          </cell>
        </row>
        <row r="817">
          <cell r="F817" t="str">
            <v>Receitas líquidas</v>
          </cell>
          <cell r="L817">
            <v>0</v>
          </cell>
        </row>
        <row r="818">
          <cell r="F818" t="str">
            <v>Receitas líquidas</v>
          </cell>
          <cell r="L818">
            <v>19467.41</v>
          </cell>
        </row>
        <row r="819">
          <cell r="F819" t="str">
            <v>Receitas líquidas</v>
          </cell>
          <cell r="L819">
            <v>0</v>
          </cell>
        </row>
        <row r="820">
          <cell r="F820" t="str">
            <v>Receitas líquidas</v>
          </cell>
          <cell r="L820">
            <v>0</v>
          </cell>
        </row>
        <row r="821">
          <cell r="F821" t="str">
            <v>Receitas líquidas</v>
          </cell>
          <cell r="L821">
            <v>-1923792.8900000001</v>
          </cell>
        </row>
        <row r="822">
          <cell r="F822" t="str">
            <v>Receitas líquidas</v>
          </cell>
          <cell r="L822">
            <v>-1973046.06</v>
          </cell>
        </row>
        <row r="823">
          <cell r="F823" t="str">
            <v>Receitas líquidas</v>
          </cell>
          <cell r="L823">
            <v>-182069.96</v>
          </cell>
        </row>
        <row r="824">
          <cell r="F824" t="str">
            <v>Receitas líquidas</v>
          </cell>
          <cell r="L824">
            <v>0</v>
          </cell>
        </row>
        <row r="825">
          <cell r="F825" t="str">
            <v>Receitas líquidas</v>
          </cell>
          <cell r="L825">
            <v>0</v>
          </cell>
        </row>
        <row r="826">
          <cell r="F826" t="str">
            <v>Receitas líquidas</v>
          </cell>
          <cell r="L826">
            <v>-133144.26999999999</v>
          </cell>
        </row>
        <row r="827">
          <cell r="F827" t="str">
            <v>Receitas líquidas</v>
          </cell>
          <cell r="L827">
            <v>-716.54</v>
          </cell>
        </row>
        <row r="828">
          <cell r="F828" t="str">
            <v>Receitas líquidas</v>
          </cell>
          <cell r="L828">
            <v>-305.26</v>
          </cell>
        </row>
        <row r="829">
          <cell r="F829" t="str">
            <v>Receitas líquidas</v>
          </cell>
          <cell r="L829">
            <v>0</v>
          </cell>
        </row>
        <row r="830">
          <cell r="F830" t="str">
            <v>Receitas líquidas</v>
          </cell>
          <cell r="L830">
            <v>-39.380000000000003</v>
          </cell>
        </row>
        <row r="831">
          <cell r="F831" t="str">
            <v>Receitas líquidas</v>
          </cell>
          <cell r="L831">
            <v>-88.08</v>
          </cell>
        </row>
        <row r="832">
          <cell r="F832" t="str">
            <v>Receitas líquidas</v>
          </cell>
          <cell r="L832">
            <v>-55.48</v>
          </cell>
        </row>
        <row r="833">
          <cell r="F833" t="str">
            <v>Receitas líquidas</v>
          </cell>
          <cell r="L833">
            <v>-676857.76</v>
          </cell>
        </row>
        <row r="834">
          <cell r="F834" t="str">
            <v>Receitas líquidas</v>
          </cell>
          <cell r="L834">
            <v>253630445.63999999</v>
          </cell>
        </row>
        <row r="835">
          <cell r="F835" t="str">
            <v>Receitas líquidas</v>
          </cell>
          <cell r="L835">
            <v>7895844.4500000002</v>
          </cell>
        </row>
        <row r="836">
          <cell r="F836" t="str">
            <v>Receitas líquidas</v>
          </cell>
          <cell r="L836">
            <v>0</v>
          </cell>
        </row>
        <row r="837">
          <cell r="F837" t="str">
            <v>Receitas líquidas</v>
          </cell>
          <cell r="L837">
            <v>13471.65</v>
          </cell>
        </row>
        <row r="838">
          <cell r="F838" t="str">
            <v>Receitas líquidas</v>
          </cell>
          <cell r="L838">
            <v>17152.66</v>
          </cell>
        </row>
        <row r="839">
          <cell r="F839" t="str">
            <v>Receitas líquidas</v>
          </cell>
          <cell r="L839">
            <v>0</v>
          </cell>
        </row>
        <row r="840">
          <cell r="F840" t="str">
            <v>Receitas líquidas</v>
          </cell>
          <cell r="L840">
            <v>-3288627.52</v>
          </cell>
        </row>
        <row r="841">
          <cell r="F841" t="str">
            <v>Receitas líquidas</v>
          </cell>
          <cell r="L841">
            <v>772140001.63</v>
          </cell>
        </row>
        <row r="842">
          <cell r="F842" t="str">
            <v>Receitas líquidas</v>
          </cell>
          <cell r="L842">
            <v>69630427.811434999</v>
          </cell>
        </row>
        <row r="843">
          <cell r="F843" t="str">
            <v>Receitas líquidas</v>
          </cell>
          <cell r="L843">
            <v>320501193.26963997</v>
          </cell>
        </row>
        <row r="844">
          <cell r="F844" t="str">
            <v>Receitas líquidas</v>
          </cell>
          <cell r="L844">
            <v>0</v>
          </cell>
        </row>
        <row r="845">
          <cell r="F845" t="str">
            <v>Receitas líquidas</v>
          </cell>
          <cell r="L845">
            <v>0</v>
          </cell>
        </row>
        <row r="846">
          <cell r="F846" t="str">
            <v>Receitas líquidas</v>
          </cell>
          <cell r="L846">
            <v>0</v>
          </cell>
        </row>
        <row r="847">
          <cell r="F847" t="str">
            <v>Receitas líquidas</v>
          </cell>
          <cell r="L847">
            <v>0</v>
          </cell>
        </row>
        <row r="848">
          <cell r="F848" t="str">
            <v>Receitas líquidas</v>
          </cell>
          <cell r="L848">
            <v>0</v>
          </cell>
        </row>
        <row r="849">
          <cell r="F849" t="str">
            <v>Receitas líquidas</v>
          </cell>
          <cell r="L849">
            <v>0</v>
          </cell>
        </row>
        <row r="850">
          <cell r="F850" t="str">
            <v>Receitas líquidas</v>
          </cell>
          <cell r="L850">
            <v>-112066989.55</v>
          </cell>
        </row>
        <row r="851">
          <cell r="F851" t="str">
            <v>Receitas líquidas</v>
          </cell>
          <cell r="L851">
            <v>0</v>
          </cell>
        </row>
        <row r="852">
          <cell r="F852" t="str">
            <v>Receitas líquidas</v>
          </cell>
          <cell r="L852">
            <v>0</v>
          </cell>
        </row>
        <row r="853">
          <cell r="F853" t="str">
            <v>Receitas líquidas</v>
          </cell>
          <cell r="L853">
            <v>2656358.4200000004</v>
          </cell>
        </row>
        <row r="854">
          <cell r="F854" t="str">
            <v>Receitas líquidas</v>
          </cell>
          <cell r="L854">
            <v>7717887.3500000006</v>
          </cell>
        </row>
        <row r="855">
          <cell r="F855" t="str">
            <v>Receitas líquidas</v>
          </cell>
          <cell r="L855">
            <v>1675553.99</v>
          </cell>
        </row>
        <row r="856">
          <cell r="F856" t="str">
            <v>Receitas líquidas</v>
          </cell>
          <cell r="L856">
            <v>65384.57</v>
          </cell>
        </row>
        <row r="857">
          <cell r="F857" t="str">
            <v>Receitas líquidas</v>
          </cell>
          <cell r="L857">
            <v>0</v>
          </cell>
        </row>
        <row r="858">
          <cell r="F858" t="str">
            <v>Receitas líquidas</v>
          </cell>
          <cell r="L858">
            <v>0</v>
          </cell>
        </row>
        <row r="859">
          <cell r="F859" t="str">
            <v>Receitas líquidas</v>
          </cell>
          <cell r="L859">
            <v>0</v>
          </cell>
        </row>
        <row r="860">
          <cell r="F860" t="str">
            <v>Receitas líquidas</v>
          </cell>
          <cell r="L860">
            <v>10345.48</v>
          </cell>
        </row>
        <row r="861">
          <cell r="F861" t="str">
            <v>Receitas líquidas</v>
          </cell>
          <cell r="L861">
            <v>47666.7</v>
          </cell>
        </row>
        <row r="862">
          <cell r="F862" t="str">
            <v>Receitas líquidas</v>
          </cell>
          <cell r="L862">
            <v>2132.9699999999998</v>
          </cell>
        </row>
        <row r="863">
          <cell r="F863" t="str">
            <v>Receitas líquidas</v>
          </cell>
          <cell r="L863">
            <v>0</v>
          </cell>
        </row>
        <row r="864">
          <cell r="F864" t="str">
            <v>Receitas líquidas</v>
          </cell>
          <cell r="L864">
            <v>0</v>
          </cell>
        </row>
        <row r="865">
          <cell r="F865" t="str">
            <v>Receitas líquidas</v>
          </cell>
          <cell r="L865">
            <v>0</v>
          </cell>
        </row>
        <row r="866">
          <cell r="F866" t="str">
            <v>Receitas líquidas</v>
          </cell>
          <cell r="L866">
            <v>-696346.42999999993</v>
          </cell>
        </row>
        <row r="867">
          <cell r="F867" t="str">
            <v>Receitas líquidas</v>
          </cell>
          <cell r="L867">
            <v>250.67</v>
          </cell>
        </row>
        <row r="868">
          <cell r="F868" t="str">
            <v>Receitas líquidas</v>
          </cell>
          <cell r="L868">
            <v>1154.58</v>
          </cell>
        </row>
        <row r="869">
          <cell r="F869" t="str">
            <v>Receitas líquidas</v>
          </cell>
          <cell r="L869">
            <v>148.19999999999999</v>
          </cell>
        </row>
        <row r="870">
          <cell r="F870" t="str">
            <v>Receitas líquidas</v>
          </cell>
          <cell r="L870">
            <v>682.61</v>
          </cell>
        </row>
        <row r="871">
          <cell r="F871" t="str">
            <v>Receitas líquidas</v>
          </cell>
          <cell r="L871">
            <v>0</v>
          </cell>
        </row>
        <row r="872">
          <cell r="F872" t="str">
            <v>Receitas líquidas</v>
          </cell>
          <cell r="L872">
            <v>0</v>
          </cell>
        </row>
        <row r="873">
          <cell r="F873" t="str">
            <v>Receitas líquidas</v>
          </cell>
          <cell r="L873">
            <v>0</v>
          </cell>
        </row>
        <row r="874">
          <cell r="F874" t="str">
            <v>Receitas líquidas</v>
          </cell>
          <cell r="L874">
            <v>0</v>
          </cell>
        </row>
        <row r="875">
          <cell r="F875" t="str">
            <v>Receitas líquidas</v>
          </cell>
          <cell r="L875">
            <v>56284.35</v>
          </cell>
        </row>
        <row r="876">
          <cell r="F876" t="str">
            <v>Receitas líquidas</v>
          </cell>
          <cell r="L876">
            <v>176021.64</v>
          </cell>
        </row>
        <row r="877">
          <cell r="F877" t="str">
            <v>Receitas líquidas</v>
          </cell>
          <cell r="L877">
            <v>38215.18</v>
          </cell>
        </row>
        <row r="878">
          <cell r="F878" t="str">
            <v>Receitas líquidas</v>
          </cell>
          <cell r="L878">
            <v>22.15</v>
          </cell>
        </row>
        <row r="879">
          <cell r="F879" t="str">
            <v>Receitas líquidas</v>
          </cell>
          <cell r="L879">
            <v>2706.32</v>
          </cell>
        </row>
        <row r="880">
          <cell r="F880" t="str">
            <v>Receitas líquidas</v>
          </cell>
          <cell r="L880">
            <v>45520.57</v>
          </cell>
        </row>
        <row r="881">
          <cell r="F881" t="str">
            <v>Receitas líquidas</v>
          </cell>
          <cell r="L881">
            <v>0</v>
          </cell>
        </row>
        <row r="882">
          <cell r="F882" t="str">
            <v>Receitas líquidas</v>
          </cell>
          <cell r="L882">
            <v>0</v>
          </cell>
        </row>
        <row r="883">
          <cell r="F883" t="str">
            <v>Receitas líquidas</v>
          </cell>
          <cell r="L883">
            <v>0</v>
          </cell>
        </row>
        <row r="884">
          <cell r="F884" t="str">
            <v>Receitas líquidas</v>
          </cell>
          <cell r="L884">
            <v>0</v>
          </cell>
        </row>
        <row r="885">
          <cell r="F885" t="str">
            <v>Receitas líquidas</v>
          </cell>
          <cell r="L885">
            <v>0</v>
          </cell>
        </row>
        <row r="886">
          <cell r="F886" t="str">
            <v>Custo das vendas e dos serviços prestados</v>
          </cell>
          <cell r="L886">
            <v>2202855661.1797109</v>
          </cell>
        </row>
        <row r="887">
          <cell r="F887" t="str">
            <v>Custo das vendas e dos serviços prestados</v>
          </cell>
          <cell r="L887">
            <v>0</v>
          </cell>
        </row>
        <row r="888">
          <cell r="F888" t="str">
            <v>Custo das vendas e dos serviços prestados</v>
          </cell>
          <cell r="L888">
            <v>0</v>
          </cell>
        </row>
        <row r="889">
          <cell r="F889" t="str">
            <v>Custo das vendas e dos serviços prestados</v>
          </cell>
          <cell r="L889">
            <v>0</v>
          </cell>
        </row>
        <row r="890">
          <cell r="F890" t="str">
            <v>Custo das vendas e dos serviços prestados</v>
          </cell>
          <cell r="L890">
            <v>1138187.51</v>
          </cell>
        </row>
        <row r="891">
          <cell r="F891" t="str">
            <v>Custo das vendas e dos serviços prestados</v>
          </cell>
          <cell r="L891">
            <v>0</v>
          </cell>
        </row>
        <row r="892">
          <cell r="F892" t="str">
            <v>Custo das vendas e dos serviços prestados</v>
          </cell>
          <cell r="L892">
            <v>0</v>
          </cell>
        </row>
        <row r="893">
          <cell r="F893" t="str">
            <v>Custo das vendas e dos serviços prestados</v>
          </cell>
          <cell r="L893">
            <v>-648583.63</v>
          </cell>
        </row>
        <row r="894">
          <cell r="F894" t="str">
            <v>Custo das vendas e dos serviços prestados</v>
          </cell>
          <cell r="L894">
            <v>36957098.920000002</v>
          </cell>
        </row>
        <row r="895">
          <cell r="F895" t="str">
            <v>Custo das vendas e dos serviços prestados</v>
          </cell>
          <cell r="L895">
            <v>0</v>
          </cell>
        </row>
        <row r="896">
          <cell r="F896" t="str">
            <v>Custo das vendas e dos serviços prestados</v>
          </cell>
          <cell r="L896">
            <v>-13719814.34</v>
          </cell>
        </row>
        <row r="897">
          <cell r="F897" t="str">
            <v>Custo das vendas e dos serviços prestados</v>
          </cell>
          <cell r="L897">
            <v>0</v>
          </cell>
        </row>
        <row r="898">
          <cell r="F898" t="str">
            <v>Custo das vendas e dos serviços prestados</v>
          </cell>
          <cell r="L898">
            <v>0</v>
          </cell>
        </row>
        <row r="899">
          <cell r="F899" t="str">
            <v>Custo das vendas e dos serviços prestados</v>
          </cell>
          <cell r="L899">
            <v>1885371.02</v>
          </cell>
        </row>
        <row r="900">
          <cell r="F900" t="str">
            <v>Custo das vendas e dos serviços prestados</v>
          </cell>
          <cell r="L900">
            <v>357158.99</v>
          </cell>
        </row>
        <row r="901">
          <cell r="F901" t="str">
            <v>Custo das vendas e dos serviços prestados</v>
          </cell>
          <cell r="L901">
            <v>-404259.32</v>
          </cell>
        </row>
        <row r="902">
          <cell r="F902" t="str">
            <v>Custo das vendas e dos serviços prestados</v>
          </cell>
          <cell r="L902">
            <v>2596741.2999999998</v>
          </cell>
        </row>
        <row r="903">
          <cell r="F903" t="str">
            <v>Custo das vendas e dos serviços prestados</v>
          </cell>
          <cell r="L903">
            <v>0</v>
          </cell>
        </row>
        <row r="904">
          <cell r="F904" t="str">
            <v>Custo das vendas e dos serviços prestados</v>
          </cell>
          <cell r="L904">
            <v>0</v>
          </cell>
        </row>
        <row r="905">
          <cell r="F905" t="str">
            <v>Custo das vendas e dos serviços prestados</v>
          </cell>
          <cell r="L905">
            <v>18222398.27</v>
          </cell>
        </row>
        <row r="906">
          <cell r="F906" t="str">
            <v>Custo das vendas e dos serviços prestados</v>
          </cell>
          <cell r="L906">
            <v>718363.86</v>
          </cell>
        </row>
        <row r="907">
          <cell r="F907" t="str">
            <v>Custo das vendas e dos serviços prestados</v>
          </cell>
          <cell r="L907">
            <v>0</v>
          </cell>
        </row>
        <row r="908">
          <cell r="F908" t="str">
            <v>Custo das vendas e dos serviços prestados</v>
          </cell>
          <cell r="L908">
            <v>0</v>
          </cell>
        </row>
        <row r="909">
          <cell r="F909" t="str">
            <v>Custo das vendas e dos serviços prestados</v>
          </cell>
          <cell r="L909">
            <v>0</v>
          </cell>
        </row>
        <row r="910">
          <cell r="F910" t="str">
            <v>Custo das vendas e dos serviços prestados</v>
          </cell>
          <cell r="L910">
            <v>0</v>
          </cell>
        </row>
        <row r="911">
          <cell r="F911" t="str">
            <v>Custo das vendas e dos serviços prestados</v>
          </cell>
          <cell r="L911">
            <v>226048.94</v>
          </cell>
        </row>
        <row r="912">
          <cell r="F912" t="str">
            <v>Custo das vendas e dos serviços prestados</v>
          </cell>
          <cell r="L912">
            <v>24776643.199999999</v>
          </cell>
        </row>
        <row r="913">
          <cell r="F913" t="str">
            <v>Custo das vendas e dos serviços prestados</v>
          </cell>
          <cell r="L913">
            <v>0</v>
          </cell>
        </row>
        <row r="914">
          <cell r="F914" t="str">
            <v>Custo das vendas e dos serviços prestados</v>
          </cell>
          <cell r="L914">
            <v>358125.47</v>
          </cell>
        </row>
        <row r="915">
          <cell r="F915" t="str">
            <v>Custo das vendas e dos serviços prestados</v>
          </cell>
          <cell r="L915">
            <v>436733.21</v>
          </cell>
        </row>
        <row r="916">
          <cell r="F916" t="str">
            <v>Custo das vendas e dos serviços prestados</v>
          </cell>
          <cell r="L916">
            <v>216254.46</v>
          </cell>
        </row>
        <row r="917">
          <cell r="F917" t="str">
            <v>Custo das vendas e dos serviços prestados</v>
          </cell>
          <cell r="L917">
            <v>49621.3</v>
          </cell>
        </row>
        <row r="918">
          <cell r="F918" t="str">
            <v>Custo das vendas e dos serviços prestados</v>
          </cell>
          <cell r="L918">
            <v>15500</v>
          </cell>
        </row>
        <row r="919">
          <cell r="F919" t="str">
            <v>Custo das vendas e dos serviços prestados</v>
          </cell>
          <cell r="L919">
            <v>56838</v>
          </cell>
        </row>
        <row r="920">
          <cell r="F920" t="str">
            <v>Custo das vendas e dos serviços prestados</v>
          </cell>
          <cell r="L920">
            <v>447891.64</v>
          </cell>
        </row>
        <row r="921">
          <cell r="F921" t="str">
            <v>Custo das vendas e dos serviços prestados</v>
          </cell>
          <cell r="L921">
            <v>9056.99</v>
          </cell>
        </row>
        <row r="922">
          <cell r="F922" t="str">
            <v>Custo das vendas e dos serviços prestados</v>
          </cell>
          <cell r="L922">
            <v>25690.14</v>
          </cell>
        </row>
        <row r="923">
          <cell r="F923" t="str">
            <v>Custo das vendas e dos serviços prestados</v>
          </cell>
          <cell r="L923">
            <v>3227.8</v>
          </cell>
        </row>
        <row r="924">
          <cell r="F924" t="str">
            <v>Custo das vendas e dos serviços prestados</v>
          </cell>
          <cell r="L924">
            <v>39146.629999999997</v>
          </cell>
        </row>
        <row r="925">
          <cell r="F925" t="str">
            <v>Custo das vendas e dos serviços prestados</v>
          </cell>
          <cell r="L925">
            <v>97396.939999999988</v>
          </cell>
        </row>
        <row r="926">
          <cell r="F926" t="str">
            <v>Custo das vendas e dos serviços prestados</v>
          </cell>
          <cell r="L926">
            <v>647297.17000000004</v>
          </cell>
        </row>
        <row r="927">
          <cell r="F927" t="str">
            <v>Custo das vendas e dos serviços prestados</v>
          </cell>
          <cell r="L927">
            <v>3351.2300000000005</v>
          </cell>
        </row>
        <row r="928">
          <cell r="F928" t="str">
            <v>Custo das vendas e dos serviços prestados</v>
          </cell>
          <cell r="L928">
            <v>10569.01</v>
          </cell>
        </row>
        <row r="929">
          <cell r="F929" t="str">
            <v>Custo das vendas e dos serviços prestados</v>
          </cell>
          <cell r="L929">
            <v>827893.89</v>
          </cell>
        </row>
        <row r="930">
          <cell r="F930" t="str">
            <v>Custo das vendas e dos serviços prestados</v>
          </cell>
          <cell r="L930">
            <v>2482883.0700000003</v>
          </cell>
        </row>
        <row r="931">
          <cell r="F931" t="str">
            <v>Custo das vendas e dos serviços prestados</v>
          </cell>
          <cell r="L931">
            <v>8845</v>
          </cell>
        </row>
        <row r="932">
          <cell r="F932" t="str">
            <v>Custo das vendas e dos serviços prestados</v>
          </cell>
          <cell r="L932">
            <v>110908.66</v>
          </cell>
        </row>
        <row r="933">
          <cell r="F933" t="str">
            <v>Custo das vendas e dos serviços prestados</v>
          </cell>
          <cell r="L933">
            <v>0</v>
          </cell>
        </row>
        <row r="934">
          <cell r="F934" t="str">
            <v>Custo das vendas e dos serviços prestados</v>
          </cell>
          <cell r="L934">
            <v>0</v>
          </cell>
        </row>
        <row r="935">
          <cell r="F935" t="str">
            <v>Desp. ADM e Venda</v>
          </cell>
          <cell r="L935">
            <v>186813444.94</v>
          </cell>
        </row>
        <row r="936">
          <cell r="F936" t="str">
            <v>Desp. ADM e Venda</v>
          </cell>
          <cell r="L936">
            <v>8512415.9499999993</v>
          </cell>
        </row>
        <row r="937">
          <cell r="F937" t="str">
            <v>Desp. ADM e Venda</v>
          </cell>
          <cell r="L937">
            <v>48086285.780000001</v>
          </cell>
        </row>
        <row r="938">
          <cell r="F938" t="str">
            <v>Desp. ADM e Venda</v>
          </cell>
          <cell r="L938">
            <v>23944.370000000003</v>
          </cell>
        </row>
        <row r="939">
          <cell r="F939" t="str">
            <v>Desp. ADM e Venda</v>
          </cell>
          <cell r="L939">
            <v>4034847.52</v>
          </cell>
        </row>
        <row r="940">
          <cell r="F940" t="str">
            <v>Desp. ADM e Venda</v>
          </cell>
          <cell r="L940">
            <v>10891078.639999999</v>
          </cell>
        </row>
        <row r="941">
          <cell r="F941" t="str">
            <v>Desp. ADM e Venda</v>
          </cell>
          <cell r="L941">
            <v>-3837.1299999999997</v>
          </cell>
        </row>
        <row r="942">
          <cell r="F942" t="str">
            <v>Desp. ADM e Venda</v>
          </cell>
          <cell r="L942">
            <v>1839913.3599999999</v>
          </cell>
        </row>
        <row r="943">
          <cell r="F943" t="str">
            <v>Desp. ADM e Venda</v>
          </cell>
          <cell r="L943">
            <v>2980044.39</v>
          </cell>
        </row>
        <row r="944">
          <cell r="F944" t="str">
            <v>Desp. ADM e Venda</v>
          </cell>
          <cell r="L944">
            <v>18005032.859999999</v>
          </cell>
        </row>
        <row r="945">
          <cell r="F945" t="str">
            <v>Desp. ADM e Venda</v>
          </cell>
          <cell r="L945">
            <v>78932604.710000008</v>
          </cell>
        </row>
        <row r="946">
          <cell r="F946" t="str">
            <v>Desp. ADM e Venda</v>
          </cell>
          <cell r="L946">
            <v>5197555.2899999991</v>
          </cell>
        </row>
        <row r="947">
          <cell r="F947" t="str">
            <v>Desp. ADM e Venda</v>
          </cell>
          <cell r="L947">
            <v>5476373.0700000003</v>
          </cell>
        </row>
        <row r="948">
          <cell r="F948" t="str">
            <v>Desp. ADM e Venda</v>
          </cell>
          <cell r="L948">
            <v>504956.30000000005</v>
          </cell>
        </row>
        <row r="949">
          <cell r="F949" t="str">
            <v>Desp. ADM e Venda</v>
          </cell>
          <cell r="L949">
            <v>22689413.879999999</v>
          </cell>
        </row>
        <row r="950">
          <cell r="F950" t="str">
            <v>Desp. ADM e Venda</v>
          </cell>
          <cell r="L950">
            <v>32724755.57</v>
          </cell>
        </row>
        <row r="951">
          <cell r="F951" t="str">
            <v>Desp. ADM e Venda</v>
          </cell>
          <cell r="L951">
            <v>5200557.9399999995</v>
          </cell>
        </row>
        <row r="952">
          <cell r="F952" t="str">
            <v>Desp. ADM e Venda</v>
          </cell>
          <cell r="L952">
            <v>4561486.3900000006</v>
          </cell>
        </row>
        <row r="953">
          <cell r="F953" t="str">
            <v>Desp. ADM e Venda</v>
          </cell>
          <cell r="L953">
            <v>1461301.36</v>
          </cell>
        </row>
        <row r="954">
          <cell r="F954" t="str">
            <v>Desp. ADM e Venda</v>
          </cell>
          <cell r="L954">
            <v>27772863.600000001</v>
          </cell>
        </row>
        <row r="955">
          <cell r="F955" t="str">
            <v>Desp. ADM e Venda</v>
          </cell>
          <cell r="L955">
            <v>27761605.780000001</v>
          </cell>
        </row>
        <row r="956">
          <cell r="F956" t="str">
            <v>Desp. ADM e Venda</v>
          </cell>
          <cell r="L956">
            <v>487473.67000000004</v>
          </cell>
        </row>
        <row r="957">
          <cell r="F957" t="str">
            <v>Desp. ADM e Venda</v>
          </cell>
          <cell r="L957">
            <v>10361219.910000002</v>
          </cell>
        </row>
        <row r="958">
          <cell r="F958" t="str">
            <v>Desp. ADM e Venda</v>
          </cell>
          <cell r="L958">
            <v>15770118.939999999</v>
          </cell>
        </row>
        <row r="959">
          <cell r="F959" t="str">
            <v>Desp. ADM e Venda</v>
          </cell>
          <cell r="L959">
            <v>2792921.4000000004</v>
          </cell>
        </row>
        <row r="960">
          <cell r="F960" t="str">
            <v>Desp. ADM e Venda</v>
          </cell>
          <cell r="L960">
            <v>2436387.0700000003</v>
          </cell>
        </row>
        <row r="961">
          <cell r="F961" t="str">
            <v>Desp. ADM e Venda</v>
          </cell>
          <cell r="L961">
            <v>5872843.7499999991</v>
          </cell>
        </row>
        <row r="962">
          <cell r="F962" t="str">
            <v>Desp. ADM e Venda</v>
          </cell>
          <cell r="L962">
            <v>48167468.32</v>
          </cell>
        </row>
        <row r="963">
          <cell r="F963" t="str">
            <v>Desp. ADM e Venda</v>
          </cell>
          <cell r="L963">
            <v>5809127.7000000002</v>
          </cell>
        </row>
        <row r="964">
          <cell r="F964" t="str">
            <v>Desp. ADM e Venda</v>
          </cell>
          <cell r="L964">
            <v>-4267096.0199999996</v>
          </cell>
        </row>
        <row r="965">
          <cell r="F965" t="str">
            <v>Desp. ADM e Venda</v>
          </cell>
          <cell r="L965">
            <v>1400819.13</v>
          </cell>
        </row>
        <row r="966">
          <cell r="F966" t="str">
            <v>Desp. ADM e Venda</v>
          </cell>
          <cell r="L966">
            <v>70499.990000000005</v>
          </cell>
        </row>
        <row r="967">
          <cell r="F967" t="str">
            <v>Desp. ADM e Venda</v>
          </cell>
          <cell r="L967">
            <v>1154107.8899999999</v>
          </cell>
        </row>
        <row r="968">
          <cell r="F968" t="str">
            <v>Desp. ADM e Venda</v>
          </cell>
          <cell r="L968">
            <v>-85844.61</v>
          </cell>
        </row>
        <row r="969">
          <cell r="F969" t="str">
            <v>Desp. ADM e Venda</v>
          </cell>
          <cell r="L969">
            <v>-395405.5</v>
          </cell>
        </row>
        <row r="970">
          <cell r="F970" t="str">
            <v>Desp. ADM e Venda</v>
          </cell>
          <cell r="L970">
            <v>-239828.76</v>
          </cell>
        </row>
        <row r="971">
          <cell r="F971" t="str">
            <v>Desp. ADM e Venda</v>
          </cell>
          <cell r="L971">
            <v>-1742304.61</v>
          </cell>
        </row>
        <row r="972">
          <cell r="F972" t="str">
            <v>Desp. ADM e Venda</v>
          </cell>
          <cell r="L972">
            <v>-397391.92</v>
          </cell>
        </row>
        <row r="973">
          <cell r="F973" t="str">
            <v>Desp. ADM e Venda</v>
          </cell>
          <cell r="L973">
            <v>-1830412.73</v>
          </cell>
        </row>
        <row r="974">
          <cell r="F974" t="str">
            <v>Desp. ADM e Venda</v>
          </cell>
          <cell r="L974">
            <v>-139178.06</v>
          </cell>
        </row>
        <row r="975">
          <cell r="F975" t="str">
            <v>Desp. ADM e Venda</v>
          </cell>
          <cell r="L975">
            <v>-992891.02</v>
          </cell>
        </row>
        <row r="976">
          <cell r="F976" t="str">
            <v>Desp. ADM e Venda</v>
          </cell>
          <cell r="L976">
            <v>1374750.3</v>
          </cell>
        </row>
        <row r="977">
          <cell r="F977" t="str">
            <v>Desp. ADM e Venda</v>
          </cell>
          <cell r="L977">
            <v>2908540.2300000004</v>
          </cell>
        </row>
        <row r="978">
          <cell r="F978" t="str">
            <v>Desp. ADM e Venda</v>
          </cell>
          <cell r="L978">
            <v>544189.15</v>
          </cell>
        </row>
        <row r="979">
          <cell r="F979" t="str">
            <v>Desp. ADM e Venda</v>
          </cell>
          <cell r="L979">
            <v>2155758.1800000002</v>
          </cell>
        </row>
        <row r="980">
          <cell r="F980" t="str">
            <v>Desp. ADM e Venda</v>
          </cell>
          <cell r="L980">
            <v>2028928.0599999998</v>
          </cell>
        </row>
        <row r="981">
          <cell r="F981" t="str">
            <v>Desp. ADM e Venda</v>
          </cell>
          <cell r="L981">
            <v>374718</v>
          </cell>
        </row>
        <row r="982">
          <cell r="F982" t="str">
            <v>Desp. ADM e Venda</v>
          </cell>
          <cell r="L982">
            <v>2063371.4900000002</v>
          </cell>
        </row>
        <row r="983">
          <cell r="F983" t="str">
            <v>Desp. ADM e Venda</v>
          </cell>
          <cell r="L983">
            <v>36659.46</v>
          </cell>
        </row>
        <row r="984">
          <cell r="F984" t="str">
            <v>Desp. ADM e Venda</v>
          </cell>
          <cell r="L984">
            <v>-38141.49</v>
          </cell>
        </row>
        <row r="985">
          <cell r="F985" t="str">
            <v>Desp. ADM e Venda</v>
          </cell>
          <cell r="L985">
            <v>-175370.37</v>
          </cell>
        </row>
        <row r="986">
          <cell r="F986" t="str">
            <v>Desp. ADM e Venda</v>
          </cell>
          <cell r="L986">
            <v>135879968.60999998</v>
          </cell>
        </row>
        <row r="987">
          <cell r="F987" t="str">
            <v>Desp. ADM e Venda</v>
          </cell>
          <cell r="L987">
            <v>583949.74</v>
          </cell>
        </row>
        <row r="988">
          <cell r="F988" t="str">
            <v>Desp. ADM e Venda</v>
          </cell>
          <cell r="L988">
            <v>4547151.49</v>
          </cell>
        </row>
        <row r="989">
          <cell r="F989" t="str">
            <v>Desp. ADM e Venda</v>
          </cell>
          <cell r="L989">
            <v>0</v>
          </cell>
        </row>
        <row r="990">
          <cell r="F990" t="str">
            <v>Desp. ADM e Venda</v>
          </cell>
          <cell r="L990">
            <v>0</v>
          </cell>
        </row>
        <row r="991">
          <cell r="F991" t="str">
            <v>Desp. ADM e Venda</v>
          </cell>
          <cell r="L991">
            <v>12420929.279999999</v>
          </cell>
        </row>
        <row r="992">
          <cell r="F992" t="str">
            <v>Desp. ADM e Venda</v>
          </cell>
          <cell r="L992">
            <v>15076214.4</v>
          </cell>
        </row>
        <row r="993">
          <cell r="F993" t="str">
            <v>Desp. ADM e Venda</v>
          </cell>
          <cell r="L993">
            <v>10869638.1</v>
          </cell>
        </row>
        <row r="994">
          <cell r="F994" t="str">
            <v>Desp. ADM e Venda</v>
          </cell>
          <cell r="L994">
            <v>0</v>
          </cell>
        </row>
        <row r="995">
          <cell r="F995" t="str">
            <v>Desp. ADM e Venda</v>
          </cell>
          <cell r="L995">
            <v>0</v>
          </cell>
        </row>
        <row r="996">
          <cell r="F996" t="str">
            <v>Desp. ADM e Venda</v>
          </cell>
          <cell r="L996">
            <v>0</v>
          </cell>
        </row>
        <row r="997">
          <cell r="F997" t="str">
            <v>Desp. ADM e Venda</v>
          </cell>
          <cell r="L997">
            <v>-1655129.5500000007</v>
          </cell>
        </row>
        <row r="998">
          <cell r="F998" t="str">
            <v>Desp. ADM e Venda</v>
          </cell>
          <cell r="L998">
            <v>41715.090000000004</v>
          </cell>
        </row>
        <row r="999">
          <cell r="F999" t="str">
            <v>Desp. ADM e Venda</v>
          </cell>
          <cell r="L999">
            <v>42408045.380000003</v>
          </cell>
        </row>
        <row r="1000">
          <cell r="F1000" t="str">
            <v>Desp. ADM e Venda</v>
          </cell>
          <cell r="L1000">
            <v>4571948.6100000003</v>
          </cell>
        </row>
        <row r="1001">
          <cell r="F1001" t="str">
            <v>Desp. ADM e Venda</v>
          </cell>
          <cell r="L1001">
            <v>166391.79</v>
          </cell>
        </row>
        <row r="1002">
          <cell r="F1002" t="str">
            <v>Desp. ADM e Venda</v>
          </cell>
          <cell r="L1002">
            <v>20718483.370000001</v>
          </cell>
        </row>
        <row r="1003">
          <cell r="F1003" t="str">
            <v>Desp. ADM e Venda</v>
          </cell>
          <cell r="L1003">
            <v>149125.23000000001</v>
          </cell>
        </row>
        <row r="1004">
          <cell r="F1004" t="str">
            <v>Desp. ADM e Venda</v>
          </cell>
          <cell r="L1004">
            <v>0</v>
          </cell>
        </row>
        <row r="1005">
          <cell r="F1005" t="str">
            <v>Desp. ADM e Venda</v>
          </cell>
          <cell r="L1005">
            <v>-142755622.92000002</v>
          </cell>
        </row>
        <row r="1006">
          <cell r="F1006" t="str">
            <v>Desp. ADM e Venda</v>
          </cell>
          <cell r="L1006">
            <v>-18552.68</v>
          </cell>
        </row>
        <row r="1007">
          <cell r="F1007" t="str">
            <v>Desp. ADM e Venda</v>
          </cell>
          <cell r="L1007">
            <v>-41472225.519999996</v>
          </cell>
        </row>
        <row r="1008">
          <cell r="F1008" t="str">
            <v>Desp. ADM e Venda</v>
          </cell>
          <cell r="L1008">
            <v>-4534546.68</v>
          </cell>
        </row>
        <row r="1009">
          <cell r="F1009" t="str">
            <v>Desp. ADM e Venda</v>
          </cell>
          <cell r="L1009">
            <v>-708290.83000000007</v>
          </cell>
        </row>
        <row r="1010">
          <cell r="F1010" t="str">
            <v>Desp. ADM e Venda</v>
          </cell>
          <cell r="L1010">
            <v>-2378635.2700000005</v>
          </cell>
        </row>
        <row r="1011">
          <cell r="F1011" t="str">
            <v>Desp. ADM e Venda</v>
          </cell>
          <cell r="L1011">
            <v>-105857.19</v>
          </cell>
        </row>
        <row r="1012">
          <cell r="F1012" t="str">
            <v>Desp. ADM e Venda</v>
          </cell>
          <cell r="L1012">
            <v>45122.37</v>
          </cell>
        </row>
        <row r="1013">
          <cell r="F1013" t="str">
            <v>Desp. ADM e Venda</v>
          </cell>
          <cell r="L1013">
            <v>361191.44000000006</v>
          </cell>
        </row>
        <row r="1014">
          <cell r="F1014" t="str">
            <v>Desp. ADM e Venda</v>
          </cell>
          <cell r="L1014">
            <v>17323953.850000001</v>
          </cell>
        </row>
        <row r="1015">
          <cell r="F1015" t="str">
            <v>Desp. ADM e Venda</v>
          </cell>
          <cell r="L1015">
            <v>124612.26</v>
          </cell>
        </row>
        <row r="1016">
          <cell r="F1016" t="str">
            <v>Desp. ADM e Venda</v>
          </cell>
          <cell r="L1016">
            <v>-356714.76999999996</v>
          </cell>
        </row>
        <row r="1017">
          <cell r="F1017" t="str">
            <v>Desp. ADM e Venda</v>
          </cell>
          <cell r="L1017">
            <v>-1648472.97</v>
          </cell>
        </row>
        <row r="1018">
          <cell r="F1018" t="str">
            <v>Desp. ADM e Venda</v>
          </cell>
          <cell r="L1018">
            <v>2333427.7100000004</v>
          </cell>
        </row>
        <row r="1019">
          <cell r="F1019" t="str">
            <v>Desp. ADM e Venda</v>
          </cell>
          <cell r="L1019">
            <v>213984.1</v>
          </cell>
        </row>
        <row r="1020">
          <cell r="F1020" t="str">
            <v>Desp. ADM e Venda</v>
          </cell>
          <cell r="L1020">
            <v>31375.4</v>
          </cell>
        </row>
        <row r="1021">
          <cell r="F1021" t="str">
            <v>Desp. ADM e Venda</v>
          </cell>
          <cell r="L1021">
            <v>3617982.2</v>
          </cell>
        </row>
        <row r="1022">
          <cell r="F1022" t="str">
            <v>Desp. ADM e Venda</v>
          </cell>
          <cell r="L1022">
            <v>107990905.84000002</v>
          </cell>
        </row>
        <row r="1023">
          <cell r="F1023" t="str">
            <v>Desp. ADM e Venda</v>
          </cell>
          <cell r="L1023">
            <v>776265.85</v>
          </cell>
        </row>
        <row r="1024">
          <cell r="F1024" t="str">
            <v>Desp. ADM e Venda</v>
          </cell>
          <cell r="L1024">
            <v>82516.62</v>
          </cell>
        </row>
        <row r="1025">
          <cell r="F1025" t="str">
            <v>Desp. ADM e Venda</v>
          </cell>
          <cell r="L1025">
            <v>2832.4</v>
          </cell>
        </row>
        <row r="1026">
          <cell r="F1026" t="str">
            <v>Desp. ADM e Venda</v>
          </cell>
          <cell r="L1026">
            <v>24342.84</v>
          </cell>
        </row>
        <row r="1027">
          <cell r="F1027" t="str">
            <v>Desp. ADM e Venda</v>
          </cell>
          <cell r="L1027">
            <v>19515.070000000007</v>
          </cell>
        </row>
        <row r="1028">
          <cell r="F1028" t="str">
            <v>Desp. ADM e Venda</v>
          </cell>
          <cell r="L1028">
            <v>3872931.6800000006</v>
          </cell>
        </row>
        <row r="1029">
          <cell r="F1029" t="str">
            <v>Desp. ADM e Venda</v>
          </cell>
          <cell r="L1029">
            <v>10339.42</v>
          </cell>
        </row>
        <row r="1030">
          <cell r="F1030" t="str">
            <v>Desp. ADM e Venda</v>
          </cell>
          <cell r="L1030">
            <v>6624304.0999999996</v>
          </cell>
        </row>
        <row r="1031">
          <cell r="F1031" t="str">
            <v>Desp. ADM e Venda</v>
          </cell>
          <cell r="L1031">
            <v>20930</v>
          </cell>
        </row>
        <row r="1032">
          <cell r="F1032" t="str">
            <v>Desp. ADM e Venda</v>
          </cell>
          <cell r="L1032">
            <v>0</v>
          </cell>
        </row>
        <row r="1033">
          <cell r="F1033" t="str">
            <v>Desp. ADM e Venda</v>
          </cell>
          <cell r="L1033">
            <v>771971.34</v>
          </cell>
        </row>
        <row r="1034">
          <cell r="F1034" t="str">
            <v>Desp. ADM e Venda</v>
          </cell>
          <cell r="L1034">
            <v>103600</v>
          </cell>
        </row>
        <row r="1035">
          <cell r="F1035" t="str">
            <v>Desp. ADM e Venda</v>
          </cell>
          <cell r="L1035">
            <v>5760906.0700000003</v>
          </cell>
        </row>
        <row r="1036">
          <cell r="F1036" t="str">
            <v>Desp. ADM e Venda</v>
          </cell>
          <cell r="L1036">
            <v>2398562.6800000002</v>
          </cell>
        </row>
        <row r="1037">
          <cell r="F1037" t="str">
            <v>Desp. ADM e Venda</v>
          </cell>
          <cell r="L1037">
            <v>42376628.950000003</v>
          </cell>
        </row>
        <row r="1038">
          <cell r="F1038" t="str">
            <v>Desp. ADM e Venda</v>
          </cell>
          <cell r="L1038">
            <v>16123530.51</v>
          </cell>
        </row>
        <row r="1039">
          <cell r="F1039" t="str">
            <v>Desp. ADM e Venda</v>
          </cell>
          <cell r="L1039">
            <v>28243747.609999999</v>
          </cell>
        </row>
        <row r="1040">
          <cell r="F1040" t="str">
            <v>Desp. ADM e Venda</v>
          </cell>
          <cell r="L1040">
            <v>1280658.83</v>
          </cell>
        </row>
        <row r="1041">
          <cell r="F1041" t="str">
            <v>Desp. ADM e Venda</v>
          </cell>
          <cell r="L1041">
            <v>-634077.99</v>
          </cell>
        </row>
        <row r="1042">
          <cell r="F1042" t="str">
            <v>Desp. ADM e Venda</v>
          </cell>
          <cell r="L1042">
            <v>-1716728.1</v>
          </cell>
        </row>
        <row r="1043">
          <cell r="F1043" t="str">
            <v>Desp. ADM e Venda</v>
          </cell>
          <cell r="L1043">
            <v>-7911650.2699999996</v>
          </cell>
        </row>
        <row r="1044">
          <cell r="F1044" t="str">
            <v>Desp. ADM e Venda</v>
          </cell>
          <cell r="L1044">
            <v>2142457.2999999998</v>
          </cell>
        </row>
        <row r="1045">
          <cell r="F1045" t="str">
            <v>Desp. ADM e Venda</v>
          </cell>
          <cell r="L1045">
            <v>17310282.590000004</v>
          </cell>
        </row>
        <row r="1046">
          <cell r="F1046" t="str">
            <v>Desp. ADM e Venda</v>
          </cell>
          <cell r="L1046">
            <v>1008.55</v>
          </cell>
        </row>
        <row r="1047">
          <cell r="F1047" t="str">
            <v>Desp. ADM e Venda</v>
          </cell>
          <cell r="L1047">
            <v>0</v>
          </cell>
        </row>
        <row r="1048">
          <cell r="F1048" t="str">
            <v>Desp. ADM e Venda</v>
          </cell>
          <cell r="L1048">
            <v>47444.07</v>
          </cell>
        </row>
        <row r="1049">
          <cell r="F1049" t="str">
            <v>Desp. ADM e Venda</v>
          </cell>
          <cell r="L1049">
            <v>807344.07000000007</v>
          </cell>
        </row>
        <row r="1050">
          <cell r="F1050" t="str">
            <v>Desp. ADM e Venda</v>
          </cell>
          <cell r="L1050">
            <v>35061.85</v>
          </cell>
        </row>
        <row r="1051">
          <cell r="F1051" t="str">
            <v>Desp. ADM e Venda</v>
          </cell>
          <cell r="L1051">
            <v>0</v>
          </cell>
        </row>
        <row r="1052">
          <cell r="F1052" t="str">
            <v>Desp. ADM e Venda</v>
          </cell>
          <cell r="L1052">
            <v>2009130.88</v>
          </cell>
        </row>
        <row r="1053">
          <cell r="F1053" t="str">
            <v>Desp. ADM e Venda</v>
          </cell>
          <cell r="L1053">
            <v>1043395.1299999999</v>
          </cell>
        </row>
        <row r="1054">
          <cell r="F1054" t="str">
            <v>Desp. ADM e Venda</v>
          </cell>
          <cell r="L1054">
            <v>93501.15</v>
          </cell>
        </row>
        <row r="1055">
          <cell r="F1055" t="str">
            <v>Desp. ADM e Venda</v>
          </cell>
          <cell r="L1055">
            <v>0</v>
          </cell>
        </row>
        <row r="1056">
          <cell r="F1056" t="str">
            <v>Desp. ADM e Venda</v>
          </cell>
          <cell r="L1056">
            <v>0</v>
          </cell>
        </row>
        <row r="1057">
          <cell r="F1057" t="str">
            <v>Desp. ADM e Venda</v>
          </cell>
          <cell r="L1057">
            <v>519066.53</v>
          </cell>
        </row>
        <row r="1058">
          <cell r="F1058" t="str">
            <v>Desp. ADM e Venda</v>
          </cell>
          <cell r="L1058">
            <v>4397.7800000000007</v>
          </cell>
        </row>
        <row r="1059">
          <cell r="F1059" t="str">
            <v>Desp. ADM e Venda</v>
          </cell>
          <cell r="L1059">
            <v>0</v>
          </cell>
        </row>
        <row r="1060">
          <cell r="F1060" t="str">
            <v>Desp. ADM e Venda</v>
          </cell>
          <cell r="L1060">
            <v>-236045.34</v>
          </cell>
        </row>
        <row r="1061">
          <cell r="F1061" t="str">
            <v>Desp. ADM e Venda</v>
          </cell>
          <cell r="L1061">
            <v>-1096533.79</v>
          </cell>
        </row>
        <row r="1062">
          <cell r="F1062" t="str">
            <v>Desp. ADM e Venda</v>
          </cell>
          <cell r="L1062">
            <v>2509266.27</v>
          </cell>
        </row>
        <row r="1063">
          <cell r="F1063" t="str">
            <v>Desp. ADM e Venda</v>
          </cell>
          <cell r="L1063">
            <v>4602266.78</v>
          </cell>
        </row>
        <row r="1064">
          <cell r="F1064" t="str">
            <v>Desp. ADM e Venda</v>
          </cell>
          <cell r="L1064">
            <v>368809.14</v>
          </cell>
        </row>
        <row r="1065">
          <cell r="F1065" t="str">
            <v>Desp. ADM e Venda</v>
          </cell>
          <cell r="L1065">
            <v>12362197.870000001</v>
          </cell>
        </row>
        <row r="1066">
          <cell r="F1066" t="str">
            <v>Desp. ADM e Venda</v>
          </cell>
          <cell r="L1066">
            <v>445044.12999999995</v>
          </cell>
        </row>
        <row r="1067">
          <cell r="F1067" t="str">
            <v>Desp. ADM e Venda</v>
          </cell>
          <cell r="L1067">
            <v>2896540.6400000006</v>
          </cell>
        </row>
        <row r="1068">
          <cell r="F1068" t="str">
            <v>Desp. ADM e Venda</v>
          </cell>
          <cell r="L1068">
            <v>590411.52000000002</v>
          </cell>
        </row>
        <row r="1069">
          <cell r="F1069" t="str">
            <v>Desp. ADM e Venda</v>
          </cell>
          <cell r="L1069">
            <v>11592.98</v>
          </cell>
        </row>
        <row r="1070">
          <cell r="F1070" t="str">
            <v>Desp. ADM e Venda</v>
          </cell>
          <cell r="L1070">
            <v>-165061.85</v>
          </cell>
        </row>
        <row r="1071">
          <cell r="F1071" t="str">
            <v>Desp. ADM e Venda</v>
          </cell>
          <cell r="L1071">
            <v>-760284.82000000007</v>
          </cell>
        </row>
        <row r="1072">
          <cell r="F1072" t="str">
            <v>Desp. ADM e Venda</v>
          </cell>
          <cell r="L1072">
            <v>0</v>
          </cell>
        </row>
        <row r="1073">
          <cell r="F1073" t="str">
            <v>Desp. ADM e Venda</v>
          </cell>
          <cell r="L1073">
            <v>0</v>
          </cell>
        </row>
        <row r="1074">
          <cell r="F1074" t="str">
            <v>Desp. ADM e Venda</v>
          </cell>
          <cell r="L1074">
            <v>0</v>
          </cell>
        </row>
        <row r="1075">
          <cell r="F1075" t="str">
            <v>Desp. ADM e Venda</v>
          </cell>
          <cell r="L1075">
            <v>0</v>
          </cell>
        </row>
        <row r="1076">
          <cell r="F1076" t="str">
            <v>Desp. ADM e Venda</v>
          </cell>
          <cell r="L1076">
            <v>0</v>
          </cell>
        </row>
        <row r="1077">
          <cell r="F1077" t="str">
            <v>Desp. ADM e Venda</v>
          </cell>
          <cell r="L1077">
            <v>2697745.21</v>
          </cell>
        </row>
        <row r="1078">
          <cell r="F1078" t="str">
            <v>Desp. ADM e Venda</v>
          </cell>
          <cell r="L1078">
            <v>0</v>
          </cell>
        </row>
        <row r="1079">
          <cell r="F1079" t="str">
            <v>Desp. ADM e Venda</v>
          </cell>
          <cell r="L1079">
            <v>2769263.68</v>
          </cell>
        </row>
        <row r="1080">
          <cell r="F1080" t="str">
            <v>Desp. ADM e Venda</v>
          </cell>
          <cell r="L1080">
            <v>0</v>
          </cell>
        </row>
        <row r="1081">
          <cell r="F1081" t="str">
            <v>Desp. ADM e Venda</v>
          </cell>
          <cell r="L1081">
            <v>0</v>
          </cell>
        </row>
        <row r="1082">
          <cell r="F1082" t="str">
            <v>Desp. ADM e Venda</v>
          </cell>
          <cell r="L1082">
            <v>0</v>
          </cell>
        </row>
        <row r="1083">
          <cell r="F1083" t="str">
            <v>Desp. ADM e Venda</v>
          </cell>
          <cell r="L1083">
            <v>4099311.28</v>
          </cell>
        </row>
        <row r="1084">
          <cell r="F1084" t="str">
            <v>Desp. ADM e Venda</v>
          </cell>
          <cell r="L1084">
            <v>2362371.39</v>
          </cell>
        </row>
        <row r="1085">
          <cell r="F1085" t="str">
            <v>Desp. ADM e Venda</v>
          </cell>
          <cell r="L1085">
            <v>2705888.14</v>
          </cell>
        </row>
        <row r="1086">
          <cell r="F1086" t="str">
            <v>Desp. ADM e Venda</v>
          </cell>
          <cell r="L1086">
            <v>182727.78</v>
          </cell>
        </row>
        <row r="1087">
          <cell r="F1087" t="str">
            <v>Desp. ADM e Venda</v>
          </cell>
          <cell r="L1087">
            <v>57504469.349999994</v>
          </cell>
        </row>
        <row r="1088">
          <cell r="F1088" t="str">
            <v>Desp. ADM e Venda</v>
          </cell>
          <cell r="L1088">
            <v>3109947.05</v>
          </cell>
        </row>
        <row r="1089">
          <cell r="F1089" t="str">
            <v>Desp. ADM e Venda</v>
          </cell>
          <cell r="L1089">
            <v>1230715.7599999998</v>
          </cell>
        </row>
        <row r="1090">
          <cell r="F1090" t="str">
            <v>Desp. ADM e Venda</v>
          </cell>
          <cell r="L1090">
            <v>90491.82</v>
          </cell>
        </row>
        <row r="1091">
          <cell r="F1091" t="str">
            <v>Desp. ADM e Venda</v>
          </cell>
          <cell r="L1091">
            <v>66798.070000000007</v>
          </cell>
        </row>
        <row r="1092">
          <cell r="F1092" t="str">
            <v>Desp. ADM e Venda</v>
          </cell>
          <cell r="L1092">
            <v>-28127.31</v>
          </cell>
        </row>
        <row r="1093">
          <cell r="F1093" t="str">
            <v>Desp. ADM e Venda</v>
          </cell>
          <cell r="L1093">
            <v>-129555.84</v>
          </cell>
        </row>
        <row r="1094">
          <cell r="F1094" t="str">
            <v>Desp. ADM e Venda</v>
          </cell>
          <cell r="L1094">
            <v>996096.42999999993</v>
          </cell>
        </row>
        <row r="1095">
          <cell r="F1095" t="str">
            <v>Desp. ADM e Venda</v>
          </cell>
          <cell r="L1095">
            <v>5413343.1099999994</v>
          </cell>
        </row>
        <row r="1096">
          <cell r="F1096" t="str">
            <v>Desp. ADM e Venda</v>
          </cell>
          <cell r="L1096">
            <v>4155208.1799999997</v>
          </cell>
        </row>
        <row r="1097">
          <cell r="F1097" t="str">
            <v>Desp. ADM e Venda</v>
          </cell>
          <cell r="L1097">
            <v>-3314087.43</v>
          </cell>
        </row>
        <row r="1098">
          <cell r="F1098" t="str">
            <v>Desp. ADM e Venda</v>
          </cell>
          <cell r="L1098">
            <v>-90132.05</v>
          </cell>
        </row>
        <row r="1099">
          <cell r="F1099" t="str">
            <v>Desp. ADM e Venda</v>
          </cell>
          <cell r="L1099">
            <v>-294455.69</v>
          </cell>
        </row>
        <row r="1100">
          <cell r="F1100" t="str">
            <v>Desp. ADM e Venda</v>
          </cell>
          <cell r="L1100">
            <v>0</v>
          </cell>
        </row>
        <row r="1101">
          <cell r="F1101" t="str">
            <v>Desp. ADM e Venda</v>
          </cell>
          <cell r="L1101">
            <v>0</v>
          </cell>
        </row>
        <row r="1102">
          <cell r="F1102" t="str">
            <v>Desp. ADM e Venda</v>
          </cell>
          <cell r="L1102">
            <v>2928593.1799999997</v>
          </cell>
        </row>
        <row r="1103">
          <cell r="F1103" t="str">
            <v>Desp. ADM e Venda</v>
          </cell>
          <cell r="L1103">
            <v>19055.07</v>
          </cell>
        </row>
        <row r="1104">
          <cell r="F1104" t="str">
            <v>Desp. ADM e Venda</v>
          </cell>
          <cell r="L1104">
            <v>1012883.12</v>
          </cell>
        </row>
        <row r="1105">
          <cell r="F1105" t="str">
            <v>Desp. ADM e Venda</v>
          </cell>
          <cell r="L1105">
            <v>13665.73</v>
          </cell>
        </row>
        <row r="1106">
          <cell r="F1106" t="str">
            <v>Desp. ADM e Venda</v>
          </cell>
          <cell r="L1106">
            <v>1122022.42</v>
          </cell>
        </row>
        <row r="1107">
          <cell r="F1107" t="str">
            <v>Desp. ADM e Venda</v>
          </cell>
          <cell r="L1107">
            <v>12532.06</v>
          </cell>
        </row>
        <row r="1108">
          <cell r="F1108" t="str">
            <v>Desp. ADM e Venda</v>
          </cell>
          <cell r="L1108">
            <v>7363.69</v>
          </cell>
        </row>
        <row r="1109">
          <cell r="F1109" t="str">
            <v>Desp. ADM e Venda</v>
          </cell>
          <cell r="L1109">
            <v>601916.43000000005</v>
          </cell>
        </row>
        <row r="1110">
          <cell r="F1110" t="str">
            <v>Desp. ADM e Venda</v>
          </cell>
          <cell r="L1110">
            <v>455069.73</v>
          </cell>
        </row>
        <row r="1111">
          <cell r="F1111" t="str">
            <v>Desp. ADM e Venda</v>
          </cell>
          <cell r="L1111">
            <v>62837.4</v>
          </cell>
        </row>
        <row r="1112">
          <cell r="F1112" t="str">
            <v>Desp. ADM e Venda</v>
          </cell>
          <cell r="L1112">
            <v>3039.33</v>
          </cell>
        </row>
        <row r="1113">
          <cell r="F1113" t="str">
            <v>Desp. ADM e Venda</v>
          </cell>
          <cell r="L1113">
            <v>41510.14</v>
          </cell>
        </row>
        <row r="1114">
          <cell r="F1114"/>
        </row>
        <row r="1115">
          <cell r="F1115" t="str">
            <v>Desp. ADM e Venda</v>
          </cell>
          <cell r="L1115">
            <v>-14211.26</v>
          </cell>
        </row>
        <row r="1116">
          <cell r="F1116" t="str">
            <v>Desp. ADM e Venda</v>
          </cell>
          <cell r="L1116">
            <v>-65458.07</v>
          </cell>
        </row>
        <row r="1117">
          <cell r="F1117" t="str">
            <v>Desp. ADM e Venda</v>
          </cell>
          <cell r="L1117">
            <v>1450659.04</v>
          </cell>
        </row>
        <row r="1118">
          <cell r="F1118" t="str">
            <v>Desp. ADM e Venda</v>
          </cell>
          <cell r="L1118">
            <v>16195.24</v>
          </cell>
        </row>
        <row r="1119">
          <cell r="F1119" t="str">
            <v>Desp. ADM e Venda</v>
          </cell>
          <cell r="L1119">
            <v>1833799.8099999998</v>
          </cell>
        </row>
        <row r="1120">
          <cell r="F1120" t="str">
            <v>Desp. ADM e Venda</v>
          </cell>
          <cell r="L1120">
            <v>31520.36</v>
          </cell>
        </row>
        <row r="1121">
          <cell r="F1121" t="str">
            <v>Desp. ADM e Venda</v>
          </cell>
          <cell r="L1121">
            <v>0</v>
          </cell>
        </row>
        <row r="1122">
          <cell r="F1122" t="str">
            <v>Desp. ADM e Venda</v>
          </cell>
          <cell r="L1122">
            <v>455488.94999999966</v>
          </cell>
        </row>
        <row r="1123">
          <cell r="F1123" t="str">
            <v>Desp. ADM e Venda</v>
          </cell>
          <cell r="L1123">
            <v>20787301.77</v>
          </cell>
        </row>
        <row r="1124">
          <cell r="F1124" t="str">
            <v>Desp. ADM e Venda</v>
          </cell>
          <cell r="L1124">
            <v>1341613.46</v>
          </cell>
        </row>
        <row r="1125">
          <cell r="F1125" t="str">
            <v>Desp. ADM e Venda</v>
          </cell>
          <cell r="L1125">
            <v>0</v>
          </cell>
        </row>
        <row r="1126">
          <cell r="F1126" t="str">
            <v>Desp. ADM e Venda</v>
          </cell>
          <cell r="L1126">
            <v>151076.79999999999</v>
          </cell>
        </row>
        <row r="1127">
          <cell r="F1127" t="str">
            <v>Desp. ADM e Venda</v>
          </cell>
          <cell r="L1127">
            <v>5805578.3900000006</v>
          </cell>
        </row>
        <row r="1128">
          <cell r="F1128" t="str">
            <v>Desp. ADM e Venda</v>
          </cell>
          <cell r="L1128">
            <v>17068.759999999998</v>
          </cell>
        </row>
        <row r="1129">
          <cell r="F1129" t="str">
            <v>Desp. ADM e Venda</v>
          </cell>
          <cell r="L1129">
            <v>12103.15</v>
          </cell>
        </row>
        <row r="1130">
          <cell r="F1130" t="str">
            <v>Desp. ADM e Venda</v>
          </cell>
          <cell r="L1130">
            <v>160275328.1000002</v>
          </cell>
        </row>
        <row r="1131">
          <cell r="F1131" t="str">
            <v>Desp. ADM e Venda</v>
          </cell>
          <cell r="L1131">
            <v>827991.97</v>
          </cell>
        </row>
        <row r="1132">
          <cell r="F1132" t="str">
            <v>Desp. ADM e Venda</v>
          </cell>
          <cell r="L1132">
            <v>3739693.5</v>
          </cell>
        </row>
        <row r="1133">
          <cell r="F1133" t="str">
            <v>Desp. ADM e Venda</v>
          </cell>
          <cell r="L1133">
            <v>110592.84</v>
          </cell>
        </row>
        <row r="1134">
          <cell r="F1134" t="str">
            <v>Desp. ADM e Venda</v>
          </cell>
          <cell r="L1134">
            <v>1495578.17</v>
          </cell>
        </row>
        <row r="1135">
          <cell r="F1135" t="str">
            <v>Desp. ADM e Venda</v>
          </cell>
          <cell r="L1135">
            <v>19106.05</v>
          </cell>
        </row>
        <row r="1136">
          <cell r="F1136" t="str">
            <v>Desp. ADM e Venda</v>
          </cell>
          <cell r="L1136">
            <v>2259197.5499999998</v>
          </cell>
        </row>
        <row r="1137">
          <cell r="F1137" t="str">
            <v>Desp. ADM e Venda</v>
          </cell>
          <cell r="L1137">
            <v>-305157.09000000003</v>
          </cell>
        </row>
        <row r="1138">
          <cell r="F1138" t="str">
            <v>Desp. ADM e Venda</v>
          </cell>
          <cell r="L1138">
            <v>-1405572.04</v>
          </cell>
        </row>
        <row r="1139">
          <cell r="F1139" t="str">
            <v>Desp. ADM e Venda</v>
          </cell>
          <cell r="L1139">
            <v>806834.36</v>
          </cell>
        </row>
        <row r="1140">
          <cell r="F1140" t="str">
            <v>Desp. ADM e Venda</v>
          </cell>
          <cell r="L1140">
            <v>8935555.9399999995</v>
          </cell>
        </row>
        <row r="1141">
          <cell r="F1141" t="str">
            <v>Desp. ADM e Venda</v>
          </cell>
          <cell r="L1141">
            <v>1671853.4000000001</v>
          </cell>
        </row>
        <row r="1142">
          <cell r="F1142" t="str">
            <v>Desp. ADM e Venda</v>
          </cell>
          <cell r="L1142">
            <v>13543110.140000001</v>
          </cell>
        </row>
        <row r="1143">
          <cell r="F1143" t="str">
            <v>Desp. ADM e Venda</v>
          </cell>
          <cell r="L1143">
            <v>129400327.64999999</v>
          </cell>
        </row>
        <row r="1144">
          <cell r="F1144" t="str">
            <v>Desp. ADM e Venda</v>
          </cell>
          <cell r="L1144">
            <v>245592.58000000002</v>
          </cell>
        </row>
        <row r="1145">
          <cell r="F1145" t="str">
            <v>Desp. ADM e Venda</v>
          </cell>
          <cell r="L1145">
            <v>267592.89</v>
          </cell>
        </row>
        <row r="1146">
          <cell r="F1146" t="str">
            <v>Desp. ADM e Venda</v>
          </cell>
          <cell r="L1146">
            <v>0</v>
          </cell>
        </row>
        <row r="1147">
          <cell r="F1147" t="str">
            <v>Desp. ADM e Venda</v>
          </cell>
          <cell r="L1147">
            <v>136874.32</v>
          </cell>
        </row>
        <row r="1148">
          <cell r="F1148" t="str">
            <v>Desp. ADM e Venda</v>
          </cell>
          <cell r="L1148">
            <v>9832.93</v>
          </cell>
        </row>
        <row r="1149">
          <cell r="F1149" t="str">
            <v>Desp. ADM e Venda</v>
          </cell>
          <cell r="L1149">
            <v>0</v>
          </cell>
        </row>
        <row r="1150">
          <cell r="F1150" t="str">
            <v>Desp. ADM e Venda</v>
          </cell>
          <cell r="L1150">
            <v>12449023.900000006</v>
          </cell>
        </row>
        <row r="1151">
          <cell r="F1151" t="str">
            <v>Desp. ADM e Venda</v>
          </cell>
          <cell r="L1151">
            <v>4071111.2800000003</v>
          </cell>
        </row>
        <row r="1152">
          <cell r="F1152" t="str">
            <v>Desp. ADM e Venda</v>
          </cell>
          <cell r="L1152">
            <v>-11804554.890000001</v>
          </cell>
        </row>
        <row r="1153">
          <cell r="F1153" t="str">
            <v>Desp. ADM e Venda</v>
          </cell>
          <cell r="L1153">
            <v>-104905.17</v>
          </cell>
        </row>
        <row r="1154">
          <cell r="F1154" t="str">
            <v>Desp. ADM e Venda</v>
          </cell>
          <cell r="L1154">
            <v>-483199.64</v>
          </cell>
        </row>
        <row r="1155">
          <cell r="F1155" t="str">
            <v>Desp. ADM e Venda</v>
          </cell>
          <cell r="L1155">
            <v>-83565.56</v>
          </cell>
        </row>
        <row r="1156">
          <cell r="F1156" t="str">
            <v>Desp. ADM e Venda</v>
          </cell>
          <cell r="L1156">
            <v>-384907.95</v>
          </cell>
        </row>
        <row r="1157">
          <cell r="F1157" t="str">
            <v>Desp. ADM e Venda</v>
          </cell>
          <cell r="L1157">
            <v>0</v>
          </cell>
        </row>
        <row r="1158">
          <cell r="F1158" t="str">
            <v>Desp. ADM e Venda</v>
          </cell>
          <cell r="L1158">
            <v>1350677.48</v>
          </cell>
        </row>
        <row r="1159">
          <cell r="F1159" t="str">
            <v>Desp. ADM e Venda</v>
          </cell>
          <cell r="L1159">
            <v>0</v>
          </cell>
        </row>
        <row r="1160">
          <cell r="F1160" t="str">
            <v>Desp. ADM e Venda</v>
          </cell>
          <cell r="L1160">
            <v>0</v>
          </cell>
        </row>
        <row r="1161">
          <cell r="F1161" t="str">
            <v>Desp. ADM e Venda</v>
          </cell>
          <cell r="L1161">
            <v>0</v>
          </cell>
        </row>
        <row r="1162">
          <cell r="F1162" t="str">
            <v>Desp. ADM e Venda</v>
          </cell>
          <cell r="L1162">
            <v>0</v>
          </cell>
        </row>
        <row r="1163">
          <cell r="F1163" t="str">
            <v>Desp. ADM e Venda</v>
          </cell>
          <cell r="L1163">
            <v>0</v>
          </cell>
        </row>
        <row r="1164">
          <cell r="F1164" t="str">
            <v>Desp. ADM e Venda</v>
          </cell>
          <cell r="L1164">
            <v>0</v>
          </cell>
        </row>
        <row r="1165">
          <cell r="F1165" t="str">
            <v>Desp. ADM e Venda</v>
          </cell>
          <cell r="L1165">
            <v>0</v>
          </cell>
        </row>
        <row r="1166">
          <cell r="F1166" t="str">
            <v>Desp. ADM e Venda</v>
          </cell>
          <cell r="L1166">
            <v>0</v>
          </cell>
        </row>
        <row r="1167">
          <cell r="F1167" t="str">
            <v>Desp. ADM e Venda</v>
          </cell>
          <cell r="L1167">
            <v>7987849.7999999998</v>
          </cell>
        </row>
        <row r="1168">
          <cell r="F1168" t="str">
            <v>Desp. ADM e Venda</v>
          </cell>
          <cell r="L1168">
            <v>13766286.01</v>
          </cell>
        </row>
        <row r="1169">
          <cell r="F1169" t="str">
            <v>Desp. ADM e Venda</v>
          </cell>
          <cell r="L1169">
            <v>-125132.61</v>
          </cell>
        </row>
        <row r="1170">
          <cell r="F1170" t="str">
            <v>Desp. ADM e Venda</v>
          </cell>
          <cell r="L1170">
            <v>-576368.5</v>
          </cell>
        </row>
        <row r="1171">
          <cell r="F1171" t="str">
            <v>Desp. ADM e Venda</v>
          </cell>
          <cell r="L1171">
            <v>1917066.85</v>
          </cell>
        </row>
        <row r="1172">
          <cell r="F1172" t="str">
            <v>Desp. ADM e Venda</v>
          </cell>
          <cell r="L1172">
            <v>696957.53999999992</v>
          </cell>
        </row>
        <row r="1173">
          <cell r="F1173" t="str">
            <v>Desp. ADM e Venda</v>
          </cell>
          <cell r="L1173">
            <v>0</v>
          </cell>
        </row>
        <row r="1174">
          <cell r="F1174" t="str">
            <v>Desp. ADM e Venda</v>
          </cell>
          <cell r="L1174">
            <v>0</v>
          </cell>
        </row>
        <row r="1175">
          <cell r="F1175" t="str">
            <v>Desp. ADM e Venda</v>
          </cell>
          <cell r="L1175">
            <v>-39651.89</v>
          </cell>
        </row>
        <row r="1176">
          <cell r="F1176" t="str">
            <v>Desp. ADM e Venda</v>
          </cell>
          <cell r="L1176">
            <v>-177301.41999999998</v>
          </cell>
        </row>
        <row r="1177">
          <cell r="F1177" t="str">
            <v>Desp. ADM e Venda</v>
          </cell>
          <cell r="L1177">
            <v>0</v>
          </cell>
        </row>
        <row r="1178">
          <cell r="F1178" t="str">
            <v>Desp. ADM e Venda</v>
          </cell>
          <cell r="L1178">
            <v>209801.29</v>
          </cell>
        </row>
        <row r="1179">
          <cell r="F1179" t="str">
            <v>Desp. ADM e Venda</v>
          </cell>
          <cell r="L1179">
            <v>372640.74000000005</v>
          </cell>
        </row>
        <row r="1180">
          <cell r="F1180" t="str">
            <v>Desp. ADM e Venda</v>
          </cell>
          <cell r="L1180">
            <v>52381870.770000011</v>
          </cell>
        </row>
        <row r="1181">
          <cell r="F1181" t="str">
            <v>Desp. ADM e Venda</v>
          </cell>
          <cell r="L1181">
            <v>0</v>
          </cell>
        </row>
        <row r="1182">
          <cell r="F1182" t="str">
            <v>Desp. ADM e Venda</v>
          </cell>
          <cell r="L1182">
            <v>0</v>
          </cell>
        </row>
        <row r="1183">
          <cell r="F1183" t="str">
            <v>Desp. ADM e Venda</v>
          </cell>
          <cell r="L1183">
            <v>0</v>
          </cell>
        </row>
        <row r="1184">
          <cell r="F1184" t="str">
            <v>Desp. ADM e Venda</v>
          </cell>
          <cell r="L1184">
            <v>0</v>
          </cell>
        </row>
        <row r="1185">
          <cell r="F1185" t="str">
            <v>Desp. ADM e Venda</v>
          </cell>
          <cell r="L1185">
            <v>0</v>
          </cell>
        </row>
        <row r="1186">
          <cell r="F1186" t="str">
            <v>Desp. ADM e Venda</v>
          </cell>
          <cell r="L1186">
            <v>-6016132.3900000025</v>
          </cell>
        </row>
        <row r="1187">
          <cell r="F1187" t="str">
            <v>Desp. ADM e Venda</v>
          </cell>
          <cell r="L1187">
            <v>240771.53</v>
          </cell>
        </row>
        <row r="1188">
          <cell r="F1188" t="str">
            <v>Desp. ADM e Venda</v>
          </cell>
          <cell r="L1188">
            <v>37760.769999999997</v>
          </cell>
        </row>
        <row r="1189">
          <cell r="F1189" t="str">
            <v>Desp. ADM e Venda</v>
          </cell>
          <cell r="L1189">
            <v>173931.11</v>
          </cell>
        </row>
        <row r="1190">
          <cell r="F1190" t="str">
            <v>Desp. ADM e Venda</v>
          </cell>
          <cell r="L1190">
            <v>0</v>
          </cell>
        </row>
        <row r="1191">
          <cell r="F1191" t="str">
            <v>Desp. ADM e Venda</v>
          </cell>
          <cell r="L1191">
            <v>0</v>
          </cell>
        </row>
        <row r="1192">
          <cell r="F1192" t="str">
            <v>Desp. ADM e Venda</v>
          </cell>
          <cell r="L1192">
            <v>0</v>
          </cell>
        </row>
        <row r="1193">
          <cell r="F1193" t="str">
            <v>Desp. ADM e Venda</v>
          </cell>
          <cell r="L1193">
            <v>-3022496.83</v>
          </cell>
        </row>
        <row r="1194">
          <cell r="F1194" t="str">
            <v>Desp. ADM e Venda</v>
          </cell>
          <cell r="L1194">
            <v>-1158157.94</v>
          </cell>
        </row>
        <row r="1195">
          <cell r="F1195" t="str">
            <v>Desp. ADM e Venda</v>
          </cell>
          <cell r="L1195">
            <v>0</v>
          </cell>
        </row>
        <row r="1196">
          <cell r="F1196" t="str">
            <v>(Perda) reversão por redução ao valor recuperável de contas a receber</v>
          </cell>
          <cell r="L1196">
            <v>239256.50999999992</v>
          </cell>
        </row>
        <row r="1197">
          <cell r="F1197" t="str">
            <v>Desp. ADM e Venda</v>
          </cell>
          <cell r="L1197">
            <v>60380979.910000004</v>
          </cell>
        </row>
        <row r="1198">
          <cell r="F1198" t="str">
            <v>Desp. ADM e Venda</v>
          </cell>
          <cell r="L1198">
            <v>3858756.49</v>
          </cell>
        </row>
        <row r="1199">
          <cell r="F1199" t="str">
            <v>Desp. ADM e Venda</v>
          </cell>
          <cell r="L1199">
            <v>106.04</v>
          </cell>
        </row>
        <row r="1200">
          <cell r="F1200" t="str">
            <v>Desp. ADM e Venda</v>
          </cell>
          <cell r="L1200">
            <v>-2105675.5500000003</v>
          </cell>
        </row>
        <row r="1201">
          <cell r="F1201" t="str">
            <v>Desp. ADM e Venda</v>
          </cell>
          <cell r="L1201">
            <v>-9693840.7599999998</v>
          </cell>
        </row>
        <row r="1202">
          <cell r="F1202" t="str">
            <v>Desp. ADM e Venda</v>
          </cell>
          <cell r="L1202">
            <v>503082.5</v>
          </cell>
        </row>
        <row r="1203">
          <cell r="F1203" t="str">
            <v>Desp. ADM e Venda</v>
          </cell>
          <cell r="L1203">
            <v>5567532.1299999999</v>
          </cell>
        </row>
        <row r="1204">
          <cell r="F1204" t="str">
            <v>Desp. ADM e Venda</v>
          </cell>
          <cell r="L1204">
            <v>325743.34000000003</v>
          </cell>
        </row>
        <row r="1205">
          <cell r="F1205" t="str">
            <v>Desp. ADM e Venda</v>
          </cell>
          <cell r="L1205">
            <v>-302.70000000000005</v>
          </cell>
        </row>
        <row r="1206">
          <cell r="F1206" t="str">
            <v>Desp. ADM e Venda</v>
          </cell>
          <cell r="L1206">
            <v>1044219.34</v>
          </cell>
        </row>
        <row r="1207">
          <cell r="F1207" t="str">
            <v>Desp. ADM e Venda</v>
          </cell>
          <cell r="L1207">
            <v>0</v>
          </cell>
        </row>
        <row r="1208">
          <cell r="F1208" t="str">
            <v>Desp. ADM e Venda</v>
          </cell>
          <cell r="L1208">
            <v>852844.84</v>
          </cell>
        </row>
        <row r="1209">
          <cell r="F1209" t="str">
            <v>Desp. ADM e Venda</v>
          </cell>
          <cell r="L1209">
            <v>0</v>
          </cell>
        </row>
        <row r="1210">
          <cell r="F1210" t="str">
            <v>Desp. ADM e Venda</v>
          </cell>
          <cell r="L1210">
            <v>10463135.9</v>
          </cell>
        </row>
        <row r="1211">
          <cell r="F1211" t="str">
            <v>Desp. ADM e Venda</v>
          </cell>
          <cell r="L1211">
            <v>10707.93</v>
          </cell>
        </row>
        <row r="1212">
          <cell r="F1212" t="str">
            <v>Desp. ADM e Venda</v>
          </cell>
          <cell r="L1212">
            <v>0</v>
          </cell>
        </row>
        <row r="1213">
          <cell r="F1213" t="str">
            <v>Desp. ADM e Venda</v>
          </cell>
          <cell r="L1213">
            <v>385457.97000000003</v>
          </cell>
        </row>
        <row r="1214">
          <cell r="F1214" t="str">
            <v>Desp. ADM e Venda</v>
          </cell>
          <cell r="L1214">
            <v>0</v>
          </cell>
        </row>
        <row r="1215">
          <cell r="F1215" t="str">
            <v>Desp. ADM e Venda</v>
          </cell>
          <cell r="L1215">
            <v>0</v>
          </cell>
        </row>
        <row r="1216">
          <cell r="F1216" t="str">
            <v>Desp. ADM e Venda</v>
          </cell>
          <cell r="L1216">
            <v>884331.03</v>
          </cell>
        </row>
        <row r="1217">
          <cell r="F1217" t="str">
            <v>Desp. ADM e Venda</v>
          </cell>
          <cell r="L1217">
            <v>0</v>
          </cell>
        </row>
        <row r="1218">
          <cell r="F1218" t="str">
            <v>(Perda) reversão por redução ao valor recuperável de contas a receber</v>
          </cell>
          <cell r="L1218">
            <v>1201537.47</v>
          </cell>
        </row>
        <row r="1219">
          <cell r="F1219" t="str">
            <v>Desp. ADM e Venda</v>
          </cell>
          <cell r="L1219">
            <v>181022.45</v>
          </cell>
        </row>
        <row r="1220">
          <cell r="F1220" t="str">
            <v>Desp. ADM e Venda</v>
          </cell>
          <cell r="L1220">
            <v>0</v>
          </cell>
        </row>
        <row r="1221">
          <cell r="F1221" t="str">
            <v>Desp. ADM e Venda</v>
          </cell>
          <cell r="L1221">
            <v>51687.66</v>
          </cell>
        </row>
        <row r="1222">
          <cell r="F1222" t="str">
            <v>Desp. ADM e Venda</v>
          </cell>
          <cell r="L1222">
            <v>960</v>
          </cell>
        </row>
        <row r="1223">
          <cell r="F1223" t="str">
            <v>Desp. ADM e Venda</v>
          </cell>
          <cell r="L1223">
            <v>0</v>
          </cell>
        </row>
        <row r="1224">
          <cell r="F1224" t="str">
            <v>Desp. ADM e Venda</v>
          </cell>
          <cell r="L1224">
            <v>0</v>
          </cell>
        </row>
        <row r="1225">
          <cell r="F1225" t="str">
            <v>Desp. ADM e Venda</v>
          </cell>
          <cell r="L1225">
            <v>-3898938.8400000008</v>
          </cell>
        </row>
        <row r="1226">
          <cell r="F1226" t="str">
            <v>Desp. ADM e Venda</v>
          </cell>
          <cell r="L1226">
            <v>-1303445.3</v>
          </cell>
        </row>
        <row r="1227">
          <cell r="F1227" t="str">
            <v>Desp. ADM e Venda</v>
          </cell>
          <cell r="L1227">
            <v>0</v>
          </cell>
        </row>
        <row r="1228">
          <cell r="F1228" t="str">
            <v>Desp. ADM e Venda</v>
          </cell>
          <cell r="L1228">
            <v>-306287.23</v>
          </cell>
        </row>
        <row r="1229">
          <cell r="F1229" t="str">
            <v>Desp. ADM e Venda</v>
          </cell>
          <cell r="L1229">
            <v>0</v>
          </cell>
        </row>
        <row r="1230">
          <cell r="F1230" t="str">
            <v>Desp. ADM e Venda</v>
          </cell>
          <cell r="L1230">
            <v>0</v>
          </cell>
        </row>
        <row r="1231">
          <cell r="F1231" t="str">
            <v>Desp. ADM e Venda</v>
          </cell>
          <cell r="L1231">
            <v>45604711.50999999</v>
          </cell>
        </row>
        <row r="1232">
          <cell r="F1232" t="str">
            <v>Desp. ADM e Venda</v>
          </cell>
          <cell r="L1232">
            <v>425922.25</v>
          </cell>
        </row>
        <row r="1233">
          <cell r="F1233" t="str">
            <v>Desp. ADM e Venda</v>
          </cell>
          <cell r="L1233">
            <v>12772497.310000001</v>
          </cell>
        </row>
        <row r="1234">
          <cell r="F1234" t="str">
            <v>Desp. ADM e Venda</v>
          </cell>
          <cell r="L1234">
            <v>42491896.259999998</v>
          </cell>
        </row>
        <row r="1235">
          <cell r="F1235" t="str">
            <v>Desp. ADM e Venda</v>
          </cell>
          <cell r="L1235">
            <v>1056700.74</v>
          </cell>
        </row>
        <row r="1236">
          <cell r="F1236" t="str">
            <v>Desp. ADM e Venda</v>
          </cell>
          <cell r="L1236">
            <v>152248068.89000002</v>
          </cell>
        </row>
        <row r="1237">
          <cell r="F1237" t="str">
            <v>Desp. ADM e Venda</v>
          </cell>
          <cell r="L1237">
            <v>202471030.82999998</v>
          </cell>
        </row>
        <row r="1238">
          <cell r="F1238" t="str">
            <v>Desp. ADM e Venda</v>
          </cell>
          <cell r="L1238">
            <v>-202471030.82999998</v>
          </cell>
        </row>
        <row r="1239">
          <cell r="F1239" t="str">
            <v>Desp. ADM e Venda</v>
          </cell>
          <cell r="L1239">
            <v>-2624778.7099999995</v>
          </cell>
        </row>
        <row r="1240">
          <cell r="F1240" t="str">
            <v>Desp. ADM e Venda</v>
          </cell>
          <cell r="L1240">
            <v>-12114263</v>
          </cell>
        </row>
        <row r="1241">
          <cell r="F1241" t="str">
            <v>Desp. ADM e Venda</v>
          </cell>
          <cell r="L1241">
            <v>15411833.390000001</v>
          </cell>
        </row>
        <row r="1242">
          <cell r="F1242" t="str">
            <v>Desp. ADM e Venda</v>
          </cell>
          <cell r="L1242">
            <v>3240640.6</v>
          </cell>
        </row>
        <row r="1243">
          <cell r="F1243" t="str">
            <v>Desp. ADM e Venda</v>
          </cell>
          <cell r="L1243">
            <v>2006112.06</v>
          </cell>
        </row>
        <row r="1244">
          <cell r="F1244" t="str">
            <v>Desp. ADM e Venda</v>
          </cell>
          <cell r="L1244">
            <v>-133452.46</v>
          </cell>
        </row>
        <row r="1245">
          <cell r="F1245" t="str">
            <v>Desp. ADM e Venda</v>
          </cell>
          <cell r="L1245">
            <v>-611289.69999999995</v>
          </cell>
        </row>
        <row r="1246">
          <cell r="F1246" t="str">
            <v xml:space="preserve">Outras (despesas) receitas operacionais liquidas </v>
          </cell>
          <cell r="L1246">
            <v>0</v>
          </cell>
        </row>
        <row r="1247">
          <cell r="F1247" t="str">
            <v xml:space="preserve">Outras (despesas) receitas operacionais liquidas </v>
          </cell>
          <cell r="L1247">
            <v>0</v>
          </cell>
        </row>
        <row r="1248">
          <cell r="F1248" t="str">
            <v xml:space="preserve">Outras (despesas) receitas operacionais liquidas </v>
          </cell>
          <cell r="L1248">
            <v>0</v>
          </cell>
        </row>
        <row r="1249">
          <cell r="F1249" t="str">
            <v xml:space="preserve">Outras (despesas) receitas operacionais liquidas </v>
          </cell>
          <cell r="L1249">
            <v>0</v>
          </cell>
        </row>
        <row r="1250">
          <cell r="F1250" t="str">
            <v xml:space="preserve">Outras (despesas) receitas operacionais liquidas </v>
          </cell>
          <cell r="L1250">
            <v>0</v>
          </cell>
        </row>
        <row r="1251">
          <cell r="F1251" t="str">
            <v xml:space="preserve">Outras (despesas) receitas operacionais liquidas </v>
          </cell>
          <cell r="L1251">
            <v>0</v>
          </cell>
        </row>
        <row r="1252">
          <cell r="F1252" t="str">
            <v xml:space="preserve">Outras (despesas) receitas operacionais liquidas </v>
          </cell>
          <cell r="L1252">
            <v>0</v>
          </cell>
        </row>
        <row r="1253">
          <cell r="F1253" t="str">
            <v xml:space="preserve">Outras (despesas) receitas operacionais liquidas </v>
          </cell>
          <cell r="L1253">
            <v>0</v>
          </cell>
        </row>
        <row r="1254">
          <cell r="F1254" t="str">
            <v xml:space="preserve">Outras (despesas) receitas operacionais liquidas </v>
          </cell>
          <cell r="L1254">
            <v>-45458.85</v>
          </cell>
        </row>
        <row r="1255">
          <cell r="F1255" t="str">
            <v xml:space="preserve">Outras (despesas) receitas operacionais liquidas </v>
          </cell>
          <cell r="L1255">
            <v>-9733836.8599999994</v>
          </cell>
        </row>
        <row r="1256">
          <cell r="F1256" t="str">
            <v xml:space="preserve">Outras (despesas) receitas operacionais liquidas </v>
          </cell>
          <cell r="L1256">
            <v>83.45</v>
          </cell>
        </row>
        <row r="1257">
          <cell r="F1257" t="str">
            <v xml:space="preserve">Outras (despesas) receitas operacionais liquidas </v>
          </cell>
          <cell r="L1257">
            <v>0</v>
          </cell>
        </row>
        <row r="1258">
          <cell r="F1258" t="str">
            <v xml:space="preserve">Outras (despesas) receitas operacionais liquidas </v>
          </cell>
          <cell r="L1258">
            <v>0</v>
          </cell>
        </row>
        <row r="1259">
          <cell r="F1259" t="str">
            <v xml:space="preserve">Outras (despesas) receitas operacionais liquidas </v>
          </cell>
          <cell r="L1259">
            <v>-418330.11</v>
          </cell>
        </row>
        <row r="1260">
          <cell r="F1260" t="str">
            <v xml:space="preserve">Outras (despesas) receitas operacionais liquidas </v>
          </cell>
          <cell r="L1260">
            <v>0</v>
          </cell>
        </row>
        <row r="1261">
          <cell r="F1261" t="str">
            <v xml:space="preserve">Outras (despesas) receitas operacionais liquidas </v>
          </cell>
          <cell r="L1261">
            <v>-188005.38999999998</v>
          </cell>
        </row>
        <row r="1262">
          <cell r="F1262" t="str">
            <v xml:space="preserve">Outras (despesas) receitas operacionais liquidas </v>
          </cell>
          <cell r="L1262">
            <v>619666.12</v>
          </cell>
        </row>
        <row r="1263">
          <cell r="F1263" t="str">
            <v xml:space="preserve">Outras (despesas) receitas operacionais liquidas </v>
          </cell>
          <cell r="L1263">
            <v>0</v>
          </cell>
        </row>
        <row r="1264">
          <cell r="F1264" t="str">
            <v xml:space="preserve">Outras (despesas) receitas operacionais liquidas </v>
          </cell>
          <cell r="L1264">
            <v>29005099.25</v>
          </cell>
        </row>
        <row r="1265">
          <cell r="F1265" t="str">
            <v xml:space="preserve">Outras (despesas) receitas operacionais liquidas </v>
          </cell>
          <cell r="L1265">
            <v>6789.14</v>
          </cell>
        </row>
        <row r="1266">
          <cell r="F1266" t="str">
            <v xml:space="preserve">Outras (despesas) receitas operacionais liquidas </v>
          </cell>
          <cell r="L1266">
            <v>-1388015</v>
          </cell>
        </row>
        <row r="1267">
          <cell r="F1267" t="str">
            <v xml:space="preserve">Outras (despesas) receitas operacionais liquidas </v>
          </cell>
          <cell r="L1267">
            <v>467775.4</v>
          </cell>
        </row>
        <row r="1268">
          <cell r="F1268" t="str">
            <v xml:space="preserve">Outras (despesas) receitas operacionais liquidas </v>
          </cell>
          <cell r="L1268">
            <v>1417001.12</v>
          </cell>
        </row>
        <row r="1269">
          <cell r="F1269" t="str">
            <v>Resultado com equivalência patrimonial</v>
          </cell>
          <cell r="L1269">
            <v>0</v>
          </cell>
        </row>
        <row r="1270">
          <cell r="F1270" t="str">
            <v>Resultado com equivalência patrimonial</v>
          </cell>
          <cell r="L1270">
            <v>0</v>
          </cell>
        </row>
        <row r="1271">
          <cell r="F1271" t="str">
            <v>Resultado com equivalência patrimonial</v>
          </cell>
          <cell r="L1271">
            <v>0</v>
          </cell>
        </row>
        <row r="1272">
          <cell r="F1272" t="str">
            <v>Resultado com equivalência patrimonial</v>
          </cell>
          <cell r="L1272">
            <v>0</v>
          </cell>
        </row>
        <row r="1273">
          <cell r="F1273" t="str">
            <v>Resultado com equivalência patrimonial</v>
          </cell>
          <cell r="L1273">
            <v>0</v>
          </cell>
        </row>
        <row r="1274">
          <cell r="F1274" t="str">
            <v>Resultado com equivalência patrimonial</v>
          </cell>
          <cell r="L1274">
            <v>0</v>
          </cell>
        </row>
        <row r="1275">
          <cell r="F1275" t="str">
            <v>Resultado com equivalência patrimonial</v>
          </cell>
          <cell r="L1275">
            <v>0</v>
          </cell>
        </row>
        <row r="1276">
          <cell r="F1276" t="str">
            <v>Resultado com equivalência patrimonial</v>
          </cell>
          <cell r="L1276">
            <v>0</v>
          </cell>
        </row>
        <row r="1277">
          <cell r="F1277" t="str">
            <v>Resultado com equivalência patrimonial</v>
          </cell>
          <cell r="L1277">
            <v>-87221.63</v>
          </cell>
        </row>
        <row r="1278">
          <cell r="F1278" t="str">
            <v>Resultado com equivalência patrimonial</v>
          </cell>
          <cell r="L1278">
            <v>0</v>
          </cell>
        </row>
        <row r="1279">
          <cell r="F1279" t="str">
            <v>Resultado com equivalência patrimonial</v>
          </cell>
          <cell r="L1279">
            <v>0</v>
          </cell>
        </row>
        <row r="1280">
          <cell r="F1280" t="str">
            <v>Resultado com equivalência patrimonial</v>
          </cell>
          <cell r="L1280">
            <v>0</v>
          </cell>
        </row>
        <row r="1281">
          <cell r="F1281" t="str">
            <v>Despesas Financeiras</v>
          </cell>
          <cell r="L1281">
            <v>583443.25</v>
          </cell>
        </row>
        <row r="1282">
          <cell r="F1282" t="str">
            <v>Despesas Financeiras</v>
          </cell>
          <cell r="L1282">
            <v>291906.93</v>
          </cell>
        </row>
        <row r="1283">
          <cell r="F1283" t="str">
            <v>Despesas Financeiras</v>
          </cell>
          <cell r="L1283">
            <v>27653332.719999999</v>
          </cell>
        </row>
        <row r="1284">
          <cell r="F1284" t="str">
            <v>Despesas Financeiras</v>
          </cell>
          <cell r="L1284">
            <v>0</v>
          </cell>
        </row>
        <row r="1285">
          <cell r="F1285" t="str">
            <v>Despesas Financeiras</v>
          </cell>
          <cell r="L1285">
            <v>1591314.47</v>
          </cell>
        </row>
        <row r="1286">
          <cell r="F1286" t="str">
            <v>Despesas Financeiras</v>
          </cell>
          <cell r="L1286">
            <v>25340.739999999998</v>
          </cell>
        </row>
        <row r="1287">
          <cell r="F1287" t="str">
            <v>Despesas Financeiras</v>
          </cell>
          <cell r="L1287">
            <v>1089775.8899999999</v>
          </cell>
        </row>
        <row r="1288">
          <cell r="F1288" t="str">
            <v>Despesas Financeiras</v>
          </cell>
          <cell r="L1288">
            <v>894228.6</v>
          </cell>
        </row>
        <row r="1289">
          <cell r="F1289" t="str">
            <v>Despesas Financeiras</v>
          </cell>
          <cell r="L1289">
            <v>896045.27</v>
          </cell>
        </row>
        <row r="1290">
          <cell r="F1290" t="str">
            <v>Despesas Financeiras</v>
          </cell>
          <cell r="L1290">
            <v>0</v>
          </cell>
        </row>
        <row r="1291">
          <cell r="F1291" t="str">
            <v>Despesas Financeiras</v>
          </cell>
          <cell r="L1291">
            <v>2533127.58</v>
          </cell>
        </row>
        <row r="1292">
          <cell r="F1292" t="str">
            <v>Despesas Financeiras</v>
          </cell>
          <cell r="L1292">
            <v>0</v>
          </cell>
        </row>
        <row r="1293">
          <cell r="F1293" t="str">
            <v>Despesas Financeiras</v>
          </cell>
          <cell r="L1293">
            <v>0</v>
          </cell>
        </row>
        <row r="1294">
          <cell r="F1294" t="str">
            <v>Despesas Financeiras</v>
          </cell>
          <cell r="L1294">
            <v>0</v>
          </cell>
        </row>
        <row r="1295">
          <cell r="F1295" t="str">
            <v>Despesas Financeiras</v>
          </cell>
          <cell r="L1295">
            <v>3464118.5</v>
          </cell>
        </row>
        <row r="1296">
          <cell r="F1296" t="str">
            <v>Despesas Financeiras</v>
          </cell>
          <cell r="L1296">
            <v>0</v>
          </cell>
        </row>
        <row r="1297">
          <cell r="F1297" t="str">
            <v>Despesas Financeiras</v>
          </cell>
          <cell r="L1297">
            <v>86206655.879999995</v>
          </cell>
        </row>
        <row r="1298">
          <cell r="F1298" t="str">
            <v>Despesas Financeiras</v>
          </cell>
          <cell r="L1298">
            <v>194.5</v>
          </cell>
        </row>
        <row r="1299">
          <cell r="F1299" t="str">
            <v>Despesas Financeiras</v>
          </cell>
          <cell r="L1299">
            <v>0</v>
          </cell>
        </row>
        <row r="1300">
          <cell r="F1300" t="str">
            <v>Despesas Financeiras</v>
          </cell>
          <cell r="L1300">
            <v>0</v>
          </cell>
        </row>
        <row r="1301">
          <cell r="F1301" t="str">
            <v>Despesas Financeiras</v>
          </cell>
          <cell r="L1301">
            <v>0</v>
          </cell>
        </row>
        <row r="1302">
          <cell r="F1302" t="str">
            <v>Despesas Financeiras</v>
          </cell>
          <cell r="L1302">
            <v>1432502.92</v>
          </cell>
        </row>
        <row r="1303">
          <cell r="F1303" t="str">
            <v>Despesas Financeiras</v>
          </cell>
          <cell r="L1303">
            <v>4940158.3600000003</v>
          </cell>
        </row>
        <row r="1304">
          <cell r="F1304" t="str">
            <v>Despesas Financeiras</v>
          </cell>
          <cell r="L1304">
            <v>-200209.75999999998</v>
          </cell>
        </row>
        <row r="1305">
          <cell r="F1305" t="str">
            <v>Despesas Financeiras</v>
          </cell>
          <cell r="L1305">
            <v>2924224.31</v>
          </cell>
        </row>
        <row r="1306">
          <cell r="F1306" t="str">
            <v>Despesas Financeiras</v>
          </cell>
          <cell r="L1306">
            <v>265.56</v>
          </cell>
        </row>
        <row r="1307">
          <cell r="F1307" t="str">
            <v>Despesas Financeiras</v>
          </cell>
          <cell r="L1307">
            <v>2705544.42</v>
          </cell>
        </row>
        <row r="1308">
          <cell r="F1308" t="str">
            <v>Despesas Financeiras</v>
          </cell>
          <cell r="L1308">
            <v>98411902.780000001</v>
          </cell>
        </row>
        <row r="1309">
          <cell r="F1309" t="str">
            <v>Despesas Financeiras</v>
          </cell>
          <cell r="L1309">
            <v>0</v>
          </cell>
        </row>
        <row r="1310">
          <cell r="F1310" t="str">
            <v>Despesas Financeiras</v>
          </cell>
          <cell r="L1310">
            <v>-13275.38</v>
          </cell>
        </row>
        <row r="1311">
          <cell r="F1311" t="str">
            <v>Despesas Financeiras</v>
          </cell>
          <cell r="L1311">
            <v>118631.55</v>
          </cell>
        </row>
        <row r="1312">
          <cell r="F1312" t="str">
            <v>Despesas Financeiras</v>
          </cell>
          <cell r="L1312">
            <v>3976979.04</v>
          </cell>
        </row>
        <row r="1313">
          <cell r="F1313" t="str">
            <v>Despesas Financeiras</v>
          </cell>
          <cell r="L1313">
            <v>-721908.38</v>
          </cell>
        </row>
        <row r="1314">
          <cell r="F1314" t="str">
            <v>Despesas Financeiras</v>
          </cell>
          <cell r="L1314">
            <v>-3300628.49</v>
          </cell>
        </row>
        <row r="1315">
          <cell r="F1315" t="str">
            <v>Despesas Financeiras</v>
          </cell>
          <cell r="L1315">
            <v>0</v>
          </cell>
        </row>
        <row r="1316">
          <cell r="F1316" t="str">
            <v>Receitas financeiras</v>
          </cell>
          <cell r="L1316">
            <v>-1107100.3</v>
          </cell>
        </row>
        <row r="1317">
          <cell r="F1317" t="str">
            <v>Receitas financeiras</v>
          </cell>
          <cell r="L1317">
            <v>-43947.530000000006</v>
          </cell>
        </row>
        <row r="1318">
          <cell r="F1318" t="str">
            <v>Receitas financeiras</v>
          </cell>
          <cell r="L1318">
            <v>-34111647.759999998</v>
          </cell>
        </row>
        <row r="1319">
          <cell r="F1319" t="str">
            <v>Receitas financeiras</v>
          </cell>
          <cell r="L1319">
            <v>0</v>
          </cell>
        </row>
        <row r="1320">
          <cell r="F1320" t="str">
            <v>Receitas financeiras</v>
          </cell>
          <cell r="L1320">
            <v>0</v>
          </cell>
        </row>
        <row r="1321">
          <cell r="F1321" t="str">
            <v>Receitas financeiras</v>
          </cell>
          <cell r="L1321">
            <v>0</v>
          </cell>
        </row>
        <row r="1322">
          <cell r="F1322" t="str">
            <v>Receitas financeiras</v>
          </cell>
          <cell r="L1322">
            <v>-936098.05999999994</v>
          </cell>
        </row>
        <row r="1323">
          <cell r="F1323" t="str">
            <v>Receitas financeiras</v>
          </cell>
          <cell r="L1323">
            <v>-15569523.000000002</v>
          </cell>
        </row>
        <row r="1324">
          <cell r="F1324" t="str">
            <v>Receitas financeiras</v>
          </cell>
          <cell r="L1324">
            <v>0</v>
          </cell>
        </row>
        <row r="1325">
          <cell r="F1325" t="str">
            <v>Receitas financeiras</v>
          </cell>
          <cell r="L1325">
            <v>-9827163.3000000007</v>
          </cell>
        </row>
        <row r="1326">
          <cell r="F1326" t="str">
            <v>Receitas financeiras</v>
          </cell>
          <cell r="L1326">
            <v>0</v>
          </cell>
        </row>
        <row r="1327">
          <cell r="F1327" t="str">
            <v>Receitas financeiras</v>
          </cell>
          <cell r="L1327">
            <v>0</v>
          </cell>
        </row>
        <row r="1328">
          <cell r="F1328" t="str">
            <v>Receitas financeiras</v>
          </cell>
          <cell r="L1328">
            <v>-18767209.320000004</v>
          </cell>
        </row>
        <row r="1329">
          <cell r="F1329" t="str">
            <v>Receitas financeiras</v>
          </cell>
          <cell r="L1329">
            <v>1880095.4000000001</v>
          </cell>
        </row>
        <row r="1330">
          <cell r="F1330" t="str">
            <v>Receitas financeiras</v>
          </cell>
          <cell r="L1330">
            <v>304116.32000000007</v>
          </cell>
        </row>
        <row r="1331">
          <cell r="F1331" t="str">
            <v>Receitas financeiras</v>
          </cell>
          <cell r="L1331">
            <v>0</v>
          </cell>
        </row>
        <row r="1332">
          <cell r="F1332" t="str">
            <v>Receitas financeiras</v>
          </cell>
          <cell r="L1332">
            <v>0</v>
          </cell>
        </row>
        <row r="1333">
          <cell r="F1333" t="str">
            <v>Despesas Financeiras</v>
          </cell>
          <cell r="L1333">
            <v>124667157.23</v>
          </cell>
        </row>
        <row r="1334">
          <cell r="F1334" t="str">
            <v>Receitas financeiras</v>
          </cell>
          <cell r="L1334">
            <v>-124929408.15000001</v>
          </cell>
        </row>
        <row r="1335">
          <cell r="F1335" t="str">
            <v>Imposto de renda e contribuição social  - Corrente</v>
          </cell>
          <cell r="L1335">
            <v>70722412.050000012</v>
          </cell>
        </row>
        <row r="1336">
          <cell r="F1336" t="str">
            <v>Imposto de renda e contribuição social  - Corrente</v>
          </cell>
          <cell r="L1336">
            <v>26306709.529999997</v>
          </cell>
        </row>
        <row r="1337">
          <cell r="F1337" t="str">
            <v>Imposto de renda e contribuição social  - Diferido</v>
          </cell>
          <cell r="L1337">
            <v>-39061934.478783138</v>
          </cell>
        </row>
        <row r="1338">
          <cell r="F1338" t="str">
            <v>Imposto de renda e contribuição social  - Diferido</v>
          </cell>
          <cell r="L1338">
            <v>-14062296.412361931</v>
          </cell>
        </row>
        <row r="1339">
          <cell r="F1339" t="str">
            <v>Imposto de renda e contribuição social  - Diferido</v>
          </cell>
          <cell r="L1339">
            <v>-44334313.759999998</v>
          </cell>
        </row>
        <row r="1340">
          <cell r="F1340" t="str">
            <v>Imposto de renda e contribuição social  - Diferido</v>
          </cell>
          <cell r="L1340">
            <v>-15960352.939999999</v>
          </cell>
        </row>
        <row r="1341">
          <cell r="F1341" t="str">
            <v>Resultado</v>
          </cell>
          <cell r="L1341">
            <v>0</v>
          </cell>
        </row>
        <row r="1342">
          <cell r="F1342" t="str">
            <v>Resultado</v>
          </cell>
          <cell r="L1342">
            <v>0</v>
          </cell>
        </row>
        <row r="1343">
          <cell r="F1343" t="str">
            <v>Resultado</v>
          </cell>
          <cell r="L1343">
            <v>0</v>
          </cell>
        </row>
        <row r="1344">
          <cell r="L1344"/>
        </row>
        <row r="1345">
          <cell r="L1345"/>
        </row>
        <row r="1346">
          <cell r="L1346">
            <v>-76127100.090362772</v>
          </cell>
        </row>
        <row r="1347">
          <cell r="L1347">
            <v>-76127</v>
          </cell>
        </row>
        <row r="1348">
          <cell r="L1348"/>
        </row>
        <row r="1349">
          <cell r="L1349"/>
        </row>
        <row r="1350">
          <cell r="L1350"/>
        </row>
        <row r="1351">
          <cell r="L1351">
            <v>0.28596640191972256</v>
          </cell>
        </row>
        <row r="1374">
          <cell r="L1374"/>
        </row>
        <row r="1385">
          <cell r="L1385">
            <v>1087441.52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M"/>
      <sheetName val="Contas novas"/>
      <sheetName val="Consolidado - 31.12.2022"/>
      <sheetName val="Base"/>
      <sheetName val="BP"/>
      <sheetName val="DRE"/>
      <sheetName val="DRE - Trim"/>
      <sheetName val="DRE 3T22"/>
      <sheetName val="DRA "/>
      <sheetName val="DRA - Trim"/>
      <sheetName val="DRA - 1T22"/>
      <sheetName val="Mapa DFC (Controladora)"/>
      <sheetName val="RA(trim)"/>
      <sheetName val="Mapa DFC (Consolidado)"/>
      <sheetName val="DMPL"/>
      <sheetName val="0"/>
      <sheetName val="DFC"/>
      <sheetName val="DVA"/>
      <sheetName val="1"/>
      <sheetName val="2"/>
      <sheetName val="5"/>
      <sheetName val="5.1"/>
      <sheetName val="6"/>
      <sheetName val="7"/>
      <sheetName val="8"/>
      <sheetName val="9"/>
      <sheetName val="10"/>
      <sheetName val="11"/>
      <sheetName val="12"/>
      <sheetName val="12.1"/>
      <sheetName val="13"/>
      <sheetName val="14"/>
      <sheetName val="14. base minoritários"/>
      <sheetName val="14.1"/>
      <sheetName val="15"/>
      <sheetName val="16"/>
      <sheetName val="17"/>
      <sheetName val="18"/>
      <sheetName val="19"/>
      <sheetName val="20"/>
      <sheetName val="21"/>
      <sheetName val="22"/>
      <sheetName val="23"/>
      <sheetName val="24"/>
      <sheetName val="22.1"/>
      <sheetName val="25"/>
      <sheetName val="26"/>
      <sheetName val="27"/>
      <sheetName val="28"/>
      <sheetName val="29"/>
      <sheetName val="30"/>
      <sheetName val="31"/>
      <sheetName val="32"/>
    </sheetNames>
    <sheetDataSet>
      <sheetData sheetId="0" refreshError="1"/>
      <sheetData sheetId="1" refreshError="1"/>
      <sheetData sheetId="2" refreshError="1"/>
      <sheetData sheetId="3">
        <row r="4">
          <cell r="G4" t="str">
            <v>DF</v>
          </cell>
        </row>
        <row r="5">
          <cell r="G5" t="str">
            <v>Caixa e equivalentes de caixa</v>
          </cell>
        </row>
        <row r="6">
          <cell r="G6" t="str">
            <v>Caixa e equivalentes de caixa</v>
          </cell>
        </row>
        <row r="7">
          <cell r="G7" t="str">
            <v>Caixa e equivalentes de caixa</v>
          </cell>
        </row>
        <row r="8">
          <cell r="G8" t="str">
            <v>Caixa e equivalentes de caixa</v>
          </cell>
        </row>
        <row r="9">
          <cell r="G9" t="str">
            <v>Caixa e equivalentes de caixa</v>
          </cell>
        </row>
        <row r="10">
          <cell r="G10" t="str">
            <v>Caixa e equivalentes de caixa</v>
          </cell>
        </row>
        <row r="11">
          <cell r="G11" t="str">
            <v>Caixa e equivalentes de caixa</v>
          </cell>
        </row>
        <row r="12">
          <cell r="G12" t="str">
            <v>Caixa e equivalentes de caixa</v>
          </cell>
        </row>
        <row r="13">
          <cell r="G13" t="str">
            <v>Caixa e equivalentes de caixa</v>
          </cell>
        </row>
        <row r="14">
          <cell r="G14" t="str">
            <v>Caixa e equivalentes de caixa</v>
          </cell>
        </row>
        <row r="15">
          <cell r="G15" t="str">
            <v>Caixa e equivalentes de caixa</v>
          </cell>
        </row>
        <row r="16">
          <cell r="G16" t="str">
            <v>Caixa e equivalentes de caixa</v>
          </cell>
        </row>
        <row r="17">
          <cell r="G17" t="str">
            <v>Caixa e equivalentes de caixa</v>
          </cell>
        </row>
        <row r="18">
          <cell r="G18" t="str">
            <v>Caixa e equivalentes de caixa</v>
          </cell>
        </row>
        <row r="19">
          <cell r="G19" t="str">
            <v>Caixa e equivalentes de caixa</v>
          </cell>
        </row>
        <row r="20">
          <cell r="G20" t="str">
            <v>Caixa e equivalentes de caixa</v>
          </cell>
        </row>
        <row r="21">
          <cell r="G21" t="str">
            <v>Caixa e equivalentes de caixa</v>
          </cell>
        </row>
        <row r="22">
          <cell r="G22" t="str">
            <v>Caixa e equivalentes de caixa</v>
          </cell>
        </row>
        <row r="23">
          <cell r="G23" t="str">
            <v>Caixa e equivalentes de caixa</v>
          </cell>
        </row>
        <row r="24">
          <cell r="G24" t="str">
            <v>Caixa e equivalentes de caixa</v>
          </cell>
        </row>
        <row r="25">
          <cell r="G25" t="str">
            <v>Caixa e equivalentes de caixa</v>
          </cell>
        </row>
        <row r="26">
          <cell r="G26" t="str">
            <v>Caixa e equivalentes de caixa</v>
          </cell>
        </row>
        <row r="27">
          <cell r="G27" t="str">
            <v>Caixa e equivalentes de caixa</v>
          </cell>
        </row>
        <row r="28">
          <cell r="G28" t="str">
            <v>Caixa e equivalentes de caixa</v>
          </cell>
        </row>
        <row r="29">
          <cell r="G29" t="str">
            <v>Caixa e equivalentes de caixa</v>
          </cell>
        </row>
        <row r="30">
          <cell r="G30" t="str">
            <v>Caixa e equivalentes de caixa</v>
          </cell>
        </row>
        <row r="31">
          <cell r="G31" t="str">
            <v>Caixa e equivalentes de caixa</v>
          </cell>
        </row>
        <row r="32">
          <cell r="G32" t="str">
            <v>Caixa e equivalentes de caixa</v>
          </cell>
        </row>
        <row r="33">
          <cell r="G33" t="str">
            <v>Caixa e equivalentes de caixa</v>
          </cell>
        </row>
        <row r="34">
          <cell r="G34" t="str">
            <v>Caixa e equivalentes de caixa</v>
          </cell>
        </row>
        <row r="35">
          <cell r="G35" t="str">
            <v>Caixa e equivalentes de caixa</v>
          </cell>
        </row>
        <row r="36">
          <cell r="G36" t="str">
            <v>Caixa e equivalentes de caixa</v>
          </cell>
        </row>
        <row r="37">
          <cell r="G37" t="str">
            <v>Caixa e equivalentes de caixa</v>
          </cell>
        </row>
        <row r="38">
          <cell r="G38" t="str">
            <v>Caixa e equivalentes de caixa</v>
          </cell>
        </row>
        <row r="39">
          <cell r="G39" t="str">
            <v>Caixa e equivalentes de caixa</v>
          </cell>
        </row>
        <row r="40">
          <cell r="G40" t="str">
            <v>Caixa e equivalentes de caixa</v>
          </cell>
        </row>
        <row r="41">
          <cell r="G41" t="str">
            <v>Caixa e equivalentes de caixa</v>
          </cell>
        </row>
        <row r="42">
          <cell r="G42" t="str">
            <v>Caixa e equivalentes de caixa</v>
          </cell>
        </row>
        <row r="43">
          <cell r="G43" t="str">
            <v>Caixa e equivalentes de caixa</v>
          </cell>
        </row>
        <row r="44">
          <cell r="G44" t="str">
            <v>Caixa e equivalentes de caixa</v>
          </cell>
        </row>
        <row r="45">
          <cell r="G45" t="str">
            <v>Caixa e equivalentes de caixa</v>
          </cell>
        </row>
        <row r="46">
          <cell r="G46" t="str">
            <v>Caixa e equivalentes de caixa</v>
          </cell>
        </row>
        <row r="47">
          <cell r="G47" t="str">
            <v>Caixa e equivalentes de caixa</v>
          </cell>
        </row>
        <row r="48">
          <cell r="G48" t="str">
            <v>Caixa e equivalentes de caixa</v>
          </cell>
        </row>
        <row r="49">
          <cell r="G49" t="str">
            <v>Caixa e equivalentes de caixa</v>
          </cell>
        </row>
        <row r="50">
          <cell r="G50" t="str">
            <v>Caixa e equivalentes de caixa</v>
          </cell>
        </row>
        <row r="51">
          <cell r="G51" t="str">
            <v>Caixa e equivalentes de caixa</v>
          </cell>
        </row>
        <row r="52">
          <cell r="G52" t="str">
            <v>Caixa e equivalentes de caixa</v>
          </cell>
        </row>
        <row r="53">
          <cell r="G53" t="str">
            <v>Caixa e equivalentes de caixa</v>
          </cell>
        </row>
        <row r="54">
          <cell r="G54" t="str">
            <v>Caixa e equivalentes de caixa</v>
          </cell>
        </row>
        <row r="55">
          <cell r="G55" t="str">
            <v>Caixa e equivalentes de caixa</v>
          </cell>
        </row>
        <row r="56">
          <cell r="G56" t="str">
            <v>Caixa e equivalentes de caixa</v>
          </cell>
        </row>
        <row r="57">
          <cell r="G57" t="str">
            <v>Caixa e equivalentes de caixa</v>
          </cell>
        </row>
        <row r="58">
          <cell r="G58" t="str">
            <v>Caixa e equivalentes de caixa</v>
          </cell>
        </row>
        <row r="59">
          <cell r="G59" t="str">
            <v>Caixa e equivalentes de caixa</v>
          </cell>
        </row>
        <row r="60">
          <cell r="G60" t="str">
            <v>Caixa e equivalentes de caixa</v>
          </cell>
        </row>
        <row r="61">
          <cell r="G61" t="str">
            <v>Caixa e equivalentes de caixa</v>
          </cell>
        </row>
        <row r="62">
          <cell r="G62" t="str">
            <v>Caixa e equivalentes de caixa</v>
          </cell>
        </row>
        <row r="63">
          <cell r="G63" t="str">
            <v>Caixa e equivalentes de caixa</v>
          </cell>
        </row>
        <row r="64">
          <cell r="G64" t="str">
            <v>Caixa e equivalentes de caixa</v>
          </cell>
        </row>
        <row r="65">
          <cell r="G65" t="str">
            <v>Caixa e equivalentes de caixa</v>
          </cell>
        </row>
        <row r="66">
          <cell r="G66" t="str">
            <v>Caixa e equivalentes de caixa</v>
          </cell>
        </row>
        <row r="67">
          <cell r="G67" t="str">
            <v>Caixa e equivalentes de caixa</v>
          </cell>
        </row>
        <row r="68">
          <cell r="G68" t="str">
            <v>Caixa e equivalentes de caixa</v>
          </cell>
        </row>
        <row r="69">
          <cell r="G69" t="str">
            <v>Caixa e equivalentes de caixa</v>
          </cell>
        </row>
        <row r="70">
          <cell r="G70" t="str">
            <v>Caixa e equivalentes de caixa</v>
          </cell>
        </row>
        <row r="71">
          <cell r="G71" t="str">
            <v>Caixa e equivalentes de caixa</v>
          </cell>
        </row>
        <row r="72">
          <cell r="G72" t="str">
            <v>Caixa e equivalentes de caixa</v>
          </cell>
        </row>
        <row r="73">
          <cell r="G73" t="str">
            <v>Caixa e equivalentes de caixa</v>
          </cell>
        </row>
        <row r="74">
          <cell r="G74" t="str">
            <v>Caixa e equivalentes de caixa</v>
          </cell>
        </row>
        <row r="75">
          <cell r="G75" t="str">
            <v>Caixa e equivalentes de caixa</v>
          </cell>
        </row>
        <row r="76">
          <cell r="G76" t="str">
            <v>Caixa e equivalentes de caixa</v>
          </cell>
        </row>
        <row r="77">
          <cell r="G77" t="str">
            <v>Caixa e equivalentes de caixa</v>
          </cell>
        </row>
        <row r="78">
          <cell r="G78" t="str">
            <v>Caixa e equivalentes de caixa</v>
          </cell>
        </row>
        <row r="79">
          <cell r="G79" t="str">
            <v>Caixa e equivalentes de caixa</v>
          </cell>
        </row>
        <row r="80">
          <cell r="G80" t="str">
            <v>Caixa e equivalentes de caixa</v>
          </cell>
        </row>
        <row r="81">
          <cell r="G81" t="str">
            <v>Caixa e equivalentes de caixa</v>
          </cell>
        </row>
        <row r="82">
          <cell r="G82" t="str">
            <v>Caixa e equivalentes de caixa</v>
          </cell>
        </row>
        <row r="83">
          <cell r="G83" t="str">
            <v>Caixa e equivalentes de caixa</v>
          </cell>
        </row>
        <row r="84">
          <cell r="G84" t="str">
            <v>Caixa e equivalentes de caixa</v>
          </cell>
        </row>
        <row r="85">
          <cell r="G85" t="str">
            <v>Caixa e equivalentes de caixa</v>
          </cell>
        </row>
        <row r="86">
          <cell r="G86" t="str">
            <v>Caixa e equivalentes de caixa</v>
          </cell>
        </row>
        <row r="87">
          <cell r="G87" t="str">
            <v>Caixa e equivalentes de caixa</v>
          </cell>
        </row>
        <row r="88">
          <cell r="G88" t="str">
            <v>Caixa e equivalentes de caixa</v>
          </cell>
        </row>
        <row r="89">
          <cell r="G89" t="str">
            <v>Caixa e equivalentes de caixa</v>
          </cell>
        </row>
        <row r="90">
          <cell r="G90" t="str">
            <v>Caixa e equivalentes de caixa</v>
          </cell>
        </row>
        <row r="91">
          <cell r="G91" t="str">
            <v>Caixa e equivalentes de caixa</v>
          </cell>
        </row>
        <row r="92">
          <cell r="G92" t="str">
            <v>Caixa e equivalentes de caixa</v>
          </cell>
        </row>
        <row r="93">
          <cell r="G93" t="str">
            <v>Caixa e equivalentes de caixa</v>
          </cell>
        </row>
        <row r="94">
          <cell r="G94" t="str">
            <v>Caixa e equivalentes de caixa</v>
          </cell>
        </row>
        <row r="95">
          <cell r="G95" t="str">
            <v>Caixa e equivalentes de caixa</v>
          </cell>
        </row>
        <row r="96">
          <cell r="G96" t="str">
            <v>Caixa e equivalentes de caixa</v>
          </cell>
        </row>
        <row r="97">
          <cell r="G97" t="str">
            <v>Caixa e equivalentes de caixa</v>
          </cell>
        </row>
        <row r="98">
          <cell r="G98" t="str">
            <v>Caixa e equivalentes de caixa</v>
          </cell>
        </row>
        <row r="99">
          <cell r="G99" t="str">
            <v>Caixa e equivalentes de caixa</v>
          </cell>
        </row>
        <row r="100">
          <cell r="G100" t="str">
            <v>Caixa e equivalentes de caixa</v>
          </cell>
        </row>
        <row r="101">
          <cell r="G101" t="str">
            <v>Caixa e equivalentes de caixa</v>
          </cell>
        </row>
        <row r="102">
          <cell r="G102" t="str">
            <v>Caixa e equivalentes de caixa</v>
          </cell>
        </row>
        <row r="103">
          <cell r="G103" t="str">
            <v>Caixa e equivalentes de caixa</v>
          </cell>
        </row>
        <row r="104">
          <cell r="G104" t="str">
            <v>Caixa e equivalentes de caixa</v>
          </cell>
        </row>
        <row r="105">
          <cell r="G105" t="str">
            <v>Caixa e equivalentes de caixa</v>
          </cell>
        </row>
        <row r="106">
          <cell r="G106" t="str">
            <v>Caixa e equivalentes de caixa</v>
          </cell>
        </row>
        <row r="107">
          <cell r="G107" t="str">
            <v>Caixa e equivalentes de caixa</v>
          </cell>
        </row>
        <row r="108">
          <cell r="G108" t="str">
            <v>Caixa e equivalentes de caixa</v>
          </cell>
        </row>
        <row r="109">
          <cell r="G109" t="str">
            <v>Caixa e equivalentes de caixa</v>
          </cell>
        </row>
        <row r="110">
          <cell r="G110" t="str">
            <v>Caixa e equivalentes de caixa</v>
          </cell>
        </row>
        <row r="111">
          <cell r="G111" t="str">
            <v>Caixa e equivalentes de caixa</v>
          </cell>
        </row>
        <row r="112">
          <cell r="G112" t="str">
            <v>Caixa e equivalentes de caixa</v>
          </cell>
        </row>
        <row r="113">
          <cell r="G113" t="str">
            <v>Caixa e equivalentes de caixa</v>
          </cell>
        </row>
        <row r="114">
          <cell r="G114" t="str">
            <v>Caixa e equivalentes de caixa</v>
          </cell>
        </row>
        <row r="115">
          <cell r="G115" t="str">
            <v>Caixa e equivalentes de caixa</v>
          </cell>
        </row>
        <row r="116">
          <cell r="G116" t="str">
            <v>Caixa e equivalentes de caixa</v>
          </cell>
        </row>
        <row r="117">
          <cell r="G117" t="str">
            <v>Caixa e equivalentes de caixa</v>
          </cell>
        </row>
        <row r="118">
          <cell r="G118" t="str">
            <v>Caixa e equivalentes de caixa</v>
          </cell>
        </row>
        <row r="119">
          <cell r="G119" t="str">
            <v>Caixa e equivalentes de caixa</v>
          </cell>
        </row>
        <row r="120">
          <cell r="G120" t="str">
            <v>Caixa e equivalentes de caixa</v>
          </cell>
        </row>
        <row r="121">
          <cell r="G121" t="str">
            <v>Caixa e equivalentes de caixa</v>
          </cell>
        </row>
        <row r="122">
          <cell r="G122" t="str">
            <v>Caixa e equivalentes de caixa</v>
          </cell>
        </row>
        <row r="123">
          <cell r="G123" t="str">
            <v>Caixa e equivalentes de caixa</v>
          </cell>
        </row>
        <row r="124">
          <cell r="G124" t="str">
            <v>Caixa e equivalentes de caixa</v>
          </cell>
        </row>
        <row r="125">
          <cell r="G125" t="str">
            <v>Caixa e equivalentes de caixa</v>
          </cell>
        </row>
        <row r="126">
          <cell r="G126" t="str">
            <v>Caixa e equivalentes de caixa</v>
          </cell>
        </row>
        <row r="127">
          <cell r="G127" t="str">
            <v>Caixa e equivalentes de caixa</v>
          </cell>
        </row>
        <row r="128">
          <cell r="G128" t="str">
            <v>Caixa e equivalentes de caixa</v>
          </cell>
        </row>
        <row r="129">
          <cell r="G129" t="str">
            <v>Caixa e equivalentes de caixa</v>
          </cell>
        </row>
        <row r="130">
          <cell r="G130" t="str">
            <v>Caixa e equivalentes de caixa</v>
          </cell>
        </row>
        <row r="131">
          <cell r="G131" t="str">
            <v>Caixa e equivalentes de caixa</v>
          </cell>
        </row>
        <row r="132">
          <cell r="G132" t="str">
            <v>Caixa e equivalentes de caixa</v>
          </cell>
        </row>
        <row r="133">
          <cell r="G133" t="str">
            <v>Caixa e equivalentes de caixa</v>
          </cell>
        </row>
        <row r="134">
          <cell r="G134" t="str">
            <v>Caixa e equivalentes de caixa</v>
          </cell>
        </row>
        <row r="135">
          <cell r="G135" t="str">
            <v>Caixa e equivalentes de caixa</v>
          </cell>
        </row>
        <row r="136">
          <cell r="G136" t="str">
            <v>Caixa e equivalentes de caixa</v>
          </cell>
        </row>
        <row r="137">
          <cell r="G137" t="str">
            <v>Caixa e equivalentes de caixa</v>
          </cell>
        </row>
        <row r="138">
          <cell r="G138" t="str">
            <v>Caixa e equivalentes de caixa</v>
          </cell>
        </row>
        <row r="139">
          <cell r="G139" t="str">
            <v>Caixa e equivalentes de caixa</v>
          </cell>
        </row>
        <row r="140">
          <cell r="G140" t="str">
            <v>Caixa e equivalentes de caixa</v>
          </cell>
        </row>
        <row r="141">
          <cell r="G141" t="str">
            <v>Caixa e equivalentes de caixa</v>
          </cell>
        </row>
        <row r="142">
          <cell r="G142" t="str">
            <v>Caixa e equivalentes de caixa</v>
          </cell>
        </row>
        <row r="143">
          <cell r="G143" t="str">
            <v>Caixa e equivalentes de caixa</v>
          </cell>
        </row>
        <row r="144">
          <cell r="G144" t="str">
            <v>Caixa e equivalentes de caixa</v>
          </cell>
        </row>
        <row r="145">
          <cell r="G145" t="str">
            <v>Caixa e equivalentes de caixa</v>
          </cell>
        </row>
        <row r="146">
          <cell r="G146" t="str">
            <v>Caixa e equivalentes de caixa</v>
          </cell>
        </row>
        <row r="147">
          <cell r="G147" t="str">
            <v>Caixa e equivalentes de caixa</v>
          </cell>
        </row>
        <row r="148">
          <cell r="G148" t="str">
            <v>Caixa e equivalentes de caixa</v>
          </cell>
        </row>
        <row r="149">
          <cell r="G149" t="str">
            <v>Caixa e equivalentes de caixa</v>
          </cell>
        </row>
        <row r="150">
          <cell r="G150" t="str">
            <v>Caixa e equivalentes de caixa</v>
          </cell>
        </row>
        <row r="151">
          <cell r="G151" t="str">
            <v>Caixa e equivalentes de caixa</v>
          </cell>
        </row>
        <row r="152">
          <cell r="G152" t="str">
            <v>Caixa e equivalentes de caixa</v>
          </cell>
        </row>
        <row r="153">
          <cell r="G153" t="str">
            <v>Caixa e equivalentes de caixa</v>
          </cell>
        </row>
        <row r="154">
          <cell r="G154" t="str">
            <v>Caixa e equivalentes de caixa</v>
          </cell>
        </row>
        <row r="155">
          <cell r="G155" t="str">
            <v>Caixa e equivalentes de caixa</v>
          </cell>
        </row>
        <row r="156">
          <cell r="G156" t="str">
            <v>Caixa e equivalentes de caixa</v>
          </cell>
        </row>
        <row r="157">
          <cell r="G157" t="str">
            <v>Caixa e equivalentes de caixa</v>
          </cell>
        </row>
        <row r="158">
          <cell r="G158" t="str">
            <v>Caixa e equivalentes de caixa</v>
          </cell>
        </row>
        <row r="159">
          <cell r="G159" t="str">
            <v>Caixa e equivalentes de caixa</v>
          </cell>
        </row>
        <row r="160">
          <cell r="G160" t="str">
            <v>Caixa e equivalentes de caixa</v>
          </cell>
        </row>
        <row r="161">
          <cell r="G161" t="str">
            <v>Caixa e equivalentes de caixa</v>
          </cell>
        </row>
        <row r="162">
          <cell r="G162" t="str">
            <v>Caixa e equivalentes de caixa</v>
          </cell>
        </row>
        <row r="163">
          <cell r="G163" t="str">
            <v>Caixa e equivalentes de caixa</v>
          </cell>
        </row>
        <row r="164">
          <cell r="G164" t="str">
            <v>Caixa e equivalentes de caixa</v>
          </cell>
        </row>
        <row r="165">
          <cell r="G165" t="str">
            <v>Caixa e equivalentes de caixa</v>
          </cell>
        </row>
        <row r="166">
          <cell r="G166" t="str">
            <v>Caixa e equivalentes de caixa</v>
          </cell>
        </row>
        <row r="167">
          <cell r="G167" t="str">
            <v>Caixa e equivalentes de caixa</v>
          </cell>
        </row>
        <row r="168">
          <cell r="G168" t="str">
            <v>Caixa e equivalentes de caixa</v>
          </cell>
        </row>
        <row r="169">
          <cell r="G169" t="str">
            <v>Caixa e equivalentes de caixa</v>
          </cell>
        </row>
        <row r="170">
          <cell r="G170" t="str">
            <v>Caixa e equivalentes de caixa</v>
          </cell>
        </row>
        <row r="171">
          <cell r="G171" t="str">
            <v>Caixa e equivalentes de caixa</v>
          </cell>
        </row>
        <row r="172">
          <cell r="G172" t="str">
            <v>Caixa e equivalentes de caixa</v>
          </cell>
        </row>
        <row r="173">
          <cell r="G173" t="str">
            <v>Caixa e equivalentes de caixa</v>
          </cell>
        </row>
        <row r="174">
          <cell r="G174" t="str">
            <v>Caixa e equivalentes de caixa</v>
          </cell>
        </row>
        <row r="175">
          <cell r="G175" t="str">
            <v>Caixa e equivalentes de caixa</v>
          </cell>
        </row>
        <row r="176">
          <cell r="G176" t="str">
            <v>Caixa e equivalentes de caixa</v>
          </cell>
        </row>
        <row r="177">
          <cell r="G177" t="str">
            <v>Caixa e equivalentes de caixa</v>
          </cell>
        </row>
        <row r="178">
          <cell r="G178" t="str">
            <v>Caixa e equivalentes de caixa</v>
          </cell>
        </row>
        <row r="179">
          <cell r="G179" t="str">
            <v>Caixa e equivalentes de caixa</v>
          </cell>
        </row>
        <row r="180">
          <cell r="G180" t="str">
            <v>Caixa e equivalentes de caixa</v>
          </cell>
        </row>
        <row r="181">
          <cell r="G181" t="str">
            <v>Caixa e equivalentes de caixa</v>
          </cell>
        </row>
        <row r="182">
          <cell r="G182" t="str">
            <v>Caixa e equivalentes de caixa</v>
          </cell>
        </row>
        <row r="183">
          <cell r="G183" t="str">
            <v>Caixa e equivalentes de caixa</v>
          </cell>
        </row>
        <row r="184">
          <cell r="G184" t="str">
            <v>Caixa e equivalentes de caixa</v>
          </cell>
        </row>
        <row r="185">
          <cell r="G185" t="str">
            <v>Caixa e equivalentes de caixa</v>
          </cell>
        </row>
        <row r="186">
          <cell r="G186" t="str">
            <v>Caixa e equivalentes de caixa</v>
          </cell>
        </row>
        <row r="187">
          <cell r="G187" t="str">
            <v>Caixa e equivalentes de caixa</v>
          </cell>
        </row>
        <row r="188">
          <cell r="G188" t="str">
            <v>Caixa e equivalentes de caixa</v>
          </cell>
        </row>
        <row r="189">
          <cell r="G189" t="str">
            <v>Caixa e equivalentes de caixa</v>
          </cell>
        </row>
        <row r="190">
          <cell r="G190" t="str">
            <v>Caixa e equivalentes de caixa</v>
          </cell>
        </row>
        <row r="191">
          <cell r="G191" t="str">
            <v>Caixa e equivalentes de caixa</v>
          </cell>
        </row>
        <row r="192">
          <cell r="G192" t="str">
            <v>Caixa e equivalentes de caixa</v>
          </cell>
        </row>
        <row r="193">
          <cell r="G193" t="str">
            <v>Caixa e equivalentes de caixa</v>
          </cell>
        </row>
        <row r="194">
          <cell r="G194" t="str">
            <v>Caixa e equivalentes de caixa</v>
          </cell>
        </row>
        <row r="195">
          <cell r="G195" t="str">
            <v>Caixa e equivalentes de caixa</v>
          </cell>
        </row>
        <row r="196">
          <cell r="G196" t="str">
            <v>Caixa e equivalentes de caixa</v>
          </cell>
        </row>
        <row r="197">
          <cell r="G197" t="str">
            <v>Caixa e equivalentes de caixa</v>
          </cell>
        </row>
        <row r="198">
          <cell r="G198" t="str">
            <v>Caixa e equivalentes de caixa</v>
          </cell>
        </row>
        <row r="199">
          <cell r="G199" t="str">
            <v>Caixa e equivalentes de caixa</v>
          </cell>
        </row>
        <row r="200">
          <cell r="G200" t="str">
            <v>Caixa e equivalentes de caixa</v>
          </cell>
        </row>
        <row r="201">
          <cell r="G201" t="str">
            <v>Caixa e equivalentes de caixa</v>
          </cell>
        </row>
        <row r="202">
          <cell r="G202" t="str">
            <v>Caixa e equivalentes de caixa</v>
          </cell>
        </row>
        <row r="203">
          <cell r="G203" t="str">
            <v>Caixa e equivalentes de caixa</v>
          </cell>
        </row>
        <row r="204">
          <cell r="G204" t="str">
            <v>Caixa e equivalentes de caixa</v>
          </cell>
        </row>
        <row r="205">
          <cell r="G205" t="str">
            <v>Caixa e equivalentes de caixa</v>
          </cell>
        </row>
        <row r="206">
          <cell r="G206" t="str">
            <v>Caixa e equivalentes de caixa</v>
          </cell>
        </row>
        <row r="207">
          <cell r="G207" t="str">
            <v>Caixa e equivalentes de caixa</v>
          </cell>
        </row>
        <row r="208">
          <cell r="G208" t="str">
            <v>Caixa e equivalentes de caixa</v>
          </cell>
        </row>
        <row r="209">
          <cell r="G209" t="str">
            <v>Caixa e equivalentes de caixa</v>
          </cell>
        </row>
        <row r="210">
          <cell r="G210" t="str">
            <v>Caixa e equivalentes de caixa</v>
          </cell>
        </row>
        <row r="211">
          <cell r="G211" t="str">
            <v>Caixa e equivalentes de caixa</v>
          </cell>
        </row>
        <row r="212">
          <cell r="G212" t="str">
            <v>Caixa e equivalentes de caixa</v>
          </cell>
        </row>
        <row r="213">
          <cell r="G213" t="str">
            <v>Caixa e equivalentes de caixa</v>
          </cell>
        </row>
        <row r="214">
          <cell r="G214" t="str">
            <v>Caixa e equivalentes de caixa</v>
          </cell>
        </row>
        <row r="215">
          <cell r="G215" t="str">
            <v>Caixa e equivalentes de caixa</v>
          </cell>
        </row>
        <row r="216">
          <cell r="G216" t="str">
            <v>Caixa e equivalentes de caixa</v>
          </cell>
        </row>
        <row r="217">
          <cell r="G217" t="str">
            <v>Caixa e equivalentes de caixa</v>
          </cell>
        </row>
        <row r="218">
          <cell r="G218" t="str">
            <v>Caixa e equivalentes de caixa</v>
          </cell>
        </row>
        <row r="219">
          <cell r="G219" t="str">
            <v>Caixa e equivalentes de caixa</v>
          </cell>
        </row>
        <row r="220">
          <cell r="G220" t="str">
            <v>Caixa e equivalentes de caixa</v>
          </cell>
        </row>
        <row r="221">
          <cell r="G221" t="str">
            <v>Caixa e equivalentes de caixa</v>
          </cell>
        </row>
        <row r="222">
          <cell r="G222" t="str">
            <v>Caixa e equivalentes de caixa</v>
          </cell>
        </row>
        <row r="223">
          <cell r="G223" t="str">
            <v>Caixa e equivalentes de caixa</v>
          </cell>
        </row>
        <row r="224">
          <cell r="G224" t="str">
            <v>Caixa e equivalentes de caixa</v>
          </cell>
        </row>
        <row r="225">
          <cell r="G225" t="str">
            <v>Contas a receber</v>
          </cell>
        </row>
        <row r="226">
          <cell r="G226" t="str">
            <v>Contas a receber</v>
          </cell>
        </row>
        <row r="227">
          <cell r="G227" t="str">
            <v>Contas a receber</v>
          </cell>
        </row>
        <row r="228">
          <cell r="G228" t="str">
            <v>Contas a receber</v>
          </cell>
        </row>
        <row r="229">
          <cell r="G229" t="str">
            <v>Contas a receber</v>
          </cell>
        </row>
        <row r="230">
          <cell r="G230" t="str">
            <v>Contas a receber</v>
          </cell>
        </row>
        <row r="231">
          <cell r="G231" t="str">
            <v>Contas a receber</v>
          </cell>
        </row>
        <row r="232">
          <cell r="G232" t="str">
            <v>Contas a receber</v>
          </cell>
        </row>
        <row r="233">
          <cell r="G233" t="str">
            <v>Contas a receber</v>
          </cell>
        </row>
        <row r="234">
          <cell r="G234" t="str">
            <v>Contas a receber</v>
          </cell>
        </row>
        <row r="235">
          <cell r="G235" t="str">
            <v>Contas a receber</v>
          </cell>
        </row>
        <row r="236">
          <cell r="G236" t="str">
            <v>Contas a receber</v>
          </cell>
        </row>
        <row r="237">
          <cell r="G237" t="str">
            <v>Contas a receber</v>
          </cell>
        </row>
        <row r="238">
          <cell r="G238" t="str">
            <v>Contas a receber</v>
          </cell>
        </row>
        <row r="239">
          <cell r="G239" t="str">
            <v>Contas a receber</v>
          </cell>
        </row>
        <row r="240">
          <cell r="G240" t="str">
            <v>Contas a receber</v>
          </cell>
        </row>
        <row r="241">
          <cell r="G241" t="str">
            <v>Contas a receber</v>
          </cell>
        </row>
        <row r="242">
          <cell r="G242" t="str">
            <v>Contas a receber</v>
          </cell>
        </row>
        <row r="243">
          <cell r="G243" t="str">
            <v>Contas a receber</v>
          </cell>
        </row>
        <row r="244">
          <cell r="G244" t="str">
            <v>Contas a receber</v>
          </cell>
        </row>
        <row r="245">
          <cell r="G245" t="str">
            <v>Contas a receber</v>
          </cell>
        </row>
        <row r="246">
          <cell r="G246" t="str">
            <v>Contas a receber</v>
          </cell>
        </row>
        <row r="247">
          <cell r="G247" t="str">
            <v>Contas a receber</v>
          </cell>
        </row>
        <row r="248">
          <cell r="G248" t="str">
            <v>Contas a receber</v>
          </cell>
        </row>
        <row r="249">
          <cell r="G249" t="str">
            <v>Contas a receber</v>
          </cell>
        </row>
        <row r="250">
          <cell r="G250" t="str">
            <v>Contas a receber</v>
          </cell>
        </row>
        <row r="251">
          <cell r="G251" t="str">
            <v>Contas a receber</v>
          </cell>
        </row>
        <row r="252">
          <cell r="G252" t="str">
            <v>Contas a receber</v>
          </cell>
        </row>
        <row r="253">
          <cell r="G253" t="str">
            <v>Contas a receber</v>
          </cell>
        </row>
        <row r="254">
          <cell r="G254" t="str">
            <v>Outros ativos</v>
          </cell>
        </row>
        <row r="255">
          <cell r="G255" t="str">
            <v>Outros ativos</v>
          </cell>
        </row>
        <row r="256">
          <cell r="G256" t="str">
            <v>Outros ativos</v>
          </cell>
        </row>
        <row r="257">
          <cell r="G257" t="str">
            <v>Outros ativos</v>
          </cell>
        </row>
        <row r="258">
          <cell r="G258" t="str">
            <v>Outros ativos</v>
          </cell>
        </row>
        <row r="259">
          <cell r="G259" t="str">
            <v>Outros ativos</v>
          </cell>
        </row>
        <row r="260">
          <cell r="G260" t="str">
            <v>Outros ativos</v>
          </cell>
        </row>
        <row r="261">
          <cell r="G261" t="str">
            <v>Outros ativos</v>
          </cell>
        </row>
        <row r="262">
          <cell r="G262" t="str">
            <v>Outros ativos</v>
          </cell>
        </row>
        <row r="263">
          <cell r="G263" t="str">
            <v>Outros ativos</v>
          </cell>
        </row>
        <row r="264">
          <cell r="G264" t="str">
            <v>Outros ativos</v>
          </cell>
        </row>
        <row r="265">
          <cell r="G265" t="str">
            <v>Outros ativos</v>
          </cell>
        </row>
        <row r="266">
          <cell r="G266" t="str">
            <v>Outros ativos</v>
          </cell>
        </row>
        <row r="267">
          <cell r="G267" t="str">
            <v>Outros ativos</v>
          </cell>
        </row>
        <row r="268">
          <cell r="G268" t="str">
            <v>Outros ativos</v>
          </cell>
        </row>
        <row r="269">
          <cell r="G269" t="str">
            <v>Outros ativos</v>
          </cell>
        </row>
        <row r="270">
          <cell r="G270" t="str">
            <v>Outros ativos</v>
          </cell>
        </row>
        <row r="271">
          <cell r="G271" t="str">
            <v>Outros ativos</v>
          </cell>
        </row>
        <row r="272">
          <cell r="G272" t="str">
            <v>Outros ativos</v>
          </cell>
        </row>
        <row r="273">
          <cell r="G273" t="str">
            <v>Outros ativos</v>
          </cell>
        </row>
        <row r="274">
          <cell r="G274" t="str">
            <v>Outros ativos</v>
          </cell>
        </row>
        <row r="275">
          <cell r="G275" t="str">
            <v>Outros ativos</v>
          </cell>
        </row>
        <row r="276">
          <cell r="G276" t="str">
            <v>Tributos a compensar</v>
          </cell>
        </row>
        <row r="277">
          <cell r="G277" t="str">
            <v>Imposto de renda e contribuição social a compensar</v>
          </cell>
        </row>
        <row r="278">
          <cell r="G278" t="str">
            <v>Tributos a compensar</v>
          </cell>
        </row>
        <row r="279">
          <cell r="G279" t="str">
            <v>Imposto de renda e contribuição social a compensar</v>
          </cell>
        </row>
        <row r="280">
          <cell r="G280" t="str">
            <v>Tributos a compensar</v>
          </cell>
        </row>
        <row r="281">
          <cell r="G281" t="str">
            <v>Tributos a compensar</v>
          </cell>
        </row>
        <row r="282">
          <cell r="G282" t="str">
            <v>Tributos a compensar</v>
          </cell>
        </row>
        <row r="283">
          <cell r="G283" t="str">
            <v>Tributos a compensar</v>
          </cell>
        </row>
        <row r="284">
          <cell r="G284" t="str">
            <v>Tributos a compensar</v>
          </cell>
        </row>
        <row r="285">
          <cell r="G285" t="str">
            <v>Tributos a compensar</v>
          </cell>
        </row>
        <row r="286">
          <cell r="G286" t="str">
            <v>Tributos a compensar</v>
          </cell>
        </row>
        <row r="287">
          <cell r="G287" t="str">
            <v>Tributos a compensar</v>
          </cell>
        </row>
        <row r="288">
          <cell r="G288" t="str">
            <v>Tributos a compensar</v>
          </cell>
        </row>
        <row r="289">
          <cell r="G289" t="str">
            <v>Tributos a compensar</v>
          </cell>
        </row>
        <row r="290">
          <cell r="G290" t="str">
            <v>Tributos a compensar</v>
          </cell>
        </row>
        <row r="291">
          <cell r="G291" t="str">
            <v>Tributos a compensar</v>
          </cell>
        </row>
        <row r="292">
          <cell r="G292" t="str">
            <v>Tributos a compensar</v>
          </cell>
        </row>
        <row r="293">
          <cell r="G293" t="str">
            <v>Tributos a compensar</v>
          </cell>
        </row>
        <row r="294">
          <cell r="G294" t="str">
            <v>Tributos a compensar</v>
          </cell>
        </row>
        <row r="295">
          <cell r="G295" t="str">
            <v>Tributos a compensar</v>
          </cell>
        </row>
        <row r="296">
          <cell r="G296" t="str">
            <v>Tributos a compensar</v>
          </cell>
        </row>
        <row r="297">
          <cell r="G297" t="str">
            <v>Tributos a compensar</v>
          </cell>
        </row>
        <row r="298">
          <cell r="G298" t="str">
            <v>Tributos a compensar</v>
          </cell>
        </row>
        <row r="299">
          <cell r="G299" t="str">
            <v>Tributos a compensar</v>
          </cell>
        </row>
        <row r="300">
          <cell r="G300" t="str">
            <v>Tributos a compensar</v>
          </cell>
        </row>
        <row r="301">
          <cell r="G301" t="str">
            <v>Tributos a compensar</v>
          </cell>
        </row>
        <row r="302">
          <cell r="G302" t="str">
            <v>Tributos a compensar</v>
          </cell>
        </row>
        <row r="303">
          <cell r="G303" t="str">
            <v>Tributos a compensar</v>
          </cell>
        </row>
        <row r="304">
          <cell r="G304" t="str">
            <v>Tributos a compensar</v>
          </cell>
        </row>
        <row r="305">
          <cell r="G305" t="str">
            <v>Tributos a compensar</v>
          </cell>
        </row>
        <row r="306">
          <cell r="G306" t="str">
            <v>Tributos a compensar</v>
          </cell>
        </row>
        <row r="307">
          <cell r="G307" t="str">
            <v>Tributos a compensar</v>
          </cell>
        </row>
        <row r="308">
          <cell r="G308" t="str">
            <v>Tributos a compensar</v>
          </cell>
        </row>
        <row r="309">
          <cell r="G309" t="str">
            <v>Tributos a compensar</v>
          </cell>
        </row>
        <row r="310">
          <cell r="G310" t="str">
            <v>Tributos a compensar</v>
          </cell>
        </row>
        <row r="311">
          <cell r="G311" t="str">
            <v>Tributos a compensar</v>
          </cell>
        </row>
        <row r="312">
          <cell r="G312" t="str">
            <v>Tributos a compensar</v>
          </cell>
        </row>
        <row r="313">
          <cell r="G313" t="str">
            <v>Tributos a compensar</v>
          </cell>
        </row>
        <row r="314">
          <cell r="G314" t="str">
            <v>Tributos a compensar</v>
          </cell>
        </row>
        <row r="315">
          <cell r="G315" t="str">
            <v>Tributos a compensar</v>
          </cell>
        </row>
        <row r="316">
          <cell r="G316" t="str">
            <v>Tributos a compensar</v>
          </cell>
        </row>
        <row r="317">
          <cell r="G317" t="str">
            <v>Tributos a compensar</v>
          </cell>
        </row>
        <row r="318">
          <cell r="G318" t="str">
            <v>Tributos a compensar</v>
          </cell>
        </row>
        <row r="319">
          <cell r="G319" t="str">
            <v>Tributos a compensar</v>
          </cell>
        </row>
        <row r="320">
          <cell r="G320" t="str">
            <v>Tributos a compensar</v>
          </cell>
        </row>
        <row r="321">
          <cell r="G321" t="str">
            <v>Imposto de renda e contribuição social a compensar</v>
          </cell>
        </row>
        <row r="322">
          <cell r="G322" t="str">
            <v>Tributos a compensar</v>
          </cell>
        </row>
        <row r="323">
          <cell r="G323" t="str">
            <v>Tributos a compensar</v>
          </cell>
        </row>
        <row r="324">
          <cell r="G324" t="str">
            <v>Tributos a compensar</v>
          </cell>
        </row>
        <row r="325">
          <cell r="G325" t="str">
            <v>Tributos a compensar</v>
          </cell>
        </row>
        <row r="326">
          <cell r="G326" t="str">
            <v>Outros ativos</v>
          </cell>
        </row>
        <row r="327">
          <cell r="G327" t="str">
            <v>Instrumentos financeiros derivativos</v>
          </cell>
        </row>
        <row r="328">
          <cell r="G328" t="str">
            <v>Outros ativos</v>
          </cell>
        </row>
        <row r="329">
          <cell r="G329" t="str">
            <v>Estoques</v>
          </cell>
        </row>
        <row r="330">
          <cell r="G330" t="str">
            <v>Estoques</v>
          </cell>
        </row>
        <row r="331">
          <cell r="G331" t="str">
            <v>Estoques</v>
          </cell>
        </row>
        <row r="332">
          <cell r="G332" t="str">
            <v>Estoques</v>
          </cell>
        </row>
        <row r="333">
          <cell r="G333" t="str">
            <v>Estoques</v>
          </cell>
        </row>
        <row r="334">
          <cell r="G334" t="str">
            <v>Estoques</v>
          </cell>
        </row>
        <row r="335">
          <cell r="G335" t="str">
            <v>Estoques</v>
          </cell>
        </row>
        <row r="336">
          <cell r="G336" t="str">
            <v>Estoques</v>
          </cell>
        </row>
        <row r="337">
          <cell r="G337" t="str">
            <v>Estoques</v>
          </cell>
        </row>
        <row r="338">
          <cell r="G338" t="str">
            <v>Estoques</v>
          </cell>
        </row>
        <row r="339">
          <cell r="G339" t="str">
            <v>Estoques</v>
          </cell>
        </row>
        <row r="340">
          <cell r="G340" t="str">
            <v>Estoques</v>
          </cell>
        </row>
        <row r="341">
          <cell r="G341" t="str">
            <v>Estoques</v>
          </cell>
        </row>
        <row r="342">
          <cell r="G342" t="str">
            <v>Estoques</v>
          </cell>
        </row>
        <row r="343">
          <cell r="G343" t="str">
            <v>Estoques</v>
          </cell>
        </row>
        <row r="344">
          <cell r="G344" t="str">
            <v>Estoques</v>
          </cell>
        </row>
        <row r="345">
          <cell r="G345" t="str">
            <v>Estoques</v>
          </cell>
        </row>
        <row r="346">
          <cell r="G346" t="str">
            <v>Estoques</v>
          </cell>
        </row>
        <row r="347">
          <cell r="G347" t="str">
            <v>Estoques</v>
          </cell>
        </row>
        <row r="348">
          <cell r="G348" t="str">
            <v>Estoques</v>
          </cell>
        </row>
        <row r="349">
          <cell r="G349" t="str">
            <v>Estoques</v>
          </cell>
        </row>
        <row r="350">
          <cell r="G350" t="str">
            <v>Estoques</v>
          </cell>
        </row>
        <row r="351">
          <cell r="G351" t="str">
            <v>Estoques</v>
          </cell>
        </row>
        <row r="352">
          <cell r="G352" t="str">
            <v>Estoques</v>
          </cell>
        </row>
        <row r="353">
          <cell r="G353" t="str">
            <v>Estoques</v>
          </cell>
        </row>
        <row r="354">
          <cell r="G354" t="str">
            <v>Estoques</v>
          </cell>
        </row>
        <row r="355">
          <cell r="G355" t="str">
            <v>Estoques</v>
          </cell>
        </row>
        <row r="356">
          <cell r="G356" t="str">
            <v>Estoques</v>
          </cell>
        </row>
        <row r="357">
          <cell r="G357" t="str">
            <v>Estoques</v>
          </cell>
        </row>
        <row r="358">
          <cell r="G358" t="str">
            <v>Estoques</v>
          </cell>
        </row>
        <row r="359">
          <cell r="G359" t="str">
            <v>Estoques</v>
          </cell>
        </row>
        <row r="360">
          <cell r="G360" t="str">
            <v>Estoques</v>
          </cell>
        </row>
        <row r="361">
          <cell r="G361" t="str">
            <v>Estoques</v>
          </cell>
        </row>
        <row r="362">
          <cell r="G362" t="str">
            <v>Estoques</v>
          </cell>
        </row>
        <row r="363">
          <cell r="G363" t="str">
            <v>Estoques</v>
          </cell>
        </row>
        <row r="364">
          <cell r="G364" t="str">
            <v>Estoques</v>
          </cell>
        </row>
        <row r="365">
          <cell r="G365" t="str">
            <v>Estoques</v>
          </cell>
        </row>
        <row r="366">
          <cell r="G366" t="str">
            <v>Estoques</v>
          </cell>
        </row>
        <row r="367">
          <cell r="G367" t="str">
            <v>Outros ativos</v>
          </cell>
        </row>
        <row r="368">
          <cell r="G368" t="str">
            <v>Outros ativos</v>
          </cell>
        </row>
        <row r="369">
          <cell r="G369" t="str">
            <v>Outros ativos</v>
          </cell>
        </row>
        <row r="370">
          <cell r="G370" t="str">
            <v>Outros ativos</v>
          </cell>
        </row>
        <row r="371">
          <cell r="G371" t="str">
            <v>Outros ativos</v>
          </cell>
        </row>
        <row r="372">
          <cell r="G372" t="str">
            <v>Outros ativos</v>
          </cell>
        </row>
        <row r="373">
          <cell r="G373" t="str">
            <v>Outros ativos</v>
          </cell>
        </row>
        <row r="374">
          <cell r="G374" t="str">
            <v>Empréstimos</v>
          </cell>
        </row>
        <row r="375">
          <cell r="G375" t="str">
            <v>Mutuos a Receber</v>
          </cell>
        </row>
        <row r="376">
          <cell r="G376" t="str">
            <v>Mutuos a Receber</v>
          </cell>
        </row>
        <row r="377">
          <cell r="G377" t="str">
            <v>Mutuos a Receber</v>
          </cell>
        </row>
        <row r="378">
          <cell r="G378" t="str">
            <v>Partes Relacionadas - outras contas a pagar</v>
          </cell>
        </row>
        <row r="379">
          <cell r="G379" t="str">
            <v>Outros ativos</v>
          </cell>
        </row>
        <row r="380">
          <cell r="G380" t="str">
            <v>Contas a receber</v>
          </cell>
        </row>
        <row r="381">
          <cell r="G381" t="str">
            <v>Outros ativos</v>
          </cell>
        </row>
        <row r="382">
          <cell r="G382" t="str">
            <v>Caixa e equivalentes de caixa</v>
          </cell>
        </row>
        <row r="383">
          <cell r="G383" t="str">
            <v>Caixa e equivalentes de caixa</v>
          </cell>
        </row>
        <row r="384">
          <cell r="G384" t="str">
            <v>Caixa e equivalentes de caixa</v>
          </cell>
        </row>
        <row r="385">
          <cell r="G385" t="str">
            <v>Investimentos</v>
          </cell>
        </row>
        <row r="386">
          <cell r="G386" t="str">
            <v>Dividendos a receber</v>
          </cell>
        </row>
        <row r="387">
          <cell r="G387" t="str">
            <v>Juros sobre capital próprio</v>
          </cell>
        </row>
        <row r="388">
          <cell r="G388" t="str">
            <v>Depósitos judiciais</v>
          </cell>
        </row>
        <row r="389">
          <cell r="G389" t="str">
            <v>Depósitos judiciais</v>
          </cell>
        </row>
        <row r="390">
          <cell r="G390" t="str">
            <v>Depósitos judiciais</v>
          </cell>
        </row>
        <row r="391">
          <cell r="G391" t="str">
            <v>Depósitos judiciais</v>
          </cell>
        </row>
        <row r="392">
          <cell r="G392" t="str">
            <v>Depósitos judiciais</v>
          </cell>
        </row>
        <row r="393">
          <cell r="G393" t="str">
            <v>Depósitos judiciais</v>
          </cell>
        </row>
        <row r="394">
          <cell r="G394" t="str">
            <v>Depósitos judiciais</v>
          </cell>
        </row>
        <row r="395">
          <cell r="G395" t="str">
            <v>Outros ativos</v>
          </cell>
        </row>
        <row r="396">
          <cell r="G396" t="str">
            <v>Outros ativos</v>
          </cell>
        </row>
        <row r="397">
          <cell r="G397" t="str">
            <v>Depósitos judiciais</v>
          </cell>
        </row>
        <row r="398">
          <cell r="G398" t="str">
            <v>Depósitos judiciais</v>
          </cell>
        </row>
        <row r="399">
          <cell r="G399" t="str">
            <v>Outros ativos</v>
          </cell>
        </row>
        <row r="400">
          <cell r="G400" t="str">
            <v>Tributos a compensar</v>
          </cell>
        </row>
        <row r="401">
          <cell r="G401" t="str">
            <v>Tributos a compensar</v>
          </cell>
        </row>
        <row r="402">
          <cell r="G402" t="str">
            <v>Tributos a compensar</v>
          </cell>
        </row>
        <row r="403">
          <cell r="G403" t="str">
            <v>Tributos a compensar</v>
          </cell>
        </row>
        <row r="404">
          <cell r="G404" t="str">
            <v>Tributos a compensar</v>
          </cell>
        </row>
        <row r="405">
          <cell r="G405" t="str">
            <v>Tributos a compensar</v>
          </cell>
        </row>
        <row r="406">
          <cell r="G406" t="str">
            <v>Tributos a compensar</v>
          </cell>
        </row>
        <row r="407">
          <cell r="G407" t="str">
            <v>Imposto de renda e contribuição social a compensar</v>
          </cell>
        </row>
        <row r="408">
          <cell r="G408" t="str">
            <v>Tributos a compensar</v>
          </cell>
        </row>
        <row r="409">
          <cell r="G409" t="str">
            <v>Tributos a compensar</v>
          </cell>
        </row>
        <row r="410">
          <cell r="G410" t="str">
            <v>Tributos a compensar</v>
          </cell>
        </row>
        <row r="411">
          <cell r="G411" t="str">
            <v>Imposto de renda e contribuição social diferidos</v>
          </cell>
        </row>
        <row r="412">
          <cell r="G412" t="str">
            <v>Imposto de renda e contribuição social diferidos</v>
          </cell>
        </row>
        <row r="413">
          <cell r="G413" t="str">
            <v>Investimentos</v>
          </cell>
        </row>
        <row r="414">
          <cell r="G414" t="str">
            <v>Outros ativos</v>
          </cell>
        </row>
        <row r="415">
          <cell r="G415" t="str">
            <v>Investimentos</v>
          </cell>
        </row>
        <row r="416">
          <cell r="G416" t="str">
            <v>Investimentos</v>
          </cell>
        </row>
        <row r="417">
          <cell r="G417" t="str">
            <v>Investimentos</v>
          </cell>
        </row>
        <row r="418">
          <cell r="G418" t="str">
            <v>Investimentos</v>
          </cell>
        </row>
        <row r="419">
          <cell r="G419" t="str">
            <v>Investimentos</v>
          </cell>
        </row>
        <row r="420">
          <cell r="G420" t="str">
            <v>Investimentos</v>
          </cell>
        </row>
        <row r="421">
          <cell r="G421" t="str">
            <v>Investimentos</v>
          </cell>
        </row>
        <row r="422">
          <cell r="G422" t="str">
            <v>Investimentos</v>
          </cell>
        </row>
        <row r="423">
          <cell r="G423" t="str">
            <v>Investimentos</v>
          </cell>
        </row>
        <row r="424">
          <cell r="G424" t="str">
            <v>Investimentos</v>
          </cell>
        </row>
        <row r="425">
          <cell r="G425" t="str">
            <v>Investimentos</v>
          </cell>
        </row>
        <row r="426">
          <cell r="G426" t="str">
            <v>Investimentos</v>
          </cell>
        </row>
        <row r="427">
          <cell r="G427" t="str">
            <v>Investimentos</v>
          </cell>
        </row>
        <row r="428">
          <cell r="G428" t="str">
            <v>Investimentos</v>
          </cell>
        </row>
        <row r="429">
          <cell r="G429" t="str">
            <v>Investimentos</v>
          </cell>
        </row>
        <row r="430">
          <cell r="G430" t="str">
            <v>Investimentos</v>
          </cell>
        </row>
        <row r="431">
          <cell r="G431" t="str">
            <v>Investimentos</v>
          </cell>
        </row>
        <row r="432">
          <cell r="G432" t="str">
            <v>Investimentos</v>
          </cell>
        </row>
        <row r="433">
          <cell r="G433" t="str">
            <v>Investimentos</v>
          </cell>
        </row>
        <row r="434">
          <cell r="G434" t="str">
            <v>Investimentos</v>
          </cell>
        </row>
        <row r="435">
          <cell r="G435" t="str">
            <v>Investimentos</v>
          </cell>
        </row>
        <row r="436">
          <cell r="G436" t="str">
            <v>Investimentos</v>
          </cell>
        </row>
        <row r="437">
          <cell r="G437" t="str">
            <v>Investimentos</v>
          </cell>
        </row>
        <row r="438">
          <cell r="G438" t="str">
            <v>Investimentos</v>
          </cell>
        </row>
        <row r="439">
          <cell r="G439" t="str">
            <v>Investimentos</v>
          </cell>
        </row>
        <row r="440">
          <cell r="G440" t="str">
            <v>Investimentos</v>
          </cell>
        </row>
        <row r="441">
          <cell r="G441" t="str">
            <v>Investimentos</v>
          </cell>
        </row>
        <row r="442">
          <cell r="G442" t="str">
            <v>Outros ativos</v>
          </cell>
        </row>
        <row r="443">
          <cell r="G443" t="str">
            <v>Investimentos</v>
          </cell>
        </row>
        <row r="444">
          <cell r="G444" t="str">
            <v>Intangível</v>
          </cell>
        </row>
        <row r="445">
          <cell r="G445" t="str">
            <v>Intangível</v>
          </cell>
        </row>
        <row r="446">
          <cell r="G446" t="str">
            <v>Intangível</v>
          </cell>
        </row>
        <row r="447">
          <cell r="G447" t="str">
            <v>Intangível</v>
          </cell>
        </row>
        <row r="448">
          <cell r="G448" t="str">
            <v>Intangível</v>
          </cell>
        </row>
        <row r="449">
          <cell r="G449" t="str">
            <v>Intangível</v>
          </cell>
        </row>
        <row r="450">
          <cell r="G450" t="str">
            <v>Outros ativos</v>
          </cell>
        </row>
        <row r="451">
          <cell r="G451" t="str">
            <v>Investimentos</v>
          </cell>
        </row>
        <row r="452">
          <cell r="G452" t="str">
            <v>Investimentos</v>
          </cell>
        </row>
        <row r="453">
          <cell r="G453" t="str">
            <v>Outros ativos</v>
          </cell>
        </row>
        <row r="454">
          <cell r="G454" t="str">
            <v>Caixa e equivalentes de caixa</v>
          </cell>
        </row>
        <row r="455">
          <cell r="G455" t="str">
            <v>Outros ativos</v>
          </cell>
        </row>
        <row r="456">
          <cell r="G456" t="str">
            <v>Imobilizado</v>
          </cell>
        </row>
        <row r="457">
          <cell r="G457" t="str">
            <v>Imobilizado</v>
          </cell>
        </row>
        <row r="458">
          <cell r="G458" t="str">
            <v>Imobilizado</v>
          </cell>
        </row>
        <row r="459">
          <cell r="G459" t="str">
            <v>Imobilizado</v>
          </cell>
        </row>
        <row r="460">
          <cell r="G460" t="str">
            <v>Imobilizado</v>
          </cell>
        </row>
        <row r="461">
          <cell r="G461" t="str">
            <v>Imobilizado</v>
          </cell>
        </row>
        <row r="462">
          <cell r="G462" t="str">
            <v>Imobilizado</v>
          </cell>
        </row>
        <row r="463">
          <cell r="G463" t="str">
            <v>Imobilizado</v>
          </cell>
        </row>
        <row r="464">
          <cell r="G464" t="str">
            <v>Imobilizado</v>
          </cell>
        </row>
        <row r="465">
          <cell r="G465" t="str">
            <v>Imobilizado</v>
          </cell>
        </row>
        <row r="466">
          <cell r="G466" t="str">
            <v>Imobilizado</v>
          </cell>
        </row>
        <row r="467">
          <cell r="G467" t="str">
            <v>Imobilizado</v>
          </cell>
        </row>
        <row r="468">
          <cell r="G468" t="str">
            <v>Imobilizado</v>
          </cell>
        </row>
        <row r="469">
          <cell r="G469" t="str">
            <v>Imobilizado</v>
          </cell>
        </row>
        <row r="470">
          <cell r="G470" t="str">
            <v>Imobilizado</v>
          </cell>
        </row>
        <row r="471">
          <cell r="G471" t="str">
            <v>Imobilizado</v>
          </cell>
        </row>
        <row r="472">
          <cell r="G472" t="str">
            <v>Imobilizado</v>
          </cell>
        </row>
        <row r="473">
          <cell r="G473" t="str">
            <v>Imobilizado</v>
          </cell>
        </row>
        <row r="474">
          <cell r="G474" t="str">
            <v>Imobilizado</v>
          </cell>
        </row>
        <row r="475">
          <cell r="G475" t="str">
            <v>Imobilizado</v>
          </cell>
        </row>
        <row r="476">
          <cell r="G476" t="str">
            <v>Imobilizado</v>
          </cell>
        </row>
        <row r="477">
          <cell r="G477" t="str">
            <v>Imobilizado</v>
          </cell>
        </row>
        <row r="478">
          <cell r="G478" t="str">
            <v>Imobilizado</v>
          </cell>
        </row>
        <row r="479">
          <cell r="G479" t="str">
            <v>Imobilizado</v>
          </cell>
        </row>
        <row r="480">
          <cell r="G480" t="str">
            <v>Imobilizado</v>
          </cell>
        </row>
        <row r="481">
          <cell r="G481" t="str">
            <v>Imobilizado</v>
          </cell>
        </row>
        <row r="482">
          <cell r="G482" t="str">
            <v>Imobilizado</v>
          </cell>
        </row>
        <row r="483">
          <cell r="G483" t="str">
            <v>Imobilizado</v>
          </cell>
        </row>
        <row r="484">
          <cell r="G484" t="str">
            <v>Imobilizado</v>
          </cell>
        </row>
        <row r="485">
          <cell r="G485" t="str">
            <v>Imobilizado</v>
          </cell>
        </row>
        <row r="486">
          <cell r="G486" t="str">
            <v>Imobilizado</v>
          </cell>
        </row>
        <row r="487">
          <cell r="G487" t="str">
            <v>Imobilizado</v>
          </cell>
        </row>
        <row r="488">
          <cell r="G488" t="str">
            <v>Imobilizado</v>
          </cell>
        </row>
        <row r="489">
          <cell r="G489" t="str">
            <v>Imobilizado</v>
          </cell>
        </row>
        <row r="490">
          <cell r="G490" t="str">
            <v>Imobilizado</v>
          </cell>
        </row>
        <row r="491">
          <cell r="G491" t="str">
            <v>Imobilizado</v>
          </cell>
        </row>
        <row r="492">
          <cell r="G492" t="str">
            <v>Imobilizado</v>
          </cell>
        </row>
        <row r="493">
          <cell r="G493" t="str">
            <v>Imobilizado</v>
          </cell>
        </row>
        <row r="494">
          <cell r="G494" t="str">
            <v>Imobilizado</v>
          </cell>
        </row>
        <row r="495">
          <cell r="G495" t="str">
            <v>Imobilizado</v>
          </cell>
        </row>
        <row r="496">
          <cell r="G496" t="str">
            <v>Imobilizado</v>
          </cell>
        </row>
        <row r="497">
          <cell r="G497" t="str">
            <v>Imobilizado</v>
          </cell>
        </row>
        <row r="498">
          <cell r="G498" t="str">
            <v>Imobilizado</v>
          </cell>
        </row>
        <row r="499">
          <cell r="G499" t="str">
            <v>Imobilizado</v>
          </cell>
        </row>
        <row r="500">
          <cell r="G500" t="str">
            <v>Imobilizado</v>
          </cell>
        </row>
        <row r="501">
          <cell r="G501" t="str">
            <v>Imobilizado</v>
          </cell>
        </row>
        <row r="502">
          <cell r="G502" t="str">
            <v>Intangível</v>
          </cell>
        </row>
        <row r="503">
          <cell r="G503" t="str">
            <v>Intangível</v>
          </cell>
        </row>
        <row r="504">
          <cell r="G504" t="str">
            <v>Intangível</v>
          </cell>
        </row>
        <row r="505">
          <cell r="G505" t="str">
            <v>Intangível</v>
          </cell>
        </row>
        <row r="506">
          <cell r="G506" t="str">
            <v>Intangível</v>
          </cell>
        </row>
        <row r="507">
          <cell r="G507" t="str">
            <v>Intangível</v>
          </cell>
        </row>
        <row r="508">
          <cell r="G508" t="str">
            <v>Intangível</v>
          </cell>
        </row>
        <row r="509">
          <cell r="G509" t="str">
            <v>Intangível</v>
          </cell>
        </row>
        <row r="510">
          <cell r="G510" t="str">
            <v>Intangível</v>
          </cell>
        </row>
        <row r="511">
          <cell r="G511" t="str">
            <v>Intangível</v>
          </cell>
        </row>
        <row r="512">
          <cell r="G512" t="str">
            <v>Intangível</v>
          </cell>
        </row>
        <row r="513">
          <cell r="G513" t="str">
            <v>Intangível</v>
          </cell>
        </row>
        <row r="514">
          <cell r="G514" t="str">
            <v>Intangível</v>
          </cell>
        </row>
        <row r="515">
          <cell r="G515" t="str">
            <v>Intangível</v>
          </cell>
        </row>
        <row r="516">
          <cell r="G516" t="str">
            <v>Intangível</v>
          </cell>
        </row>
        <row r="517">
          <cell r="G517" t="str">
            <v>Intangível</v>
          </cell>
        </row>
        <row r="518">
          <cell r="G518" t="str">
            <v>Intangível</v>
          </cell>
        </row>
        <row r="519">
          <cell r="G519" t="str">
            <v>Intangível</v>
          </cell>
        </row>
        <row r="520">
          <cell r="G520" t="str">
            <v>Intangível</v>
          </cell>
        </row>
        <row r="521">
          <cell r="G521" t="str">
            <v>Intangível</v>
          </cell>
        </row>
        <row r="522">
          <cell r="G522" t="str">
            <v>Intangível</v>
          </cell>
        </row>
        <row r="523">
          <cell r="G523" t="str">
            <v>Intangível</v>
          </cell>
        </row>
        <row r="524">
          <cell r="G524" t="str">
            <v>Intangível</v>
          </cell>
        </row>
        <row r="525">
          <cell r="G525" t="str">
            <v>Intangível</v>
          </cell>
        </row>
        <row r="526">
          <cell r="G526" t="str">
            <v>Intangível</v>
          </cell>
        </row>
        <row r="527">
          <cell r="G527" t="str">
            <v>Intangível</v>
          </cell>
        </row>
        <row r="528">
          <cell r="G528" t="str">
            <v>Intangível</v>
          </cell>
        </row>
        <row r="529">
          <cell r="G529" t="str">
            <v>Intangível</v>
          </cell>
        </row>
        <row r="530">
          <cell r="G530" t="str">
            <v>Intangível</v>
          </cell>
        </row>
        <row r="531">
          <cell r="G531" t="str">
            <v>Direito de uso</v>
          </cell>
        </row>
        <row r="532">
          <cell r="G532" t="str">
            <v>Direito de uso</v>
          </cell>
        </row>
        <row r="533">
          <cell r="G533" t="str">
            <v>Imobilizado</v>
          </cell>
        </row>
        <row r="534">
          <cell r="G534" t="str">
            <v>Direito de uso</v>
          </cell>
        </row>
        <row r="535">
          <cell r="G535" t="str">
            <v>Direito de uso</v>
          </cell>
        </row>
        <row r="536">
          <cell r="G536" t="str">
            <v>Direito de uso</v>
          </cell>
        </row>
        <row r="537">
          <cell r="G537" t="str">
            <v>Direito de uso</v>
          </cell>
        </row>
        <row r="538">
          <cell r="G538" t="str">
            <v>Imobilizado</v>
          </cell>
        </row>
        <row r="539">
          <cell r="G539" t="str">
            <v>Direito de uso</v>
          </cell>
        </row>
        <row r="540">
          <cell r="G540" t="str">
            <v>Direito de uso</v>
          </cell>
        </row>
        <row r="541">
          <cell r="G541" t="str">
            <v>Imobilizado</v>
          </cell>
        </row>
        <row r="542">
          <cell r="G542" t="str">
            <v>Empréstimos e financiamentos</v>
          </cell>
        </row>
        <row r="543">
          <cell r="G543" t="str">
            <v>Empréstimos e financiamentos</v>
          </cell>
        </row>
        <row r="544">
          <cell r="G544" t="str">
            <v>Empréstimos e financiamentos</v>
          </cell>
        </row>
        <row r="545">
          <cell r="G545" t="str">
            <v>Empréstimos e financiamentos</v>
          </cell>
        </row>
        <row r="546">
          <cell r="G546" t="str">
            <v>Empréstimos e financiamentos</v>
          </cell>
        </row>
        <row r="547">
          <cell r="G547" t="str">
            <v>Empréstimos e financiamentos</v>
          </cell>
        </row>
        <row r="548">
          <cell r="G548" t="str">
            <v>Empréstimos e financiamentos</v>
          </cell>
        </row>
        <row r="549">
          <cell r="G549" t="str">
            <v>Empréstimos e financiamentos</v>
          </cell>
        </row>
        <row r="550">
          <cell r="G550" t="str">
            <v>Empréstimos e financiamentos</v>
          </cell>
        </row>
        <row r="551">
          <cell r="G551" t="str">
            <v>Empréstimos e financiamentos</v>
          </cell>
        </row>
        <row r="552">
          <cell r="G552" t="str">
            <v>Empréstimos e financiamentos</v>
          </cell>
        </row>
        <row r="553">
          <cell r="G553" t="str">
            <v>Debêntures</v>
          </cell>
        </row>
        <row r="554">
          <cell r="G554" t="str">
            <v>Debêntures</v>
          </cell>
        </row>
        <row r="555">
          <cell r="G555" t="str">
            <v>Partes Relacionadas - outras contas a pagar</v>
          </cell>
        </row>
        <row r="556">
          <cell r="G556" t="str">
            <v>Fornecedores</v>
          </cell>
        </row>
        <row r="557">
          <cell r="G557" t="str">
            <v>Fornecedores</v>
          </cell>
        </row>
        <row r="558">
          <cell r="G558" t="str">
            <v>Fornecedores</v>
          </cell>
        </row>
        <row r="559">
          <cell r="G559" t="str">
            <v>Fornecedores</v>
          </cell>
        </row>
        <row r="560">
          <cell r="G560" t="str">
            <v>Fornecedores</v>
          </cell>
        </row>
        <row r="561">
          <cell r="G561" t="str">
            <v>Fornecedores</v>
          </cell>
        </row>
        <row r="562">
          <cell r="G562" t="str">
            <v>Fornecedores</v>
          </cell>
        </row>
        <row r="563">
          <cell r="G563" t="str">
            <v>Fornecedores</v>
          </cell>
        </row>
        <row r="564">
          <cell r="G564" t="str">
            <v>Fornecedores</v>
          </cell>
        </row>
        <row r="565">
          <cell r="G565" t="str">
            <v>Fornecedores</v>
          </cell>
        </row>
        <row r="566">
          <cell r="G566" t="str">
            <v>Fornecedores</v>
          </cell>
        </row>
        <row r="567">
          <cell r="G567" t="str">
            <v>Fornecedores</v>
          </cell>
        </row>
        <row r="568">
          <cell r="G568" t="str">
            <v>Fornecedores</v>
          </cell>
        </row>
        <row r="569">
          <cell r="G569" t="str">
            <v>Fornecedores</v>
          </cell>
        </row>
        <row r="570">
          <cell r="G570" t="str">
            <v>Fornecedores</v>
          </cell>
        </row>
        <row r="571">
          <cell r="G571" t="str">
            <v>Fornecedores</v>
          </cell>
        </row>
        <row r="572">
          <cell r="G572" t="str">
            <v>Fornecedores</v>
          </cell>
        </row>
        <row r="573">
          <cell r="G573" t="str">
            <v>Fornecedores</v>
          </cell>
        </row>
        <row r="574">
          <cell r="G574" t="str">
            <v>Arrendamentos a pagar</v>
          </cell>
        </row>
        <row r="575">
          <cell r="G575" t="str">
            <v>Fornecedores</v>
          </cell>
        </row>
        <row r="576">
          <cell r="G576" t="str">
            <v>Arrendamentos a pagar</v>
          </cell>
        </row>
        <row r="577">
          <cell r="G577" t="str">
            <v>Arrendamentos a pagar</v>
          </cell>
        </row>
        <row r="578">
          <cell r="G578" t="str">
            <v>Arrendamentos a pagar</v>
          </cell>
        </row>
        <row r="579">
          <cell r="G579" t="str">
            <v>Arrendamentos a pagar</v>
          </cell>
        </row>
        <row r="580">
          <cell r="G580" t="str">
            <v>Arrendamentos a pagar</v>
          </cell>
        </row>
        <row r="581">
          <cell r="G581" t="str">
            <v>Outros passivos</v>
          </cell>
        </row>
        <row r="582">
          <cell r="G582" t="str">
            <v>Outras contas a pagar</v>
          </cell>
        </row>
        <row r="583">
          <cell r="G583" t="str">
            <v>Outras contas a pagar</v>
          </cell>
        </row>
        <row r="584">
          <cell r="G584" t="str">
            <v>Outros passivos</v>
          </cell>
        </row>
        <row r="585">
          <cell r="G585" t="str">
            <v>Partes Relacionadas - outras contas a pagar</v>
          </cell>
        </row>
        <row r="586">
          <cell r="G586" t="str">
            <v>Outras contas a pagar</v>
          </cell>
        </row>
        <row r="587">
          <cell r="G587" t="str">
            <v>Outras contas a pagar</v>
          </cell>
        </row>
        <row r="588">
          <cell r="G588" t="str">
            <v>Outras contas a pagar</v>
          </cell>
        </row>
        <row r="589">
          <cell r="G589" t="str">
            <v>Outros passivos</v>
          </cell>
        </row>
        <row r="590">
          <cell r="G590" t="str">
            <v>Outras contas a pagar</v>
          </cell>
        </row>
        <row r="591">
          <cell r="G591" t="str">
            <v>Outras contas a pagar</v>
          </cell>
        </row>
        <row r="592">
          <cell r="G592" t="str">
            <v>Outros passivos</v>
          </cell>
        </row>
        <row r="593">
          <cell r="G593" t="str">
            <v>Outros passivos</v>
          </cell>
        </row>
        <row r="594">
          <cell r="G594" t="str">
            <v>Outras contas a pagar</v>
          </cell>
        </row>
        <row r="595">
          <cell r="G595" t="str">
            <v>Outros passivos</v>
          </cell>
        </row>
        <row r="596">
          <cell r="G596" t="str">
            <v>Outros passivos</v>
          </cell>
        </row>
        <row r="597">
          <cell r="G597" t="str">
            <v>Outras contas a pagar</v>
          </cell>
        </row>
        <row r="598">
          <cell r="G598" t="str">
            <v>Outras contas a pagar</v>
          </cell>
        </row>
        <row r="599">
          <cell r="G599" t="str">
            <v>Outros passivos</v>
          </cell>
        </row>
        <row r="600">
          <cell r="G600" t="str">
            <v>Outras contas a pagar</v>
          </cell>
        </row>
        <row r="601">
          <cell r="G601" t="str">
            <v>Outras contas a pagar</v>
          </cell>
        </row>
        <row r="602">
          <cell r="G602" t="str">
            <v>Contas a receber</v>
          </cell>
        </row>
        <row r="603">
          <cell r="G603" t="str">
            <v>Contas a receber</v>
          </cell>
        </row>
        <row r="604">
          <cell r="G604" t="str">
            <v>Outros passivos</v>
          </cell>
        </row>
        <row r="605">
          <cell r="G605" t="str">
            <v>Outros passivos</v>
          </cell>
        </row>
        <row r="606">
          <cell r="G606" t="str">
            <v>Outras contas a pagar</v>
          </cell>
        </row>
        <row r="607">
          <cell r="G607" t="str">
            <v>Outras contas a pagar</v>
          </cell>
        </row>
        <row r="608">
          <cell r="G608" t="str">
            <v>Outras contas a pagar</v>
          </cell>
        </row>
        <row r="609">
          <cell r="G609" t="str">
            <v>Outras contas a pagar</v>
          </cell>
        </row>
        <row r="610">
          <cell r="G610" t="str">
            <v>Outras contas a pagar</v>
          </cell>
        </row>
        <row r="611">
          <cell r="G611" t="str">
            <v>Outras contas a pagar</v>
          </cell>
        </row>
        <row r="612">
          <cell r="G612" t="str">
            <v>Partes Relacionadas - outras contas a pagar</v>
          </cell>
        </row>
        <row r="613">
          <cell r="G613" t="str">
            <v>Outras contas a pagar</v>
          </cell>
        </row>
        <row r="614">
          <cell r="G614" t="str">
            <v>Outras contas a pagar</v>
          </cell>
        </row>
        <row r="615">
          <cell r="G615" t="str">
            <v>Outras contas a pagar</v>
          </cell>
        </row>
        <row r="616">
          <cell r="G616" t="str">
            <v>Outras contas a pagar</v>
          </cell>
        </row>
        <row r="617">
          <cell r="G617" t="str">
            <v>Outras contas a pagar</v>
          </cell>
        </row>
        <row r="618">
          <cell r="G618" t="str">
            <v>Outros passivos</v>
          </cell>
        </row>
        <row r="619">
          <cell r="G619" t="str">
            <v>Outros passivos</v>
          </cell>
        </row>
        <row r="620">
          <cell r="G620" t="str">
            <v>Outros passivos</v>
          </cell>
        </row>
        <row r="621">
          <cell r="G621" t="str">
            <v>Outros passivos</v>
          </cell>
        </row>
        <row r="622">
          <cell r="G622" t="str">
            <v>Outros passivos</v>
          </cell>
        </row>
        <row r="623">
          <cell r="G623" t="str">
            <v>Outros passivos</v>
          </cell>
        </row>
        <row r="624">
          <cell r="G624" t="str">
            <v>Outros passivos</v>
          </cell>
        </row>
        <row r="625">
          <cell r="G625" t="str">
            <v>Outros passivos</v>
          </cell>
        </row>
        <row r="626">
          <cell r="G626" t="str">
            <v>Imposto de renda e contribuição social a recolher</v>
          </cell>
        </row>
        <row r="627">
          <cell r="G627" t="str">
            <v>Imposto de renda e contribuição social a recolher</v>
          </cell>
        </row>
        <row r="628">
          <cell r="G628" t="str">
            <v>Obrigações tributárias</v>
          </cell>
        </row>
        <row r="629">
          <cell r="G629" t="str">
            <v>Obrigações tributárias</v>
          </cell>
        </row>
        <row r="630">
          <cell r="G630" t="str">
            <v>Obrigações tributárias</v>
          </cell>
        </row>
        <row r="631">
          <cell r="G631" t="str">
            <v>Obrigações tributárias</v>
          </cell>
        </row>
        <row r="632">
          <cell r="G632" t="str">
            <v>Obrigações tributárias</v>
          </cell>
        </row>
        <row r="633">
          <cell r="G633" t="str">
            <v>Obrigações tributárias</v>
          </cell>
        </row>
        <row r="634">
          <cell r="G634" t="str">
            <v>Obrigações tributárias</v>
          </cell>
        </row>
        <row r="635">
          <cell r="G635" t="str">
            <v>Obrigações tributárias</v>
          </cell>
        </row>
        <row r="636">
          <cell r="G636" t="str">
            <v>Obrigações tributárias</v>
          </cell>
        </row>
        <row r="637">
          <cell r="G637" t="str">
            <v>Obrigações tributárias</v>
          </cell>
        </row>
        <row r="638">
          <cell r="G638" t="str">
            <v>Obrigações tributárias</v>
          </cell>
        </row>
        <row r="639">
          <cell r="G639" t="str">
            <v>Obrigações tributárias</v>
          </cell>
        </row>
        <row r="640">
          <cell r="G640" t="str">
            <v>Obrigações tributárias</v>
          </cell>
        </row>
        <row r="641">
          <cell r="G641" t="str">
            <v>Obrigações tributárias</v>
          </cell>
        </row>
        <row r="642">
          <cell r="G642" t="str">
            <v>Obrigações tributárias</v>
          </cell>
        </row>
        <row r="643">
          <cell r="G643" t="str">
            <v>Obrigações tributárias</v>
          </cell>
        </row>
        <row r="644">
          <cell r="G644" t="str">
            <v>Obrigações tributárias</v>
          </cell>
        </row>
        <row r="645">
          <cell r="G645" t="str">
            <v>Obrigações tributárias</v>
          </cell>
        </row>
        <row r="646">
          <cell r="G646" t="str">
            <v>Obrigações tributárias</v>
          </cell>
        </row>
        <row r="647">
          <cell r="G647" t="str">
            <v>Obrigações tributárias</v>
          </cell>
        </row>
        <row r="648">
          <cell r="G648" t="str">
            <v>Obrigações tributárias</v>
          </cell>
        </row>
        <row r="649">
          <cell r="G649" t="str">
            <v>Obrigações tributárias</v>
          </cell>
        </row>
        <row r="650">
          <cell r="G650" t="str">
            <v>Obrigações tributárias</v>
          </cell>
        </row>
        <row r="651">
          <cell r="G651" t="str">
            <v>Obrigações tributárias</v>
          </cell>
        </row>
        <row r="652">
          <cell r="G652" t="str">
            <v>Obrigações tributárias</v>
          </cell>
        </row>
        <row r="653">
          <cell r="G653" t="str">
            <v>Obrigações tributárias</v>
          </cell>
        </row>
        <row r="654">
          <cell r="G654" t="str">
            <v>Impostos parcelados</v>
          </cell>
        </row>
        <row r="655">
          <cell r="G655" t="str">
            <v>Impostos parcelados</v>
          </cell>
        </row>
        <row r="656">
          <cell r="G656" t="str">
            <v>Impostos parcelados</v>
          </cell>
        </row>
        <row r="657">
          <cell r="G657" t="str">
            <v>Impostos parcelados</v>
          </cell>
        </row>
        <row r="658">
          <cell r="G658" t="str">
            <v>Impostos parcelados</v>
          </cell>
        </row>
        <row r="659">
          <cell r="G659" t="str">
            <v>Impostos parcelados</v>
          </cell>
        </row>
        <row r="660">
          <cell r="G660" t="str">
            <v>Impostos parcelados</v>
          </cell>
        </row>
        <row r="661">
          <cell r="G661" t="str">
            <v>Impostos parcelados</v>
          </cell>
        </row>
        <row r="662">
          <cell r="G662" t="str">
            <v>Impostos parcelados</v>
          </cell>
        </row>
        <row r="663">
          <cell r="G663" t="str">
            <v>Impostos parcelados</v>
          </cell>
        </row>
        <row r="664">
          <cell r="G664" t="str">
            <v>Impostos parcelados</v>
          </cell>
        </row>
        <row r="665">
          <cell r="G665" t="str">
            <v>Impostos parcelados</v>
          </cell>
        </row>
        <row r="666">
          <cell r="G666" t="str">
            <v>Impostos parcelados</v>
          </cell>
        </row>
        <row r="667">
          <cell r="G667" t="str">
            <v>Impostos parcelados</v>
          </cell>
        </row>
        <row r="668">
          <cell r="G668" t="str">
            <v>Impostos parcelados</v>
          </cell>
        </row>
        <row r="669">
          <cell r="G669" t="str">
            <v>Impostos parcelados</v>
          </cell>
        </row>
        <row r="670">
          <cell r="G670" t="str">
            <v>Impostos parcelados</v>
          </cell>
        </row>
        <row r="671">
          <cell r="G671" t="str">
            <v>Impostos parcelados</v>
          </cell>
        </row>
        <row r="672">
          <cell r="G672" t="str">
            <v>Impostos parcelados</v>
          </cell>
        </row>
        <row r="673">
          <cell r="G673" t="str">
            <v>Obrigações trabalhistas e previdenciárias</v>
          </cell>
        </row>
        <row r="674">
          <cell r="G674" t="str">
            <v>Obrigações trabalhistas e previdenciárias</v>
          </cell>
        </row>
        <row r="675">
          <cell r="G675" t="str">
            <v>Obrigações trabalhistas e previdenciárias</v>
          </cell>
        </row>
        <row r="676">
          <cell r="G676" t="str">
            <v>Obrigações trabalhistas e previdenciárias</v>
          </cell>
        </row>
        <row r="677">
          <cell r="G677" t="str">
            <v>Obrigações trabalhistas e previdenciárias</v>
          </cell>
        </row>
        <row r="678">
          <cell r="G678" t="str">
            <v>Obrigações trabalhistas e previdenciárias</v>
          </cell>
        </row>
        <row r="679">
          <cell r="G679" t="str">
            <v>Obrigações trabalhistas e previdenciárias</v>
          </cell>
        </row>
        <row r="680">
          <cell r="G680" t="str">
            <v>Obrigações trabalhistas e previdenciárias</v>
          </cell>
        </row>
        <row r="681">
          <cell r="G681" t="str">
            <v>Obrigações trabalhistas e previdenciárias</v>
          </cell>
        </row>
        <row r="682">
          <cell r="G682" t="str">
            <v>Obrigações trabalhistas e previdenciárias</v>
          </cell>
        </row>
        <row r="683">
          <cell r="G683" t="str">
            <v>Obrigações trabalhistas e previdenciárias</v>
          </cell>
        </row>
        <row r="684">
          <cell r="G684" t="str">
            <v>Obrigações trabalhistas e previdenciárias</v>
          </cell>
        </row>
        <row r="685">
          <cell r="G685" t="str">
            <v>Obrigações trabalhistas e previdenciárias</v>
          </cell>
        </row>
        <row r="686">
          <cell r="G686" t="str">
            <v>Obrigações trabalhistas e previdenciárias</v>
          </cell>
        </row>
        <row r="687">
          <cell r="G687" t="str">
            <v>Obrigações trabalhistas e previdenciárias</v>
          </cell>
        </row>
        <row r="688">
          <cell r="G688" t="str">
            <v>Obrigações trabalhistas e previdenciárias</v>
          </cell>
        </row>
        <row r="689">
          <cell r="G689" t="str">
            <v>Obrigações trabalhistas e previdenciárias</v>
          </cell>
        </row>
        <row r="690">
          <cell r="G690" t="str">
            <v>Obrigações trabalhistas e previdenciárias</v>
          </cell>
        </row>
        <row r="691">
          <cell r="G691" t="str">
            <v>Obrigações trabalhistas e previdenciárias</v>
          </cell>
        </row>
        <row r="692">
          <cell r="G692" t="str">
            <v>Obrigações trabalhistas e previdenciárias</v>
          </cell>
        </row>
        <row r="693">
          <cell r="G693" t="str">
            <v>Obrigações trabalhistas e previdenciárias</v>
          </cell>
        </row>
        <row r="694">
          <cell r="G694" t="str">
            <v>Obrigações trabalhistas e previdenciárias</v>
          </cell>
        </row>
        <row r="695">
          <cell r="G695" t="str">
            <v>Obrigações trabalhistas e previdenciárias</v>
          </cell>
        </row>
        <row r="696">
          <cell r="G696" t="str">
            <v>Imposto de renda e contribuição social a recolher</v>
          </cell>
        </row>
        <row r="697">
          <cell r="G697" t="str">
            <v>Imposto de renda e contribuição social a recolher</v>
          </cell>
        </row>
        <row r="698">
          <cell r="G698" t="str">
            <v>Dividendos a Pagar</v>
          </cell>
        </row>
        <row r="699">
          <cell r="G699" t="str">
            <v>Juros sobre capital próprio</v>
          </cell>
        </row>
        <row r="700">
          <cell r="G700" t="str">
            <v>Outras contas a pagar</v>
          </cell>
        </row>
        <row r="701">
          <cell r="G701" t="str">
            <v>Outras contas a pagar</v>
          </cell>
        </row>
        <row r="702">
          <cell r="G702" t="str">
            <v>Outras contas a pagar</v>
          </cell>
        </row>
        <row r="703">
          <cell r="G703" t="str">
            <v>Outras contas a pagar</v>
          </cell>
        </row>
        <row r="704">
          <cell r="G704" t="str">
            <v>Empréstimos e financiamentos</v>
          </cell>
        </row>
        <row r="705">
          <cell r="G705" t="str">
            <v>Empréstimos e financiamentos</v>
          </cell>
        </row>
        <row r="706">
          <cell r="G706" t="str">
            <v>Empréstimos e financiamentos</v>
          </cell>
        </row>
        <row r="707">
          <cell r="G707" t="str">
            <v>Empréstimos e financiamentos</v>
          </cell>
        </row>
        <row r="708">
          <cell r="G708" t="str">
            <v>Debêntures</v>
          </cell>
        </row>
        <row r="709">
          <cell r="G709" t="str">
            <v>Empréstimos e financiamentos</v>
          </cell>
        </row>
        <row r="710">
          <cell r="G710" t="str">
            <v>Empréstimos e financiamentos</v>
          </cell>
        </row>
        <row r="711">
          <cell r="G711" t="str">
            <v>Empréstimos e financiamentos</v>
          </cell>
        </row>
        <row r="712">
          <cell r="G712" t="str">
            <v>Empréstimos e financiamentos</v>
          </cell>
        </row>
        <row r="713">
          <cell r="G713" t="str">
            <v>Empréstimos e financiamentos</v>
          </cell>
        </row>
        <row r="714">
          <cell r="G714" t="str">
            <v>Empréstimos e financiamentos</v>
          </cell>
        </row>
        <row r="715">
          <cell r="G715" t="str">
            <v>Debêntures</v>
          </cell>
        </row>
        <row r="716">
          <cell r="G716" t="str">
            <v>Outros passivos</v>
          </cell>
        </row>
        <row r="717">
          <cell r="G717" t="str">
            <v>Outros passivos</v>
          </cell>
        </row>
        <row r="718">
          <cell r="G718" t="str">
            <v>Arrendamentos a pagar</v>
          </cell>
        </row>
        <row r="719">
          <cell r="G719" t="str">
            <v>Arrendamentos a pagar</v>
          </cell>
        </row>
        <row r="720">
          <cell r="G720" t="str">
            <v>Arrendamentos a pagar</v>
          </cell>
        </row>
        <row r="721">
          <cell r="G721" t="str">
            <v>Fornecedores</v>
          </cell>
        </row>
        <row r="722">
          <cell r="G722" t="str">
            <v>Fornecedores</v>
          </cell>
        </row>
        <row r="723">
          <cell r="G723" t="str">
            <v>Outras contas a pagar</v>
          </cell>
        </row>
        <row r="724">
          <cell r="G724" t="str">
            <v>Outras contas a pagar</v>
          </cell>
        </row>
        <row r="725">
          <cell r="G725" t="str">
            <v>Outras contas a pagar</v>
          </cell>
        </row>
        <row r="726">
          <cell r="G726" t="str">
            <v>Adiantamento para futuro aumento de capital</v>
          </cell>
        </row>
        <row r="727">
          <cell r="G727" t="str">
            <v>Passivos a descoberto em controladas</v>
          </cell>
        </row>
        <row r="728">
          <cell r="G728" t="str">
            <v>Passivos a descoberto em controladas</v>
          </cell>
        </row>
        <row r="729">
          <cell r="G729" t="str">
            <v>Passivos a descoberto em controladas</v>
          </cell>
        </row>
        <row r="730">
          <cell r="G730" t="str">
            <v>Passivos a descoberto em controladas</v>
          </cell>
        </row>
        <row r="731">
          <cell r="G731" t="str">
            <v>Passivos a descoberto em controladas</v>
          </cell>
        </row>
        <row r="732">
          <cell r="G732" t="str">
            <v>Passivos a descoberto em controladas</v>
          </cell>
        </row>
        <row r="733">
          <cell r="G733" t="str">
            <v>Passivos a descoberto em controladas</v>
          </cell>
        </row>
        <row r="734">
          <cell r="G734" t="str">
            <v>Passivos a descoberto em controladas</v>
          </cell>
        </row>
        <row r="735">
          <cell r="G735" t="str">
            <v>Passivos a descoberto em controladas</v>
          </cell>
        </row>
        <row r="736">
          <cell r="G736" t="str">
            <v>Outros passivos</v>
          </cell>
        </row>
        <row r="737">
          <cell r="G737" t="str">
            <v>Outras contas a pagar</v>
          </cell>
        </row>
        <row r="738">
          <cell r="G738" t="str">
            <v>Impostos parcelados</v>
          </cell>
        </row>
        <row r="739">
          <cell r="G739" t="str">
            <v>Impostos parcelados</v>
          </cell>
        </row>
        <row r="740">
          <cell r="G740" t="str">
            <v>Impostos parcelados</v>
          </cell>
        </row>
        <row r="741">
          <cell r="G741" t="str">
            <v>Impostos parcelados</v>
          </cell>
        </row>
        <row r="742">
          <cell r="G742" t="str">
            <v>Impostos parcelados</v>
          </cell>
        </row>
        <row r="743">
          <cell r="G743" t="str">
            <v>Impostos parcelados</v>
          </cell>
        </row>
        <row r="744">
          <cell r="G744" t="str">
            <v>Impostos parcelados</v>
          </cell>
        </row>
        <row r="745">
          <cell r="G745" t="str">
            <v>Impostos parcelados</v>
          </cell>
        </row>
        <row r="746">
          <cell r="G746" t="str">
            <v>Impostos parcelados</v>
          </cell>
        </row>
        <row r="747">
          <cell r="G747" t="str">
            <v>Impostos parcelados</v>
          </cell>
        </row>
        <row r="748">
          <cell r="G748" t="str">
            <v>Impostos parcelados</v>
          </cell>
        </row>
        <row r="749">
          <cell r="G749" t="str">
            <v>Impostos parcelados</v>
          </cell>
        </row>
        <row r="750">
          <cell r="G750" t="str">
            <v>Impostos parcelados</v>
          </cell>
        </row>
        <row r="751">
          <cell r="G751" t="str">
            <v>Impostos parcelados</v>
          </cell>
        </row>
        <row r="752">
          <cell r="G752" t="str">
            <v>Impostos parcelados</v>
          </cell>
        </row>
        <row r="753">
          <cell r="G753" t="str">
            <v>Impostos parcelados</v>
          </cell>
        </row>
        <row r="754">
          <cell r="G754" t="str">
            <v>Impostos parcelados</v>
          </cell>
        </row>
        <row r="755">
          <cell r="G755" t="str">
            <v>Impostos parcelados</v>
          </cell>
        </row>
        <row r="756">
          <cell r="G756" t="str">
            <v>Impostos parcelados</v>
          </cell>
        </row>
        <row r="757">
          <cell r="G757" t="str">
            <v>Provisão para riscos administrativos e judiciais</v>
          </cell>
        </row>
        <row r="758">
          <cell r="G758" t="str">
            <v>Provisão para riscos administrativos e judiciais</v>
          </cell>
        </row>
        <row r="759">
          <cell r="G759" t="str">
            <v>Provisão para riscos administrativos e judiciais</v>
          </cell>
        </row>
        <row r="760">
          <cell r="G760" t="str">
            <v>Provisão para riscos administrativos e judiciais</v>
          </cell>
        </row>
        <row r="761">
          <cell r="G761" t="str">
            <v>Provisão para riscos administrativos e judiciais</v>
          </cell>
        </row>
        <row r="762">
          <cell r="G762" t="str">
            <v>Provisão para riscos administrativos e judiciais</v>
          </cell>
        </row>
        <row r="763">
          <cell r="G763" t="str">
            <v>Provisão para riscos administrativos e judiciais</v>
          </cell>
        </row>
        <row r="764">
          <cell r="G764" t="str">
            <v>Provisão para riscos administrativos e judiciais</v>
          </cell>
        </row>
        <row r="765">
          <cell r="G765" t="str">
            <v>Imposto de renda e contribuição social diferidos</v>
          </cell>
        </row>
        <row r="766">
          <cell r="G766" t="str">
            <v>Imposto de renda e contribuição social diferidos</v>
          </cell>
        </row>
        <row r="767">
          <cell r="G767" t="str">
            <v>Outras contas a pagar</v>
          </cell>
        </row>
        <row r="768">
          <cell r="G768" t="str">
            <v>Capital social</v>
          </cell>
        </row>
        <row r="769">
          <cell r="G769" t="str">
            <v>Capital social</v>
          </cell>
        </row>
        <row r="770">
          <cell r="G770" t="str">
            <v>Reservas de capital</v>
          </cell>
        </row>
        <row r="771">
          <cell r="G771" t="str">
            <v>Reservas de capital</v>
          </cell>
        </row>
        <row r="772">
          <cell r="G772" t="str">
            <v>Reservas de capital</v>
          </cell>
        </row>
        <row r="773">
          <cell r="G773" t="str">
            <v>Reservas de capital</v>
          </cell>
        </row>
        <row r="774">
          <cell r="G774" t="str">
            <v>Reservas de capital</v>
          </cell>
        </row>
        <row r="775">
          <cell r="G775" t="str">
            <v>Reservas de capital</v>
          </cell>
        </row>
        <row r="776">
          <cell r="G776" t="str">
            <v>Reservas de capital</v>
          </cell>
        </row>
        <row r="777">
          <cell r="G777" t="str">
            <v>Reservas de Lucros</v>
          </cell>
        </row>
        <row r="778">
          <cell r="G778" t="str">
            <v>Reservas de Lucros</v>
          </cell>
        </row>
        <row r="779">
          <cell r="G779" t="str">
            <v>Reservas de Lucros</v>
          </cell>
        </row>
        <row r="780">
          <cell r="G780" t="str">
            <v>Reservas de lucros</v>
          </cell>
        </row>
        <row r="781">
          <cell r="G781" t="str">
            <v>Reservas de lucros</v>
          </cell>
        </row>
        <row r="782">
          <cell r="G782" t="str">
            <v>Reservas de lucros</v>
          </cell>
        </row>
        <row r="783">
          <cell r="G783" t="str">
            <v>Ajuste de avaliação patrimonial</v>
          </cell>
        </row>
        <row r="784">
          <cell r="G784" t="str">
            <v>Reservas de Lucros</v>
          </cell>
        </row>
        <row r="785">
          <cell r="G785" t="str">
            <v xml:space="preserve">Outras receitas (despesas) operacionais liquidas </v>
          </cell>
        </row>
        <row r="786">
          <cell r="G786" t="str">
            <v>Reservas de lucros</v>
          </cell>
        </row>
        <row r="787">
          <cell r="G787" t="str">
            <v>Reservas de lucros</v>
          </cell>
        </row>
        <row r="788">
          <cell r="G788" t="str">
            <v>Antecipação de lucros do exercício</v>
          </cell>
        </row>
        <row r="789">
          <cell r="G789" t="str">
            <v>Adiantamento para futuro aumento de capital</v>
          </cell>
        </row>
        <row r="790">
          <cell r="G790" t="str">
            <v>Transitória</v>
          </cell>
        </row>
        <row r="791">
          <cell r="G791" t="str">
            <v>Transitória</v>
          </cell>
        </row>
        <row r="792">
          <cell r="G792" t="str">
            <v>Transitória</v>
          </cell>
        </row>
        <row r="793">
          <cell r="G793" t="str">
            <v>Transitória</v>
          </cell>
        </row>
        <row r="794">
          <cell r="G794" t="str">
            <v>Transitória</v>
          </cell>
        </row>
        <row r="795">
          <cell r="G795" t="str">
            <v>Transitória</v>
          </cell>
        </row>
        <row r="796">
          <cell r="G796" t="str">
            <v>Transitória</v>
          </cell>
        </row>
        <row r="797">
          <cell r="G797" t="str">
            <v>Transitória</v>
          </cell>
        </row>
        <row r="798">
          <cell r="G798" t="str">
            <v>Transitória</v>
          </cell>
        </row>
        <row r="799">
          <cell r="G799" t="str">
            <v>Transitória</v>
          </cell>
        </row>
        <row r="800">
          <cell r="G800" t="str">
            <v>Transitória</v>
          </cell>
        </row>
        <row r="801">
          <cell r="G801" t="str">
            <v>Transitória</v>
          </cell>
        </row>
        <row r="802">
          <cell r="G802" t="str">
            <v>Transitória</v>
          </cell>
        </row>
        <row r="803">
          <cell r="G803" t="str">
            <v>Transitória</v>
          </cell>
        </row>
        <row r="804">
          <cell r="G804" t="str">
            <v>Transitória</v>
          </cell>
        </row>
        <row r="805">
          <cell r="G805" t="str">
            <v>Transitória</v>
          </cell>
        </row>
        <row r="806">
          <cell r="G806" t="str">
            <v>Transitória</v>
          </cell>
        </row>
        <row r="807">
          <cell r="G807" t="str">
            <v>Transitória</v>
          </cell>
        </row>
        <row r="808">
          <cell r="G808" t="str">
            <v>Transitória</v>
          </cell>
        </row>
        <row r="809">
          <cell r="G809" t="str">
            <v>Contas a receber</v>
          </cell>
        </row>
        <row r="810">
          <cell r="G810" t="str">
            <v>Transitória</v>
          </cell>
        </row>
        <row r="812">
          <cell r="G812" t="str">
            <v>Receitas líquidas</v>
          </cell>
        </row>
        <row r="813">
          <cell r="G813" t="str">
            <v>Receitas líquidas</v>
          </cell>
        </row>
        <row r="814">
          <cell r="G814" t="str">
            <v>Receitas líquidas</v>
          </cell>
        </row>
        <row r="815">
          <cell r="G815" t="str">
            <v>Receitas líquidas</v>
          </cell>
        </row>
        <row r="816">
          <cell r="G816" t="str">
            <v>Receitas líquidas</v>
          </cell>
        </row>
        <row r="817">
          <cell r="G817" t="str">
            <v>Receitas líquidas</v>
          </cell>
        </row>
        <row r="818">
          <cell r="G818" t="str">
            <v>Receitas líquidas</v>
          </cell>
        </row>
        <row r="819">
          <cell r="G819" t="str">
            <v>Receitas líquidas</v>
          </cell>
        </row>
        <row r="820">
          <cell r="G820" t="str">
            <v>Receitas líquidas</v>
          </cell>
        </row>
        <row r="821">
          <cell r="G821" t="str">
            <v>Receitas líquidas</v>
          </cell>
        </row>
        <row r="822">
          <cell r="G822" t="str">
            <v>Receitas líquidas</v>
          </cell>
        </row>
        <row r="823">
          <cell r="G823" t="str">
            <v>Receitas líquidas</v>
          </cell>
        </row>
        <row r="824">
          <cell r="G824" t="str">
            <v>Receitas líquidas</v>
          </cell>
        </row>
        <row r="825">
          <cell r="G825" t="str">
            <v>Receitas líquidas</v>
          </cell>
        </row>
        <row r="826">
          <cell r="G826" t="str">
            <v>Receitas líquidas</v>
          </cell>
        </row>
        <row r="827">
          <cell r="G827" t="str">
            <v>Receitas líquidas</v>
          </cell>
        </row>
        <row r="828">
          <cell r="G828" t="str">
            <v>Receitas líquidas</v>
          </cell>
        </row>
        <row r="829">
          <cell r="G829" t="str">
            <v>Receitas líquidas</v>
          </cell>
        </row>
        <row r="830">
          <cell r="G830" t="str">
            <v>Receitas líquidas</v>
          </cell>
        </row>
        <row r="831">
          <cell r="G831" t="str">
            <v>Receitas líquidas</v>
          </cell>
        </row>
        <row r="832">
          <cell r="G832" t="str">
            <v>Receitas líquidas</v>
          </cell>
        </row>
        <row r="833">
          <cell r="G833" t="str">
            <v>Receitas líquidas</v>
          </cell>
        </row>
        <row r="834">
          <cell r="G834" t="str">
            <v>Receitas líquidas</v>
          </cell>
        </row>
        <row r="835">
          <cell r="G835" t="str">
            <v>Receitas líquidas</v>
          </cell>
        </row>
        <row r="836">
          <cell r="G836" t="str">
            <v>Receitas líquidas</v>
          </cell>
        </row>
        <row r="837">
          <cell r="G837" t="str">
            <v>Receitas líquidas</v>
          </cell>
        </row>
        <row r="838">
          <cell r="G838" t="str">
            <v>Receitas líquidas</v>
          </cell>
        </row>
        <row r="839">
          <cell r="G839" t="str">
            <v>Receitas líquidas</v>
          </cell>
        </row>
        <row r="840">
          <cell r="G840" t="str">
            <v>Receitas líquidas</v>
          </cell>
        </row>
        <row r="841">
          <cell r="G841" t="str">
            <v>Receitas líquidas</v>
          </cell>
        </row>
        <row r="842">
          <cell r="G842" t="str">
            <v>Receitas líquidas</v>
          </cell>
        </row>
        <row r="843">
          <cell r="G843" t="str">
            <v>Receitas líquidas</v>
          </cell>
        </row>
        <row r="844">
          <cell r="G844" t="str">
            <v>Receitas líquidas</v>
          </cell>
        </row>
        <row r="845">
          <cell r="G845" t="str">
            <v>Receitas líquidas</v>
          </cell>
        </row>
        <row r="846">
          <cell r="G846" t="str">
            <v>Receitas líquidas</v>
          </cell>
        </row>
        <row r="847">
          <cell r="G847" t="str">
            <v>Receitas líquidas</v>
          </cell>
        </row>
        <row r="848">
          <cell r="G848" t="str">
            <v>Receitas líquidas</v>
          </cell>
        </row>
        <row r="849">
          <cell r="G849" t="str">
            <v>Receitas líquidas</v>
          </cell>
        </row>
        <row r="850">
          <cell r="G850" t="str">
            <v>Receitas líquidas</v>
          </cell>
        </row>
        <row r="851">
          <cell r="G851" t="str">
            <v>Receitas líquidas</v>
          </cell>
        </row>
        <row r="852">
          <cell r="G852" t="str">
            <v>Receitas líquidas</v>
          </cell>
        </row>
        <row r="853">
          <cell r="G853" t="str">
            <v>Receitas líquidas</v>
          </cell>
        </row>
        <row r="854">
          <cell r="G854" t="str">
            <v>Receitas líquidas</v>
          </cell>
        </row>
        <row r="855">
          <cell r="G855" t="str">
            <v>Receitas líquidas</v>
          </cell>
        </row>
        <row r="856">
          <cell r="G856" t="str">
            <v>Receitas líquidas</v>
          </cell>
        </row>
        <row r="857">
          <cell r="G857" t="str">
            <v>Receitas líquidas</v>
          </cell>
        </row>
        <row r="858">
          <cell r="G858" t="str">
            <v>Receitas líquidas</v>
          </cell>
        </row>
        <row r="859">
          <cell r="G859" t="str">
            <v>Receitas líquidas</v>
          </cell>
        </row>
        <row r="860">
          <cell r="G860" t="str">
            <v>Receitas líquidas</v>
          </cell>
        </row>
        <row r="861">
          <cell r="G861" t="str">
            <v>Receitas líquidas</v>
          </cell>
        </row>
        <row r="862">
          <cell r="G862" t="str">
            <v>Receitas líquidas</v>
          </cell>
        </row>
        <row r="863">
          <cell r="G863" t="str">
            <v>Receitas líquidas</v>
          </cell>
        </row>
        <row r="864">
          <cell r="G864" t="str">
            <v>Receitas líquidas</v>
          </cell>
        </row>
        <row r="865">
          <cell r="G865" t="str">
            <v>Receitas líquidas</v>
          </cell>
        </row>
        <row r="866">
          <cell r="G866" t="str">
            <v>Receitas líquidas</v>
          </cell>
        </row>
        <row r="867">
          <cell r="G867" t="str">
            <v>Receitas líquidas</v>
          </cell>
        </row>
        <row r="868">
          <cell r="G868" t="str">
            <v>Receitas líquidas</v>
          </cell>
        </row>
        <row r="869">
          <cell r="G869" t="str">
            <v>Receitas líquidas</v>
          </cell>
        </row>
        <row r="870">
          <cell r="G870" t="str">
            <v>Receitas líquidas</v>
          </cell>
        </row>
        <row r="871">
          <cell r="G871" t="str">
            <v>Receitas líquidas</v>
          </cell>
        </row>
        <row r="872">
          <cell r="G872" t="str">
            <v>Receitas líquidas</v>
          </cell>
        </row>
        <row r="873">
          <cell r="G873" t="str">
            <v>Receitas líquidas</v>
          </cell>
        </row>
        <row r="874">
          <cell r="G874" t="str">
            <v>Receitas líquidas</v>
          </cell>
        </row>
        <row r="875">
          <cell r="G875" t="str">
            <v>Receitas líquidas</v>
          </cell>
        </row>
        <row r="876">
          <cell r="G876" t="str">
            <v>Receitas líquidas</v>
          </cell>
        </row>
        <row r="877">
          <cell r="G877" t="str">
            <v>Receitas líquidas</v>
          </cell>
        </row>
        <row r="878">
          <cell r="G878" t="str">
            <v>Receitas líquidas</v>
          </cell>
        </row>
        <row r="879">
          <cell r="G879" t="str">
            <v>Receitas líquidas</v>
          </cell>
        </row>
        <row r="880">
          <cell r="G880" t="str">
            <v>Receitas líquidas</v>
          </cell>
        </row>
        <row r="881">
          <cell r="G881" t="str">
            <v>Receitas líquidas</v>
          </cell>
        </row>
        <row r="882">
          <cell r="G882" t="str">
            <v>Receitas líquidas</v>
          </cell>
        </row>
        <row r="883">
          <cell r="G883" t="str">
            <v>Receitas líquidas</v>
          </cell>
        </row>
        <row r="884">
          <cell r="G884" t="str">
            <v>Receitas líquidas</v>
          </cell>
        </row>
        <row r="885">
          <cell r="G885" t="str">
            <v>Receitas líquidas</v>
          </cell>
        </row>
        <row r="886">
          <cell r="G886" t="str">
            <v>Receitas líquidas</v>
          </cell>
        </row>
        <row r="887">
          <cell r="G887" t="str">
            <v>Receitas líquidas</v>
          </cell>
        </row>
        <row r="888">
          <cell r="G888" t="str">
            <v>Receitas líquidas</v>
          </cell>
        </row>
        <row r="889">
          <cell r="G889" t="str">
            <v>Receitas líquidas</v>
          </cell>
        </row>
        <row r="890">
          <cell r="G890" t="str">
            <v>Receitas líquidas</v>
          </cell>
        </row>
        <row r="891">
          <cell r="G891" t="str">
            <v>Receitas líquidas</v>
          </cell>
        </row>
        <row r="892">
          <cell r="G892" t="str">
            <v>Receitas líquidas</v>
          </cell>
        </row>
        <row r="893">
          <cell r="G893" t="str">
            <v>Receitas líquidas</v>
          </cell>
        </row>
        <row r="894">
          <cell r="G894" t="str">
            <v>Receitas líquidas</v>
          </cell>
        </row>
        <row r="895">
          <cell r="G895" t="str">
            <v>Receitas líquidas</v>
          </cell>
        </row>
        <row r="896">
          <cell r="G896" t="str">
            <v>Receitas líquidas</v>
          </cell>
        </row>
        <row r="897">
          <cell r="G897" t="str">
            <v>Receitas líquidas</v>
          </cell>
        </row>
        <row r="898">
          <cell r="G898" t="str">
            <v>Receitas líquidas</v>
          </cell>
        </row>
        <row r="899">
          <cell r="G899" t="str">
            <v>Receitas líquidas</v>
          </cell>
        </row>
        <row r="900">
          <cell r="G900" t="str">
            <v>Receitas líquidas</v>
          </cell>
        </row>
        <row r="901">
          <cell r="G901" t="str">
            <v>Receitas líquidas</v>
          </cell>
        </row>
        <row r="902">
          <cell r="G902" t="str">
            <v>Receitas líquidas</v>
          </cell>
        </row>
        <row r="903">
          <cell r="G903" t="str">
            <v>Receitas líquidas</v>
          </cell>
        </row>
        <row r="904">
          <cell r="G904" t="str">
            <v>Receitas líquidas</v>
          </cell>
        </row>
        <row r="905">
          <cell r="G905" t="str">
            <v>Receitas líquidas</v>
          </cell>
        </row>
        <row r="906">
          <cell r="G906" t="str">
            <v>Receitas líquidas</v>
          </cell>
        </row>
        <row r="907">
          <cell r="G907" t="str">
            <v>Receitas líquidas</v>
          </cell>
        </row>
        <row r="908">
          <cell r="G908" t="str">
            <v>Receitas líquidas</v>
          </cell>
        </row>
        <row r="909">
          <cell r="G909" t="str">
            <v>Receitas líquidas</v>
          </cell>
        </row>
        <row r="910">
          <cell r="G910" t="str">
            <v>Receitas líquidas</v>
          </cell>
        </row>
        <row r="911">
          <cell r="G911" t="str">
            <v>Receitas líquidas</v>
          </cell>
        </row>
        <row r="912">
          <cell r="G912" t="str">
            <v>Receitas líquidas</v>
          </cell>
        </row>
        <row r="913">
          <cell r="G913" t="str">
            <v>Custo das vendas e dos serviços prestados</v>
          </cell>
        </row>
        <row r="914">
          <cell r="G914" t="str">
            <v>Custo das vendas e dos serviços prestados</v>
          </cell>
        </row>
        <row r="915">
          <cell r="G915" t="str">
            <v>Custo das vendas e dos serviços prestados</v>
          </cell>
        </row>
        <row r="916">
          <cell r="G916" t="str">
            <v>Custo das vendas e dos serviços prestados</v>
          </cell>
        </row>
        <row r="917">
          <cell r="G917" t="str">
            <v>Custo das vendas e dos serviços prestados</v>
          </cell>
        </row>
        <row r="918">
          <cell r="G918" t="str">
            <v>Custo das vendas e dos serviços prestados</v>
          </cell>
        </row>
        <row r="919">
          <cell r="G919" t="str">
            <v>Custo das vendas e dos serviços prestados</v>
          </cell>
        </row>
        <row r="920">
          <cell r="G920" t="str">
            <v>Custo das vendas e dos serviços prestados</v>
          </cell>
        </row>
        <row r="921">
          <cell r="G921" t="str">
            <v>Custo das vendas e dos serviços prestados</v>
          </cell>
        </row>
        <row r="922">
          <cell r="G922" t="str">
            <v>Custo das vendas e dos serviços prestados</v>
          </cell>
        </row>
        <row r="923">
          <cell r="G923" t="str">
            <v>Custo das vendas e dos serviços prestados</v>
          </cell>
        </row>
        <row r="924">
          <cell r="G924" t="str">
            <v>Custo das vendas e dos serviços prestados</v>
          </cell>
        </row>
        <row r="925">
          <cell r="G925" t="str">
            <v>Custo das vendas e dos serviços prestados</v>
          </cell>
        </row>
        <row r="926">
          <cell r="G926" t="str">
            <v>Custo das vendas e dos serviços prestados</v>
          </cell>
        </row>
        <row r="927">
          <cell r="G927" t="str">
            <v>Custo das vendas e dos serviços prestados</v>
          </cell>
        </row>
        <row r="928">
          <cell r="G928" t="str">
            <v>Custo das vendas e dos serviços prestados</v>
          </cell>
        </row>
        <row r="929">
          <cell r="G929" t="str">
            <v>Custo das vendas e dos serviços prestados</v>
          </cell>
        </row>
        <row r="930">
          <cell r="G930" t="str">
            <v>Custo das vendas e dos serviços prestados</v>
          </cell>
        </row>
        <row r="931">
          <cell r="G931" t="str">
            <v>Custo das vendas e dos serviços prestados</v>
          </cell>
        </row>
        <row r="932">
          <cell r="G932" t="str">
            <v>Custo das vendas e dos serviços prestados</v>
          </cell>
        </row>
        <row r="933">
          <cell r="G933" t="str">
            <v>Custo das vendas e dos serviços prestados</v>
          </cell>
        </row>
        <row r="934">
          <cell r="G934" t="str">
            <v>Custo das vendas e dos serviços prestados</v>
          </cell>
        </row>
        <row r="935">
          <cell r="G935" t="str">
            <v>Custo das vendas e dos serviços prestados</v>
          </cell>
        </row>
        <row r="936">
          <cell r="G936" t="str">
            <v>Custo das vendas e dos serviços prestados</v>
          </cell>
        </row>
        <row r="937">
          <cell r="G937" t="str">
            <v>Custo das vendas e dos serviços prestados</v>
          </cell>
        </row>
        <row r="938">
          <cell r="G938" t="str">
            <v>Custo das vendas e dos serviços prestados</v>
          </cell>
        </row>
        <row r="939">
          <cell r="G939" t="str">
            <v>Custo das vendas e dos serviços prestados</v>
          </cell>
        </row>
        <row r="940">
          <cell r="G940" t="str">
            <v>Custo das vendas e dos serviços prestados</v>
          </cell>
        </row>
        <row r="941">
          <cell r="G941" t="str">
            <v>Custo das vendas e dos serviços prestados</v>
          </cell>
        </row>
        <row r="942">
          <cell r="G942" t="str">
            <v>Custo das vendas e dos serviços prestados</v>
          </cell>
        </row>
        <row r="943">
          <cell r="G943" t="str">
            <v>Custo das vendas e dos serviços prestados</v>
          </cell>
        </row>
        <row r="944">
          <cell r="G944" t="str">
            <v>Custo das vendas e dos serviços prestados</v>
          </cell>
        </row>
        <row r="945">
          <cell r="G945" t="str">
            <v>Custo das vendas e dos serviços prestados</v>
          </cell>
        </row>
        <row r="946">
          <cell r="G946" t="str">
            <v>Custo das vendas e dos serviços prestados</v>
          </cell>
        </row>
        <row r="947">
          <cell r="G947" t="str">
            <v>Custo das vendas e dos serviços prestados</v>
          </cell>
        </row>
        <row r="948">
          <cell r="G948" t="str">
            <v>Custo das vendas e dos serviços prestados</v>
          </cell>
        </row>
        <row r="949">
          <cell r="G949" t="str">
            <v>Custo das vendas e dos serviços prestados</v>
          </cell>
        </row>
        <row r="950">
          <cell r="G950" t="str">
            <v>Custo das vendas e dos serviços prestados</v>
          </cell>
        </row>
        <row r="951">
          <cell r="G951" t="str">
            <v>Custo das vendas e dos serviços prestados</v>
          </cell>
        </row>
        <row r="952">
          <cell r="G952" t="str">
            <v>Custo das vendas e dos serviços prestados</v>
          </cell>
        </row>
        <row r="953">
          <cell r="G953" t="str">
            <v>Custo das vendas e dos serviços prestados</v>
          </cell>
        </row>
        <row r="954">
          <cell r="G954" t="str">
            <v>Custo das vendas e dos serviços prestados</v>
          </cell>
        </row>
        <row r="955">
          <cell r="G955" t="str">
            <v>Custo das vendas e dos serviços prestados</v>
          </cell>
        </row>
        <row r="956">
          <cell r="G956" t="str">
            <v>Custo das vendas e dos serviços prestados</v>
          </cell>
        </row>
        <row r="957">
          <cell r="G957" t="str">
            <v>Custo das vendas e dos serviços prestados</v>
          </cell>
        </row>
        <row r="958">
          <cell r="G958" t="str">
            <v>Custo das vendas e dos serviços prestados</v>
          </cell>
        </row>
        <row r="959">
          <cell r="G959" t="str">
            <v>Custo das vendas e dos serviços prestados</v>
          </cell>
        </row>
        <row r="960">
          <cell r="G960" t="str">
            <v>Custo das vendas e dos serviços prestados</v>
          </cell>
        </row>
        <row r="961">
          <cell r="G961" t="str">
            <v>Custo das vendas e dos serviços prestados</v>
          </cell>
        </row>
        <row r="962">
          <cell r="G962" t="str">
            <v>Custo das vendas e dos serviços prestados</v>
          </cell>
        </row>
        <row r="963">
          <cell r="G963" t="str">
            <v>Custo das vendas e dos serviços prestados</v>
          </cell>
        </row>
        <row r="964">
          <cell r="G964" t="str">
            <v>Custo das vendas e dos serviços prestados</v>
          </cell>
        </row>
        <row r="965">
          <cell r="G965" t="str">
            <v>Custo das vendas e dos serviços prestados</v>
          </cell>
        </row>
        <row r="966">
          <cell r="G966" t="str">
            <v>Custo das vendas e dos serviços prestados</v>
          </cell>
        </row>
        <row r="967">
          <cell r="G967" t="str">
            <v>Custo das vendas e dos serviços prestados</v>
          </cell>
        </row>
        <row r="968">
          <cell r="G968" t="str">
            <v>Custo das vendas e dos serviços prestados</v>
          </cell>
        </row>
        <row r="969">
          <cell r="G969" t="str">
            <v>Desp. ADM e Venda</v>
          </cell>
        </row>
        <row r="970">
          <cell r="G970" t="str">
            <v>Desp. ADM e Venda</v>
          </cell>
        </row>
        <row r="971">
          <cell r="G971" t="str">
            <v>Desp. ADM e Venda</v>
          </cell>
        </row>
        <row r="972">
          <cell r="G972" t="str">
            <v>Desp. ADM e Venda</v>
          </cell>
        </row>
        <row r="973">
          <cell r="G973" t="str">
            <v>Desp. ADM e Venda</v>
          </cell>
        </row>
        <row r="974">
          <cell r="G974" t="str">
            <v>Desp. ADM e Venda</v>
          </cell>
        </row>
        <row r="975">
          <cell r="G975" t="str">
            <v>Desp. ADM e Venda</v>
          </cell>
        </row>
        <row r="976">
          <cell r="G976" t="str">
            <v>Desp. ADM e Venda</v>
          </cell>
        </row>
        <row r="977">
          <cell r="G977" t="str">
            <v>Desp. ADM e Venda</v>
          </cell>
        </row>
        <row r="978">
          <cell r="G978" t="str">
            <v>Desp. ADM e Venda</v>
          </cell>
        </row>
        <row r="979">
          <cell r="G979" t="str">
            <v>Desp. ADM e Venda</v>
          </cell>
        </row>
        <row r="980">
          <cell r="G980" t="str">
            <v>Desp. ADM e Venda</v>
          </cell>
        </row>
        <row r="981">
          <cell r="G981" t="str">
            <v>Desp. ADM e Venda</v>
          </cell>
        </row>
        <row r="982">
          <cell r="G982" t="str">
            <v>Desp. ADM e Venda</v>
          </cell>
        </row>
        <row r="983">
          <cell r="G983" t="str">
            <v>Desp. ADM e Venda</v>
          </cell>
        </row>
        <row r="984">
          <cell r="G984" t="str">
            <v>Desp. ADM e Venda</v>
          </cell>
        </row>
        <row r="985">
          <cell r="G985" t="str">
            <v>Desp. ADM e Venda</v>
          </cell>
        </row>
        <row r="986">
          <cell r="G986" t="str">
            <v>Desp. ADM e Venda</v>
          </cell>
        </row>
        <row r="987">
          <cell r="G987" t="str">
            <v>Desp. ADM e Venda</v>
          </cell>
        </row>
        <row r="988">
          <cell r="G988" t="str">
            <v>Desp. ADM e Venda</v>
          </cell>
        </row>
        <row r="989">
          <cell r="G989" t="str">
            <v>Desp. ADM e Venda</v>
          </cell>
        </row>
        <row r="990">
          <cell r="G990" t="str">
            <v>Desp. ADM e Venda</v>
          </cell>
        </row>
        <row r="991">
          <cell r="G991" t="str">
            <v>Desp. ADM e Venda</v>
          </cell>
        </row>
        <row r="992">
          <cell r="G992" t="str">
            <v>Desp. ADM e Venda</v>
          </cell>
        </row>
        <row r="993">
          <cell r="G993" t="str">
            <v>Desp. ADM e Venda</v>
          </cell>
        </row>
        <row r="994">
          <cell r="G994" t="str">
            <v>Desp. ADM e Venda</v>
          </cell>
        </row>
        <row r="995">
          <cell r="G995" t="str">
            <v>Desp. ADM e Venda</v>
          </cell>
        </row>
        <row r="996">
          <cell r="G996" t="str">
            <v>Desp. ADM e Venda</v>
          </cell>
        </row>
        <row r="997">
          <cell r="G997" t="str">
            <v>Desp. ADM e Venda</v>
          </cell>
        </row>
        <row r="998">
          <cell r="G998" t="str">
            <v>Desp. ADM e Venda</v>
          </cell>
        </row>
        <row r="999">
          <cell r="G999" t="str">
            <v>Desp. ADM e Venda</v>
          </cell>
        </row>
        <row r="1000">
          <cell r="G1000" t="str">
            <v>Desp. ADM e Venda</v>
          </cell>
        </row>
        <row r="1001">
          <cell r="G1001" t="str">
            <v>Desp. ADM e Venda</v>
          </cell>
        </row>
        <row r="1002">
          <cell r="G1002" t="str">
            <v>Desp. ADM e Venda</v>
          </cell>
        </row>
        <row r="1003">
          <cell r="G1003" t="str">
            <v>Desp. ADM e Venda</v>
          </cell>
        </row>
        <row r="1004">
          <cell r="G1004" t="str">
            <v>Desp. ADM e Venda</v>
          </cell>
        </row>
        <row r="1005">
          <cell r="G1005" t="str">
            <v>Desp. ADM e Venda</v>
          </cell>
        </row>
        <row r="1006">
          <cell r="G1006" t="str">
            <v>Desp. ADM e Venda</v>
          </cell>
        </row>
        <row r="1007">
          <cell r="G1007" t="str">
            <v>Desp. ADM e Venda</v>
          </cell>
        </row>
        <row r="1008">
          <cell r="G1008" t="str">
            <v>Desp. ADM e Venda</v>
          </cell>
        </row>
        <row r="1009">
          <cell r="G1009" t="str">
            <v>Desp. ADM e Venda</v>
          </cell>
        </row>
        <row r="1010">
          <cell r="G1010" t="str">
            <v>Desp. ADM e Venda</v>
          </cell>
        </row>
        <row r="1011">
          <cell r="G1011" t="str">
            <v>Desp. ADM e Venda</v>
          </cell>
        </row>
        <row r="1012">
          <cell r="G1012" t="str">
            <v>Desp. ADM e Venda</v>
          </cell>
        </row>
        <row r="1013">
          <cell r="G1013" t="str">
            <v>Desp. ADM e Venda</v>
          </cell>
        </row>
        <row r="1014">
          <cell r="G1014" t="str">
            <v>Desp. ADM e Venda</v>
          </cell>
        </row>
        <row r="1015">
          <cell r="G1015" t="str">
            <v>Desp. ADM e Venda</v>
          </cell>
        </row>
        <row r="1016">
          <cell r="G1016" t="str">
            <v>Desp. ADM e Venda</v>
          </cell>
        </row>
        <row r="1017">
          <cell r="G1017" t="str">
            <v>Desp. ADM e Venda</v>
          </cell>
        </row>
        <row r="1018">
          <cell r="G1018" t="str">
            <v>Desp. ADM e Venda</v>
          </cell>
        </row>
        <row r="1019">
          <cell r="G1019" t="str">
            <v>Desp. ADM e Venda</v>
          </cell>
        </row>
        <row r="1020">
          <cell r="G1020" t="str">
            <v>Desp. ADM e Venda</v>
          </cell>
        </row>
        <row r="1021">
          <cell r="G1021" t="str">
            <v>Desp. ADM e Venda</v>
          </cell>
        </row>
        <row r="1022">
          <cell r="G1022" t="str">
            <v>Desp. ADM e Venda</v>
          </cell>
        </row>
        <row r="1023">
          <cell r="G1023" t="str">
            <v>Desp. ADM e Venda</v>
          </cell>
        </row>
        <row r="1024">
          <cell r="G1024" t="str">
            <v>Desp. ADM e Venda</v>
          </cell>
        </row>
        <row r="1025">
          <cell r="G1025" t="str">
            <v>Desp. ADM e Venda</v>
          </cell>
        </row>
        <row r="1026">
          <cell r="G1026" t="str">
            <v>Desp. ADM e Venda</v>
          </cell>
        </row>
        <row r="1027">
          <cell r="G1027" t="str">
            <v>Desp. ADM e Venda</v>
          </cell>
        </row>
        <row r="1028">
          <cell r="G1028" t="str">
            <v>Desp. ADM e Venda</v>
          </cell>
        </row>
        <row r="1029">
          <cell r="G1029" t="str">
            <v>Desp. ADM e Venda</v>
          </cell>
        </row>
        <row r="1030">
          <cell r="G1030" t="str">
            <v>Desp. ADM e Venda</v>
          </cell>
        </row>
        <row r="1031">
          <cell r="G1031" t="str">
            <v>Desp. ADM e Venda</v>
          </cell>
        </row>
        <row r="1032">
          <cell r="G1032" t="str">
            <v>Desp. ADM e Venda</v>
          </cell>
        </row>
        <row r="1033">
          <cell r="G1033" t="str">
            <v>Desp. ADM e Venda</v>
          </cell>
        </row>
        <row r="1034">
          <cell r="G1034" t="str">
            <v>Desp. ADM e Venda</v>
          </cell>
        </row>
        <row r="1035">
          <cell r="G1035" t="str">
            <v>Desp. ADM e Venda</v>
          </cell>
        </row>
        <row r="1036">
          <cell r="G1036" t="str">
            <v>Desp. ADM e Venda</v>
          </cell>
        </row>
        <row r="1037">
          <cell r="G1037" t="str">
            <v>Desp. ADM e Venda</v>
          </cell>
        </row>
        <row r="1038">
          <cell r="G1038" t="str">
            <v>Desp. ADM e Venda</v>
          </cell>
        </row>
        <row r="1039">
          <cell r="G1039" t="str">
            <v>Desp. ADM e Venda</v>
          </cell>
        </row>
        <row r="1040">
          <cell r="G1040" t="str">
            <v>Desp. ADM e Venda</v>
          </cell>
        </row>
        <row r="1041">
          <cell r="G1041" t="str">
            <v>Desp. ADM e Venda</v>
          </cell>
        </row>
        <row r="1042">
          <cell r="G1042" t="str">
            <v>Desp. ADM e Venda</v>
          </cell>
        </row>
        <row r="1043">
          <cell r="G1043" t="str">
            <v>Desp. ADM e Venda</v>
          </cell>
        </row>
        <row r="1044">
          <cell r="G1044" t="str">
            <v>Desp. ADM e Venda</v>
          </cell>
        </row>
        <row r="1045">
          <cell r="G1045" t="str">
            <v>Desp. ADM e Venda</v>
          </cell>
        </row>
        <row r="1046">
          <cell r="G1046" t="str">
            <v>Desp. ADM e Venda</v>
          </cell>
        </row>
        <row r="1047">
          <cell r="G1047" t="str">
            <v>Desp. ADM e Venda</v>
          </cell>
        </row>
        <row r="1048">
          <cell r="G1048" t="str">
            <v>Desp. ADM e Venda</v>
          </cell>
        </row>
        <row r="1049">
          <cell r="G1049" t="str">
            <v>Desp. ADM e Venda</v>
          </cell>
        </row>
        <row r="1050">
          <cell r="G1050" t="str">
            <v>Desp. ADM e Venda</v>
          </cell>
        </row>
        <row r="1051">
          <cell r="G1051" t="str">
            <v>Desp. ADM e Venda</v>
          </cell>
        </row>
        <row r="1052">
          <cell r="G1052" t="str">
            <v>Desp. ADM e Venda</v>
          </cell>
        </row>
        <row r="1053">
          <cell r="G1053" t="str">
            <v>Desp. ADM e Venda</v>
          </cell>
        </row>
        <row r="1054">
          <cell r="G1054" t="str">
            <v>Desp. ADM e Venda</v>
          </cell>
        </row>
        <row r="1055">
          <cell r="G1055" t="str">
            <v>Desp. ADM e Venda</v>
          </cell>
        </row>
        <row r="1056">
          <cell r="G1056" t="str">
            <v>Desp. ADM e Venda</v>
          </cell>
        </row>
        <row r="1057">
          <cell r="G1057" t="str">
            <v>Desp. ADM e Venda</v>
          </cell>
        </row>
        <row r="1058">
          <cell r="G1058" t="str">
            <v>Desp. ADM e Venda</v>
          </cell>
        </row>
        <row r="1059">
          <cell r="G1059" t="str">
            <v>Desp. ADM e Venda</v>
          </cell>
        </row>
        <row r="1060">
          <cell r="G1060" t="str">
            <v>Desp. ADM e Venda</v>
          </cell>
        </row>
        <row r="1061">
          <cell r="G1061" t="str">
            <v>Desp. ADM e Venda</v>
          </cell>
        </row>
        <row r="1062">
          <cell r="G1062" t="str">
            <v>Desp. ADM e Venda</v>
          </cell>
        </row>
        <row r="1063">
          <cell r="G1063" t="str">
            <v>Desp. ADM e Venda</v>
          </cell>
        </row>
        <row r="1064">
          <cell r="G1064" t="str">
            <v>Desp. ADM e Venda</v>
          </cell>
        </row>
        <row r="1065">
          <cell r="G1065" t="str">
            <v>Desp. ADM e Venda</v>
          </cell>
        </row>
        <row r="1066">
          <cell r="G1066" t="str">
            <v>Desp. ADM e Venda</v>
          </cell>
        </row>
        <row r="1067">
          <cell r="G1067" t="str">
            <v>Desp. ADM e Venda</v>
          </cell>
        </row>
        <row r="1068">
          <cell r="G1068" t="str">
            <v>Desp. ADM e Venda</v>
          </cell>
        </row>
        <row r="1069">
          <cell r="G1069" t="str">
            <v>Desp. ADM e Venda</v>
          </cell>
        </row>
        <row r="1070">
          <cell r="G1070" t="str">
            <v>Desp. ADM e Venda</v>
          </cell>
        </row>
        <row r="1071">
          <cell r="G1071" t="str">
            <v>Desp. ADM e Venda</v>
          </cell>
        </row>
        <row r="1072">
          <cell r="G1072" t="str">
            <v>Desp. ADM e Venda</v>
          </cell>
        </row>
        <row r="1073">
          <cell r="G1073" t="str">
            <v>Desp. ADM e Venda</v>
          </cell>
        </row>
        <row r="1074">
          <cell r="G1074" t="str">
            <v>Desp. ADM e Venda</v>
          </cell>
        </row>
        <row r="1075">
          <cell r="G1075" t="str">
            <v>Desp. ADM e Venda</v>
          </cell>
        </row>
        <row r="1076">
          <cell r="G1076" t="str">
            <v>Desp. ADM e Venda</v>
          </cell>
        </row>
        <row r="1077">
          <cell r="G1077" t="str">
            <v>Desp. ADM e Venda</v>
          </cell>
        </row>
        <row r="1078">
          <cell r="G1078" t="str">
            <v>Desp. ADM e Venda</v>
          </cell>
        </row>
        <row r="1079">
          <cell r="G1079" t="str">
            <v>Desp. ADM e Venda</v>
          </cell>
        </row>
        <row r="1080">
          <cell r="G1080" t="str">
            <v>Desp. ADM e Venda</v>
          </cell>
        </row>
        <row r="1081">
          <cell r="G1081" t="str">
            <v>Desp. ADM e Venda</v>
          </cell>
        </row>
        <row r="1082">
          <cell r="G1082" t="str">
            <v>Desp. ADM e Venda</v>
          </cell>
        </row>
        <row r="1083">
          <cell r="G1083" t="str">
            <v>Desp. ADM e Venda</v>
          </cell>
        </row>
        <row r="1084">
          <cell r="G1084" t="str">
            <v>Desp. ADM e Venda</v>
          </cell>
        </row>
        <row r="1085">
          <cell r="G1085" t="str">
            <v>Desp. ADM e Venda</v>
          </cell>
        </row>
        <row r="1086">
          <cell r="G1086" t="str">
            <v>Desp. ADM e Venda</v>
          </cell>
        </row>
        <row r="1087">
          <cell r="G1087" t="str">
            <v>Desp. ADM e Venda</v>
          </cell>
        </row>
        <row r="1088">
          <cell r="G1088" t="str">
            <v>Desp. ADM e Venda</v>
          </cell>
        </row>
        <row r="1089">
          <cell r="G1089" t="str">
            <v>Desp. ADM e Venda</v>
          </cell>
        </row>
        <row r="1090">
          <cell r="G1090" t="str">
            <v>Desp. ADM e Venda</v>
          </cell>
        </row>
        <row r="1091">
          <cell r="G1091" t="str">
            <v>Desp. ADM e Venda</v>
          </cell>
        </row>
        <row r="1092">
          <cell r="G1092" t="str">
            <v>Desp. ADM e Venda</v>
          </cell>
        </row>
        <row r="1093">
          <cell r="G1093" t="str">
            <v>Desp. ADM e Venda</v>
          </cell>
        </row>
        <row r="1094">
          <cell r="G1094" t="str">
            <v>Desp. ADM e Venda</v>
          </cell>
        </row>
        <row r="1095">
          <cell r="G1095" t="str">
            <v>Desp. ADM e Venda</v>
          </cell>
        </row>
        <row r="1096">
          <cell r="G1096" t="str">
            <v>Desp. ADM e Venda</v>
          </cell>
        </row>
        <row r="1097">
          <cell r="G1097" t="str">
            <v>Desp. ADM e Venda</v>
          </cell>
        </row>
        <row r="1098">
          <cell r="G1098" t="str">
            <v>Desp. ADM e Venda</v>
          </cell>
        </row>
        <row r="1099">
          <cell r="G1099" t="str">
            <v>Desp. ADM e Venda</v>
          </cell>
        </row>
        <row r="1100">
          <cell r="G1100" t="str">
            <v>Desp. ADM e Venda</v>
          </cell>
        </row>
        <row r="1101">
          <cell r="G1101" t="str">
            <v>Desp. ADM e Venda</v>
          </cell>
        </row>
        <row r="1102">
          <cell r="G1102" t="str">
            <v>Desp. ADM e Venda</v>
          </cell>
        </row>
        <row r="1103">
          <cell r="G1103" t="str">
            <v>Desp. ADM e Venda</v>
          </cell>
        </row>
        <row r="1104">
          <cell r="G1104" t="str">
            <v>Desp. ADM e Venda</v>
          </cell>
        </row>
        <row r="1105">
          <cell r="G1105" t="str">
            <v>Desp. ADM e Venda</v>
          </cell>
        </row>
        <row r="1106">
          <cell r="G1106" t="str">
            <v>Desp. ADM e Venda</v>
          </cell>
        </row>
        <row r="1107">
          <cell r="G1107" t="str">
            <v>Desp. ADM e Venda</v>
          </cell>
        </row>
        <row r="1108">
          <cell r="G1108" t="str">
            <v>Desp. ADM e Venda</v>
          </cell>
        </row>
        <row r="1109">
          <cell r="G1109" t="str">
            <v>Desp. ADM e Venda</v>
          </cell>
        </row>
        <row r="1110">
          <cell r="G1110" t="str">
            <v>Desp. ADM e Venda</v>
          </cell>
        </row>
        <row r="1111">
          <cell r="G1111" t="str">
            <v>Desp. ADM e Venda</v>
          </cell>
        </row>
        <row r="1112">
          <cell r="G1112" t="str">
            <v>Desp. ADM e Venda</v>
          </cell>
        </row>
        <row r="1113">
          <cell r="G1113" t="str">
            <v>Desp. ADM e Venda</v>
          </cell>
        </row>
        <row r="1114">
          <cell r="G1114" t="str">
            <v>Desp. ADM e Venda</v>
          </cell>
        </row>
        <row r="1115">
          <cell r="G1115" t="str">
            <v>Desp. ADM e Venda</v>
          </cell>
        </row>
        <row r="1116">
          <cell r="G1116" t="str">
            <v>Desp. ADM e Venda</v>
          </cell>
        </row>
        <row r="1117">
          <cell r="G1117" t="str">
            <v>Desp. ADM e Venda</v>
          </cell>
        </row>
        <row r="1118">
          <cell r="G1118" t="str">
            <v>Desp. ADM e Venda</v>
          </cell>
        </row>
        <row r="1119">
          <cell r="G1119" t="str">
            <v>Desp. ADM e Venda</v>
          </cell>
        </row>
        <row r="1120">
          <cell r="G1120" t="str">
            <v>Desp. ADM e Venda</v>
          </cell>
        </row>
        <row r="1121">
          <cell r="G1121" t="str">
            <v>Desp. ADM e Venda</v>
          </cell>
        </row>
        <row r="1122">
          <cell r="G1122" t="str">
            <v>Desp. ADM e Venda</v>
          </cell>
        </row>
        <row r="1123">
          <cell r="G1123" t="str">
            <v>Desp. ADM e Venda</v>
          </cell>
        </row>
        <row r="1124">
          <cell r="G1124" t="str">
            <v>Desp. ADM e Venda</v>
          </cell>
        </row>
        <row r="1125">
          <cell r="G1125" t="str">
            <v>Desp. ADM e Venda</v>
          </cell>
        </row>
        <row r="1126">
          <cell r="G1126" t="str">
            <v>Desp. ADM e Venda</v>
          </cell>
        </row>
        <row r="1127">
          <cell r="G1127" t="str">
            <v>Desp. ADM e Venda</v>
          </cell>
        </row>
        <row r="1128">
          <cell r="G1128" t="str">
            <v>Desp. ADM e Venda</v>
          </cell>
        </row>
        <row r="1129">
          <cell r="G1129" t="str">
            <v>Desp. ADM e Venda</v>
          </cell>
        </row>
        <row r="1130">
          <cell r="G1130" t="str">
            <v>Desp. ADM e Venda</v>
          </cell>
        </row>
        <row r="1131">
          <cell r="G1131" t="str">
            <v>Desp. ADM e Venda</v>
          </cell>
        </row>
        <row r="1132">
          <cell r="G1132" t="str">
            <v>Desp. ADM e Venda</v>
          </cell>
        </row>
        <row r="1133">
          <cell r="G1133" t="str">
            <v>Desp. ADM e Venda</v>
          </cell>
        </row>
        <row r="1134">
          <cell r="G1134" t="str">
            <v>Desp. ADM e Venda</v>
          </cell>
        </row>
        <row r="1135">
          <cell r="G1135" t="str">
            <v>Desp. ADM e Venda</v>
          </cell>
        </row>
        <row r="1136">
          <cell r="G1136" t="str">
            <v>Desp. ADM e Venda</v>
          </cell>
        </row>
        <row r="1137">
          <cell r="G1137" t="str">
            <v>Desp. ADM e Venda</v>
          </cell>
        </row>
        <row r="1138">
          <cell r="G1138" t="str">
            <v>Desp. ADM e Venda</v>
          </cell>
        </row>
        <row r="1139">
          <cell r="G1139" t="str">
            <v>Desp. ADM e Venda</v>
          </cell>
        </row>
        <row r="1140">
          <cell r="G1140" t="str">
            <v>Desp. ADM e Venda</v>
          </cell>
        </row>
        <row r="1141">
          <cell r="G1141" t="str">
            <v>Desp. ADM e Venda</v>
          </cell>
        </row>
        <row r="1142">
          <cell r="G1142" t="str">
            <v>Desp. ADM e Venda</v>
          </cell>
        </row>
        <row r="1143">
          <cell r="G1143" t="str">
            <v>Desp. ADM e Venda</v>
          </cell>
        </row>
        <row r="1144">
          <cell r="G1144" t="str">
            <v>Desp. ADM e Venda</v>
          </cell>
        </row>
        <row r="1145">
          <cell r="G1145" t="str">
            <v>Desp. ADM e Venda</v>
          </cell>
        </row>
        <row r="1146">
          <cell r="G1146" t="str">
            <v>Desp. ADM e Venda</v>
          </cell>
        </row>
        <row r="1147">
          <cell r="G1147" t="str">
            <v>Desp. ADM e Venda</v>
          </cell>
        </row>
        <row r="1148">
          <cell r="G1148" t="str">
            <v>Desp. ADM e Venda</v>
          </cell>
        </row>
        <row r="1149">
          <cell r="G1149" t="str">
            <v>Desp. ADM e Venda</v>
          </cell>
        </row>
        <row r="1150">
          <cell r="G1150" t="str">
            <v>Desp. ADM e Venda</v>
          </cell>
        </row>
        <row r="1151">
          <cell r="G1151" t="str">
            <v>Desp. ADM e Venda</v>
          </cell>
        </row>
        <row r="1152">
          <cell r="G1152" t="str">
            <v>Desp. ADM e Venda</v>
          </cell>
        </row>
        <row r="1153">
          <cell r="G1153" t="str">
            <v>Desp. ADM e Venda</v>
          </cell>
        </row>
        <row r="1154">
          <cell r="G1154" t="str">
            <v>Desp. ADM e Venda</v>
          </cell>
        </row>
        <row r="1155">
          <cell r="G1155" t="str">
            <v>Desp. ADM e Venda</v>
          </cell>
        </row>
        <row r="1156">
          <cell r="G1156" t="str">
            <v>Desp. ADM e Venda</v>
          </cell>
        </row>
        <row r="1157">
          <cell r="G1157" t="str">
            <v>Desp. ADM e Venda</v>
          </cell>
        </row>
        <row r="1158">
          <cell r="G1158" t="str">
            <v>Desp. ADM e Venda</v>
          </cell>
        </row>
        <row r="1159">
          <cell r="G1159" t="str">
            <v>Desp. ADM e Venda</v>
          </cell>
        </row>
        <row r="1160">
          <cell r="G1160" t="str">
            <v>Desp. ADM e Venda</v>
          </cell>
        </row>
        <row r="1161">
          <cell r="G1161" t="str">
            <v>Desp. ADM e Venda</v>
          </cell>
        </row>
        <row r="1162">
          <cell r="G1162" t="str">
            <v>Desp. ADM e Venda</v>
          </cell>
        </row>
        <row r="1163">
          <cell r="G1163" t="str">
            <v>Desp. ADM e Venda</v>
          </cell>
        </row>
        <row r="1164">
          <cell r="G1164" t="str">
            <v>Desp. ADM e Venda</v>
          </cell>
        </row>
        <row r="1165">
          <cell r="G1165" t="str">
            <v>Desp. ADM e Venda</v>
          </cell>
        </row>
        <row r="1166">
          <cell r="G1166" t="str">
            <v>Desp. ADM e Venda</v>
          </cell>
        </row>
        <row r="1167">
          <cell r="G1167" t="str">
            <v>Desp. ADM e Venda</v>
          </cell>
        </row>
        <row r="1168">
          <cell r="G1168" t="str">
            <v>Desp. ADM e Venda</v>
          </cell>
        </row>
        <row r="1169">
          <cell r="G1169" t="str">
            <v>Desp. ADM e Venda</v>
          </cell>
        </row>
        <row r="1170">
          <cell r="G1170" t="str">
            <v>Desp. ADM e Venda</v>
          </cell>
        </row>
        <row r="1171">
          <cell r="G1171" t="str">
            <v>Desp. ADM e Venda</v>
          </cell>
        </row>
        <row r="1172">
          <cell r="G1172" t="str">
            <v>Desp. ADM e Venda</v>
          </cell>
        </row>
        <row r="1173">
          <cell r="G1173" t="str">
            <v>Desp. ADM e Venda</v>
          </cell>
        </row>
        <row r="1174">
          <cell r="G1174" t="str">
            <v>Desp. ADM e Venda</v>
          </cell>
        </row>
        <row r="1175">
          <cell r="G1175" t="str">
            <v>Desp. ADM e Venda</v>
          </cell>
        </row>
        <row r="1176">
          <cell r="G1176" t="str">
            <v>Desp. ADM e Venda</v>
          </cell>
        </row>
        <row r="1177">
          <cell r="G1177" t="str">
            <v>Desp. ADM e Venda</v>
          </cell>
        </row>
        <row r="1178">
          <cell r="G1178" t="str">
            <v>Desp. ADM e Venda</v>
          </cell>
        </row>
        <row r="1179">
          <cell r="G1179" t="str">
            <v>Desp. ADM e Venda</v>
          </cell>
        </row>
        <row r="1180">
          <cell r="G1180" t="str">
            <v>Desp. ADM e Venda</v>
          </cell>
        </row>
        <row r="1181">
          <cell r="G1181" t="str">
            <v>Desp. ADM e Venda</v>
          </cell>
        </row>
        <row r="1182">
          <cell r="G1182" t="str">
            <v>Desp. ADM e Venda</v>
          </cell>
        </row>
        <row r="1183">
          <cell r="G1183" t="str">
            <v>Desp. ADM e Venda</v>
          </cell>
        </row>
        <row r="1184">
          <cell r="G1184" t="str">
            <v>Desp. ADM e Venda</v>
          </cell>
        </row>
        <row r="1185">
          <cell r="G1185" t="str">
            <v>Desp. ADM e Venda</v>
          </cell>
        </row>
        <row r="1186">
          <cell r="G1186" t="str">
            <v>Desp. ADM e Venda</v>
          </cell>
        </row>
        <row r="1187">
          <cell r="G1187" t="str">
            <v>Desp. ADM e Venda</v>
          </cell>
        </row>
        <row r="1188">
          <cell r="G1188" t="str">
            <v>Desp. ADM e Venda</v>
          </cell>
        </row>
        <row r="1189">
          <cell r="G1189" t="str">
            <v>Desp. ADM e Venda</v>
          </cell>
        </row>
        <row r="1190">
          <cell r="G1190" t="str">
            <v>Desp. ADM e Venda</v>
          </cell>
        </row>
        <row r="1191">
          <cell r="G1191" t="str">
            <v>Desp. ADM e Venda</v>
          </cell>
        </row>
        <row r="1192">
          <cell r="G1192" t="str">
            <v>Desp. ADM e Venda</v>
          </cell>
        </row>
        <row r="1193">
          <cell r="G1193" t="str">
            <v>Desp. ADM e Venda</v>
          </cell>
        </row>
        <row r="1194">
          <cell r="G1194" t="str">
            <v>Desp. ADM e Venda</v>
          </cell>
        </row>
        <row r="1195">
          <cell r="G1195" t="str">
            <v>Desp. ADM e Venda</v>
          </cell>
        </row>
        <row r="1196">
          <cell r="G1196" t="str">
            <v>Desp. ADM e Venda</v>
          </cell>
        </row>
        <row r="1197">
          <cell r="G1197" t="str">
            <v>Desp. ADM e Venda</v>
          </cell>
        </row>
        <row r="1198">
          <cell r="G1198" t="str">
            <v>Desp. ADM e Venda</v>
          </cell>
        </row>
        <row r="1199">
          <cell r="G1199" t="str">
            <v>Desp. ADM e Venda</v>
          </cell>
        </row>
        <row r="1200">
          <cell r="G1200" t="str">
            <v>Desp. ADM e Venda</v>
          </cell>
        </row>
        <row r="1201">
          <cell r="G1201" t="str">
            <v>Desp. ADM e Venda</v>
          </cell>
        </row>
        <row r="1202">
          <cell r="G1202" t="str">
            <v>Desp. ADM e Venda</v>
          </cell>
        </row>
        <row r="1203">
          <cell r="G1203" t="str">
            <v>Desp. ADM e Venda</v>
          </cell>
        </row>
        <row r="1204">
          <cell r="G1204" t="str">
            <v>Desp. ADM e Venda</v>
          </cell>
        </row>
        <row r="1205">
          <cell r="G1205" t="str">
            <v>Desp. ADM e Venda</v>
          </cell>
        </row>
        <row r="1206">
          <cell r="G1206" t="str">
            <v>Desp. ADM e Venda</v>
          </cell>
        </row>
        <row r="1207">
          <cell r="G1207" t="str">
            <v>Desp. ADM e Venda</v>
          </cell>
        </row>
        <row r="1208">
          <cell r="G1208" t="str">
            <v>Desp. ADM e Venda</v>
          </cell>
        </row>
        <row r="1209">
          <cell r="G1209" t="str">
            <v>Desp. ADM e Venda</v>
          </cell>
        </row>
        <row r="1210">
          <cell r="G1210" t="str">
            <v>Desp. ADM e Venda</v>
          </cell>
        </row>
        <row r="1211">
          <cell r="G1211" t="str">
            <v>Desp. ADM e Venda</v>
          </cell>
        </row>
        <row r="1212">
          <cell r="G1212" t="str">
            <v>Desp. ADM e Venda</v>
          </cell>
        </row>
        <row r="1213">
          <cell r="G1213" t="str">
            <v>Desp. ADM e Venda</v>
          </cell>
        </row>
        <row r="1214">
          <cell r="G1214" t="str">
            <v>Desp. ADM e Venda</v>
          </cell>
        </row>
        <row r="1215">
          <cell r="G1215" t="str">
            <v>Desp. ADM e Venda</v>
          </cell>
        </row>
        <row r="1216">
          <cell r="G1216" t="str">
            <v>Desp. ADM e Venda</v>
          </cell>
        </row>
        <row r="1217">
          <cell r="G1217" t="str">
            <v>Desp. ADM e Venda</v>
          </cell>
        </row>
        <row r="1218">
          <cell r="G1218" t="str">
            <v>Desp. ADM e Venda</v>
          </cell>
        </row>
        <row r="1219">
          <cell r="G1219" t="str">
            <v>Desp. ADM e Venda</v>
          </cell>
        </row>
        <row r="1220">
          <cell r="G1220" t="str">
            <v>Desp. ADM e Venda</v>
          </cell>
        </row>
        <row r="1221">
          <cell r="G1221" t="str">
            <v>Desp. ADM e Venda</v>
          </cell>
        </row>
        <row r="1222">
          <cell r="G1222" t="str">
            <v>Desp. ADM e Venda</v>
          </cell>
        </row>
        <row r="1223">
          <cell r="G1223" t="str">
            <v>Desp. ADM e Venda</v>
          </cell>
        </row>
        <row r="1224">
          <cell r="G1224" t="str">
            <v>Desp. ADM e Venda</v>
          </cell>
        </row>
        <row r="1225">
          <cell r="G1225" t="str">
            <v>Desp. ADM e Venda</v>
          </cell>
        </row>
        <row r="1226">
          <cell r="G1226" t="str">
            <v>Desp. ADM e Venda</v>
          </cell>
        </row>
        <row r="1227">
          <cell r="G1227" t="str">
            <v>Desp. ADM e Venda</v>
          </cell>
        </row>
        <row r="1228">
          <cell r="G1228" t="str">
            <v>Desp. ADM e Venda</v>
          </cell>
        </row>
        <row r="1229">
          <cell r="G1229" t="str">
            <v>Desp. ADM e Venda</v>
          </cell>
        </row>
        <row r="1230">
          <cell r="G1230" t="str">
            <v>Perda por redução ao valor recuperável de contas a receber</v>
          </cell>
        </row>
        <row r="1231">
          <cell r="G1231" t="str">
            <v>Desp. ADM e Venda</v>
          </cell>
        </row>
        <row r="1232">
          <cell r="G1232" t="str">
            <v>Desp. ADM e Venda</v>
          </cell>
        </row>
        <row r="1233">
          <cell r="G1233" t="str">
            <v>Desp. ADM e Venda</v>
          </cell>
        </row>
        <row r="1234">
          <cell r="G1234" t="str">
            <v>Desp. ADM e Venda</v>
          </cell>
        </row>
        <row r="1235">
          <cell r="G1235" t="str">
            <v>Desp. ADM e Venda</v>
          </cell>
        </row>
        <row r="1236">
          <cell r="G1236" t="str">
            <v>Desp. ADM e Venda</v>
          </cell>
        </row>
        <row r="1237">
          <cell r="G1237" t="str">
            <v>Desp. ADM e Venda</v>
          </cell>
        </row>
        <row r="1238">
          <cell r="G1238" t="str">
            <v>Desp. ADM e Venda</v>
          </cell>
        </row>
        <row r="1239">
          <cell r="G1239" t="str">
            <v>Desp. ADM e Venda</v>
          </cell>
        </row>
        <row r="1240">
          <cell r="G1240" t="str">
            <v>Desp. ADM e Venda</v>
          </cell>
        </row>
        <row r="1241">
          <cell r="G1241" t="str">
            <v>Desp. ADM e Venda</v>
          </cell>
        </row>
        <row r="1242">
          <cell r="G1242" t="str">
            <v>Desp. ADM e Venda</v>
          </cell>
        </row>
        <row r="1243">
          <cell r="G1243" t="str">
            <v>Desp. ADM e Venda</v>
          </cell>
        </row>
        <row r="1244">
          <cell r="G1244" t="str">
            <v>Desp. ADM e Venda</v>
          </cell>
        </row>
        <row r="1245">
          <cell r="G1245" t="str">
            <v>Desp. ADM e Venda</v>
          </cell>
        </row>
        <row r="1246">
          <cell r="G1246" t="str">
            <v>Desp. ADM e Venda</v>
          </cell>
        </row>
        <row r="1247">
          <cell r="G1247" t="str">
            <v>Desp. ADM e Venda</v>
          </cell>
        </row>
        <row r="1248">
          <cell r="G1248" t="str">
            <v>Desp. ADM e Venda</v>
          </cell>
        </row>
        <row r="1249">
          <cell r="G1249" t="str">
            <v>Desp. ADM e Venda</v>
          </cell>
        </row>
        <row r="1250">
          <cell r="G1250" t="str">
            <v>Desp. ADM e Venda</v>
          </cell>
        </row>
        <row r="1251">
          <cell r="G1251" t="str">
            <v>Desp. ADM e Venda</v>
          </cell>
        </row>
        <row r="1252">
          <cell r="G1252" t="str">
            <v>Desp. ADM e Venda</v>
          </cell>
        </row>
        <row r="1253">
          <cell r="G1253" t="str">
            <v>Perda por redução ao valor recuperável de contas a receber</v>
          </cell>
        </row>
        <row r="1254">
          <cell r="G1254" t="str">
            <v>Desp. ADM e Venda</v>
          </cell>
        </row>
        <row r="1255">
          <cell r="G1255" t="str">
            <v>Desp. ADM e Venda</v>
          </cell>
        </row>
        <row r="1256">
          <cell r="G1256" t="str">
            <v>Desp. ADM e Venda</v>
          </cell>
        </row>
        <row r="1257">
          <cell r="G1257" t="str">
            <v>Desp. ADM e Venda</v>
          </cell>
        </row>
        <row r="1258">
          <cell r="G1258" t="str">
            <v>Desp. ADM e Venda</v>
          </cell>
        </row>
        <row r="1259">
          <cell r="G1259" t="str">
            <v>Desp. ADM e Venda</v>
          </cell>
        </row>
        <row r="1260">
          <cell r="G1260" t="str">
            <v>Desp. ADM e Venda</v>
          </cell>
        </row>
        <row r="1261">
          <cell r="G1261" t="str">
            <v>Desp. ADM e Venda</v>
          </cell>
        </row>
        <row r="1262">
          <cell r="G1262" t="str">
            <v>Desp. ADM e Venda</v>
          </cell>
        </row>
        <row r="1263">
          <cell r="G1263" t="str">
            <v>Desp. ADM e Venda</v>
          </cell>
        </row>
        <row r="1264">
          <cell r="G1264" t="str">
            <v>Desp. ADM e Venda</v>
          </cell>
        </row>
        <row r="1265">
          <cell r="G1265" t="str">
            <v>Desp. ADM e Venda</v>
          </cell>
        </row>
        <row r="1266">
          <cell r="G1266" t="str">
            <v>Desp. ADM e Venda</v>
          </cell>
        </row>
        <row r="1267">
          <cell r="G1267" t="str">
            <v>Desp. ADM e Venda</v>
          </cell>
        </row>
        <row r="1268">
          <cell r="G1268" t="str">
            <v>Desp. ADM e Venda</v>
          </cell>
        </row>
        <row r="1269">
          <cell r="G1269" t="str">
            <v>Desp. ADM e Venda</v>
          </cell>
        </row>
        <row r="1270">
          <cell r="G1270" t="str">
            <v>Desp. ADM e Venda</v>
          </cell>
        </row>
        <row r="1271">
          <cell r="G1271" t="str">
            <v>Desp. ADM e Venda</v>
          </cell>
        </row>
        <row r="1272">
          <cell r="G1272" t="str">
            <v>Desp. ADM e Venda</v>
          </cell>
        </row>
        <row r="1273">
          <cell r="G1273" t="str">
            <v>Desp. ADM e Venda</v>
          </cell>
        </row>
        <row r="1274">
          <cell r="G1274" t="str">
            <v>Desp. ADM e Venda</v>
          </cell>
        </row>
        <row r="1275">
          <cell r="G1275" t="str">
            <v>Desp. ADM e Venda</v>
          </cell>
        </row>
        <row r="1276">
          <cell r="G1276" t="str">
            <v>Desp. ADM e Venda</v>
          </cell>
        </row>
        <row r="1277">
          <cell r="G1277" t="str">
            <v>Desp. ADM e Venda</v>
          </cell>
        </row>
        <row r="1278">
          <cell r="G1278" t="str">
            <v>Desp. ADM e Venda</v>
          </cell>
        </row>
        <row r="1279">
          <cell r="G1279" t="str">
            <v>Desp. ADM e Venda</v>
          </cell>
        </row>
        <row r="1280">
          <cell r="G1280" t="str">
            <v>Desp. ADM e Venda</v>
          </cell>
        </row>
        <row r="1281">
          <cell r="G1281" t="str">
            <v xml:space="preserve">Outras receitas (despesas) operacionais liquidas </v>
          </cell>
        </row>
        <row r="1282">
          <cell r="G1282" t="str">
            <v xml:space="preserve">Outras receitas (despesas) operacionais liquidas </v>
          </cell>
        </row>
        <row r="1283">
          <cell r="G1283" t="str">
            <v xml:space="preserve">Outras receitas (despesas) operacionais liquidas </v>
          </cell>
        </row>
        <row r="1284">
          <cell r="G1284" t="str">
            <v xml:space="preserve">Outras receitas (despesas) operacionais liquidas </v>
          </cell>
        </row>
        <row r="1285">
          <cell r="G1285" t="str">
            <v xml:space="preserve">Outras receitas (despesas) operacionais liquidas </v>
          </cell>
        </row>
        <row r="1286">
          <cell r="G1286" t="str">
            <v xml:space="preserve">Outras receitas (despesas) operacionais liquidas </v>
          </cell>
        </row>
        <row r="1287">
          <cell r="G1287" t="str">
            <v xml:space="preserve">Outras receitas (despesas) operacionais liquidas </v>
          </cell>
        </row>
        <row r="1288">
          <cell r="G1288" t="str">
            <v xml:space="preserve">Outras receitas (despesas) operacionais liquidas </v>
          </cell>
        </row>
        <row r="1289">
          <cell r="G1289" t="str">
            <v xml:space="preserve">Outras receitas (despesas) operacionais liquidas </v>
          </cell>
        </row>
        <row r="1290">
          <cell r="G1290" t="str">
            <v xml:space="preserve">Outras receitas (despesas) operacionais liquidas </v>
          </cell>
        </row>
        <row r="1291">
          <cell r="G1291" t="str">
            <v xml:space="preserve">Outras receitas (despesas) operacionais liquidas </v>
          </cell>
        </row>
        <row r="1292">
          <cell r="G1292" t="str">
            <v xml:space="preserve">Outras receitas (despesas) operacionais liquidas </v>
          </cell>
        </row>
        <row r="1293">
          <cell r="G1293" t="str">
            <v xml:space="preserve">Outras receitas (despesas) operacionais liquidas </v>
          </cell>
        </row>
        <row r="1294">
          <cell r="G1294" t="str">
            <v xml:space="preserve">Outras receitas (despesas) operacionais liquidas </v>
          </cell>
        </row>
        <row r="1295">
          <cell r="G1295" t="str">
            <v xml:space="preserve">Outras receitas (despesas) operacionais liquidas </v>
          </cell>
        </row>
        <row r="1296">
          <cell r="G1296" t="str">
            <v xml:space="preserve">Outras receitas (despesas) operacionais liquidas </v>
          </cell>
        </row>
        <row r="1297">
          <cell r="G1297" t="str">
            <v xml:space="preserve">Outras receitas (despesas) operacionais liquidas </v>
          </cell>
        </row>
        <row r="1298">
          <cell r="G1298" t="str">
            <v xml:space="preserve">Outras receitas (despesas) operacionais liquidas </v>
          </cell>
        </row>
        <row r="1299">
          <cell r="G1299" t="str">
            <v xml:space="preserve">Outras receitas (despesas) operacionais liquidas </v>
          </cell>
        </row>
        <row r="1300">
          <cell r="G1300" t="str">
            <v xml:space="preserve">Outras receitas (despesas) operacionais liquidas </v>
          </cell>
        </row>
        <row r="1301">
          <cell r="G1301" t="str">
            <v xml:space="preserve">Outras receitas (despesas) operacionais liquidas </v>
          </cell>
        </row>
        <row r="1302">
          <cell r="G1302" t="str">
            <v xml:space="preserve">Outras receitas (despesas) operacionais liquidas </v>
          </cell>
        </row>
        <row r="1303">
          <cell r="G1303" t="str">
            <v xml:space="preserve">Outras receitas (despesas) operacionais liquidas </v>
          </cell>
        </row>
        <row r="1304">
          <cell r="G1304" t="str">
            <v xml:space="preserve">Outras receitas (despesas) operacionais liquidas </v>
          </cell>
        </row>
        <row r="1305">
          <cell r="G1305" t="str">
            <v xml:space="preserve">Outras receitas (despesas) operacionais liquidas </v>
          </cell>
        </row>
        <row r="1306">
          <cell r="G1306" t="str">
            <v xml:space="preserve">Outras receitas (despesas) operacionais liquidas </v>
          </cell>
        </row>
        <row r="1307">
          <cell r="G1307" t="str">
            <v xml:space="preserve">Outras receitas (despesas) operacionais liquidas </v>
          </cell>
        </row>
        <row r="1308">
          <cell r="G1308" t="str">
            <v>Resultado com equivalência patrimonial</v>
          </cell>
        </row>
        <row r="1309">
          <cell r="G1309" t="str">
            <v>Resultado com equivalência patrimonial</v>
          </cell>
        </row>
        <row r="1310">
          <cell r="G1310" t="str">
            <v>Resultado com equivalência patrimonial</v>
          </cell>
        </row>
        <row r="1311">
          <cell r="G1311" t="str">
            <v>Resultado com equivalência patrimonial</v>
          </cell>
        </row>
        <row r="1312">
          <cell r="G1312" t="str">
            <v>Resultado com equivalência patrimonial</v>
          </cell>
        </row>
        <row r="1313">
          <cell r="G1313" t="str">
            <v>Resultado com equivalência patrimonial</v>
          </cell>
        </row>
        <row r="1314">
          <cell r="G1314" t="str">
            <v>Resultado com equivalência patrimonial</v>
          </cell>
        </row>
        <row r="1315">
          <cell r="G1315" t="str">
            <v>Resultado com equivalência patrimonial</v>
          </cell>
        </row>
        <row r="1316">
          <cell r="G1316" t="str">
            <v>Resultado com equivalência patrimonial</v>
          </cell>
        </row>
        <row r="1317">
          <cell r="G1317" t="str">
            <v>Resultado com equivalência patrimonial</v>
          </cell>
        </row>
        <row r="1318">
          <cell r="G1318" t="str">
            <v>Resultado com equivalência patrimonial</v>
          </cell>
        </row>
        <row r="1319">
          <cell r="G1319" t="str">
            <v>Resultado com equivalência patrimonial</v>
          </cell>
        </row>
        <row r="1320">
          <cell r="G1320" t="str">
            <v>Despesas Financeiras</v>
          </cell>
        </row>
        <row r="1321">
          <cell r="G1321" t="str">
            <v>Despesas Financeiras</v>
          </cell>
        </row>
        <row r="1322">
          <cell r="G1322" t="str">
            <v>Despesas Financeiras</v>
          </cell>
        </row>
        <row r="1323">
          <cell r="G1323" t="str">
            <v>Despesas Financeiras</v>
          </cell>
        </row>
        <row r="1324">
          <cell r="G1324" t="str">
            <v>Despesas Financeiras</v>
          </cell>
        </row>
        <row r="1325">
          <cell r="G1325" t="str">
            <v>Despesas Financeiras</v>
          </cell>
        </row>
        <row r="1326">
          <cell r="G1326" t="str">
            <v>Despesas Financeiras</v>
          </cell>
        </row>
        <row r="1327">
          <cell r="G1327" t="str">
            <v>Despesas Financeiras</v>
          </cell>
        </row>
        <row r="1328">
          <cell r="G1328" t="str">
            <v>Despesas Financeiras</v>
          </cell>
        </row>
        <row r="1329">
          <cell r="G1329" t="str">
            <v>Despesas Financeiras</v>
          </cell>
        </row>
        <row r="1330">
          <cell r="G1330" t="str">
            <v>Despesas Financeiras</v>
          </cell>
        </row>
        <row r="1331">
          <cell r="G1331" t="str">
            <v>Despesas Financeiras</v>
          </cell>
        </row>
        <row r="1332">
          <cell r="G1332" t="str">
            <v>Despesas Financeiras</v>
          </cell>
        </row>
        <row r="1333">
          <cell r="G1333" t="str">
            <v>Despesas Financeiras</v>
          </cell>
        </row>
        <row r="1334">
          <cell r="G1334" t="str">
            <v>Despesas Financeiras</v>
          </cell>
        </row>
        <row r="1335">
          <cell r="G1335" t="str">
            <v>Despesas Financeiras</v>
          </cell>
        </row>
        <row r="1336">
          <cell r="G1336" t="str">
            <v>Despesas Financeiras</v>
          </cell>
        </row>
        <row r="1337">
          <cell r="G1337" t="str">
            <v>Despesas Financeiras</v>
          </cell>
        </row>
        <row r="1338">
          <cell r="G1338" t="str">
            <v>Despesas Financeiras</v>
          </cell>
        </row>
        <row r="1339">
          <cell r="G1339" t="str">
            <v>Despesas Financeiras</v>
          </cell>
        </row>
        <row r="1340">
          <cell r="G1340" t="str">
            <v>Despesas Financeiras</v>
          </cell>
        </row>
        <row r="1341">
          <cell r="G1341" t="str">
            <v>Despesas Financeiras</v>
          </cell>
        </row>
        <row r="1342">
          <cell r="G1342" t="str">
            <v>Despesas Financeiras</v>
          </cell>
        </row>
        <row r="1343">
          <cell r="G1343" t="str">
            <v>Despesas Financeiras</v>
          </cell>
        </row>
        <row r="1344">
          <cell r="G1344" t="str">
            <v>Despesas Financeiras</v>
          </cell>
        </row>
        <row r="1345">
          <cell r="G1345" t="str">
            <v>Despesas Financeiras</v>
          </cell>
        </row>
        <row r="1346">
          <cell r="G1346" t="str">
            <v>Despesas Financeiras</v>
          </cell>
        </row>
        <row r="1347">
          <cell r="G1347" t="str">
            <v>Despesas Financeiras</v>
          </cell>
        </row>
        <row r="1348">
          <cell r="G1348" t="str">
            <v>Despesas Financeiras</v>
          </cell>
        </row>
        <row r="1349">
          <cell r="G1349" t="str">
            <v>Despesas Financeiras</v>
          </cell>
        </row>
        <row r="1350">
          <cell r="G1350" t="str">
            <v>Despesas Financeiras</v>
          </cell>
        </row>
        <row r="1351">
          <cell r="G1351" t="str">
            <v>Despesas Financeiras</v>
          </cell>
        </row>
        <row r="1352">
          <cell r="G1352" t="str">
            <v>Despesas Financeiras</v>
          </cell>
        </row>
        <row r="1353">
          <cell r="G1353" t="str">
            <v>Despesas Financeiras</v>
          </cell>
        </row>
        <row r="1354">
          <cell r="G1354" t="str">
            <v>Despesas Financeiras</v>
          </cell>
        </row>
        <row r="1355">
          <cell r="G1355" t="str">
            <v>Despesas Financeiras</v>
          </cell>
        </row>
        <row r="1356">
          <cell r="G1356" t="str">
            <v>Receitas financeiras</v>
          </cell>
        </row>
        <row r="1357">
          <cell r="G1357" t="str">
            <v>Receitas financeiras</v>
          </cell>
        </row>
        <row r="1358">
          <cell r="G1358" t="str">
            <v>Receitas financeiras</v>
          </cell>
        </row>
        <row r="1359">
          <cell r="G1359" t="str">
            <v>Receitas financeiras</v>
          </cell>
        </row>
        <row r="1360">
          <cell r="G1360" t="str">
            <v>Receitas financeiras</v>
          </cell>
        </row>
        <row r="1361">
          <cell r="G1361" t="str">
            <v>Receitas financeiras</v>
          </cell>
        </row>
        <row r="1362">
          <cell r="G1362" t="str">
            <v>Receitas financeiras</v>
          </cell>
        </row>
        <row r="1363">
          <cell r="G1363" t="str">
            <v>Receitas financeiras</v>
          </cell>
        </row>
        <row r="1364">
          <cell r="G1364" t="str">
            <v>Receitas financeiras</v>
          </cell>
        </row>
        <row r="1365">
          <cell r="G1365" t="str">
            <v>Receitas financeiras</v>
          </cell>
        </row>
        <row r="1366">
          <cell r="G1366" t="str">
            <v>Receitas financeiras</v>
          </cell>
        </row>
        <row r="1367">
          <cell r="G1367" t="str">
            <v>Receitas financeiras</v>
          </cell>
        </row>
        <row r="1368">
          <cell r="G1368" t="str">
            <v>Receitas financeiras</v>
          </cell>
        </row>
        <row r="1369">
          <cell r="G1369" t="str">
            <v>Receitas financeiras</v>
          </cell>
        </row>
        <row r="1370">
          <cell r="G1370" t="str">
            <v>Despesas financeiras</v>
          </cell>
        </row>
        <row r="1371">
          <cell r="G1371" t="str">
            <v>Despesas financeiras</v>
          </cell>
        </row>
        <row r="1372">
          <cell r="G1372" t="str">
            <v>Receitas financeiras</v>
          </cell>
        </row>
        <row r="1373">
          <cell r="G1373" t="str">
            <v>Receitas financeiras</v>
          </cell>
        </row>
        <row r="1374">
          <cell r="G1374" t="str">
            <v>Receitas financeiras</v>
          </cell>
        </row>
        <row r="1375">
          <cell r="G1375" t="str">
            <v>Receitas financeiras</v>
          </cell>
        </row>
        <row r="1376">
          <cell r="G1376" t="str">
            <v>Despesas Financeiras</v>
          </cell>
        </row>
        <row r="1377">
          <cell r="G1377" t="str">
            <v>Receitas financeiras</v>
          </cell>
        </row>
        <row r="1378">
          <cell r="G1378" t="str">
            <v>Imposto de renda e contribuição social  - Corrente</v>
          </cell>
        </row>
        <row r="1379">
          <cell r="G1379" t="str">
            <v>Imposto de renda e contribuição social  - Corrente</v>
          </cell>
        </row>
        <row r="1380">
          <cell r="G1380" t="str">
            <v>Imposto de renda e contribuição social  - Diferido</v>
          </cell>
        </row>
        <row r="1381">
          <cell r="G1381" t="str">
            <v>Imposto de renda e contribuição social  - Diferido</v>
          </cell>
        </row>
        <row r="1382">
          <cell r="G1382" t="str">
            <v>Imposto de renda e contribuição social  - Diferido</v>
          </cell>
        </row>
        <row r="1383">
          <cell r="G1383" t="str">
            <v>Imposto de renda e contribuição social  - Diferido</v>
          </cell>
        </row>
        <row r="1384">
          <cell r="G1384" t="str">
            <v>Resultado</v>
          </cell>
        </row>
        <row r="1385">
          <cell r="G1385" t="str">
            <v>Resultado</v>
          </cell>
        </row>
        <row r="1386">
          <cell r="G1386" t="str">
            <v>Resultado</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M"/>
      <sheetName val="Consolidado - 30.06.2022"/>
      <sheetName val="Base"/>
      <sheetName val="BP"/>
      <sheetName val="DRE"/>
      <sheetName val="DRE - Trim"/>
      <sheetName val="Resultado Março"/>
      <sheetName val="Sheet1"/>
      <sheetName val="MAPAS"/>
      <sheetName val="DRA "/>
      <sheetName val="DRA - Trim"/>
      <sheetName val="DRA - Março 2022"/>
      <sheetName val="DMPL"/>
      <sheetName val="DFC"/>
      <sheetName val="DVA"/>
      <sheetName val="Mapa DFC (Consolidado)"/>
      <sheetName val="Mapa DFC (Controladora)"/>
      <sheetName val="Ajustes BP 2019"/>
      <sheetName val="Ajustes BP 2020"/>
      <sheetName val="Ajustes DRE 2020"/>
      <sheetName val="Resumo ajustes 2019x2020"/>
      <sheetName val="3 - Aquisição NWB"/>
      <sheetName val="Ajustes DVA 2020"/>
      <sheetName val="RA(trim)"/>
      <sheetName val="1.a"/>
      <sheetName val="7.1"/>
      <sheetName val="7. BP"/>
      <sheetName val="7. DRE "/>
      <sheetName val="7.2"/>
      <sheetName val="7. DFC"/>
      <sheetName val="7.3"/>
      <sheetName val="7. DVA"/>
      <sheetName val="7.4"/>
      <sheetName val="3"/>
      <sheetName val="4"/>
      <sheetName val="5"/>
      <sheetName val="6"/>
      <sheetName val="7"/>
      <sheetName val="8"/>
      <sheetName val="9"/>
      <sheetName val="10"/>
      <sheetName val="10.1"/>
      <sheetName val="11"/>
      <sheetName val="Mapa contencioso"/>
      <sheetName val="12"/>
      <sheetName val="12.1"/>
      <sheetName val="13"/>
      <sheetName val="Mapa Imobilizado"/>
      <sheetName val="14"/>
      <sheetName val="Mapa arrendamento"/>
      <sheetName val="Mapa Intangível"/>
      <sheetName val="15"/>
      <sheetName val="16"/>
      <sheetName val="17"/>
      <sheetName val="18"/>
      <sheetName val="19"/>
      <sheetName val="20"/>
      <sheetName val="21"/>
      <sheetName val="21.1"/>
      <sheetName val="22"/>
      <sheetName val="23"/>
      <sheetName val="24"/>
      <sheetName val="25"/>
      <sheetName val="26"/>
      <sheetName val="27"/>
      <sheetName val="28"/>
      <sheetName val="29"/>
      <sheetName val="29.1"/>
      <sheetName val="30"/>
    </sheetNames>
    <sheetDataSet>
      <sheetData sheetId="0" refreshError="1"/>
      <sheetData sheetId="1" refreshError="1"/>
      <sheetData sheetId="2">
        <row r="1">
          <cell r="L1">
            <v>3.4014860093593596E-3</v>
          </cell>
        </row>
        <row r="2">
          <cell r="L2">
            <v>3.4014860093593597</v>
          </cell>
        </row>
        <row r="3">
          <cell r="L3" t="str">
            <v>Consolidado
CORRENTE</v>
          </cell>
        </row>
        <row r="4">
          <cell r="F4" t="str">
            <v>DF</v>
          </cell>
          <cell r="L4" t="str">
            <v>Corrente - Consolidado</v>
          </cell>
        </row>
        <row r="5">
          <cell r="F5" t="str">
            <v>Caixa e equivalentes de caixa</v>
          </cell>
          <cell r="L5">
            <v>19843.54</v>
          </cell>
        </row>
        <row r="6">
          <cell r="F6" t="str">
            <v>Caixa e equivalentes de caixa</v>
          </cell>
          <cell r="L6">
            <v>122520</v>
          </cell>
        </row>
        <row r="7">
          <cell r="F7" t="str">
            <v>Caixa e equivalentes de caixa</v>
          </cell>
          <cell r="L7">
            <v>1413652.9</v>
          </cell>
        </row>
        <row r="8">
          <cell r="F8" t="str">
            <v>Caixa e equivalentes de caixa</v>
          </cell>
          <cell r="L8">
            <v>321967.84999999998</v>
          </cell>
        </row>
        <row r="9">
          <cell r="F9" t="str">
            <v>Caixa e equivalentes de caixa</v>
          </cell>
          <cell r="L9">
            <v>0</v>
          </cell>
        </row>
        <row r="10">
          <cell r="F10" t="str">
            <v>Caixa e equivalentes de caixa</v>
          </cell>
          <cell r="L10">
            <v>298308.37</v>
          </cell>
        </row>
        <row r="11">
          <cell r="F11" t="str">
            <v>Caixa e equivalentes de caixa</v>
          </cell>
          <cell r="L11">
            <v>1068644.3900000001</v>
          </cell>
        </row>
        <row r="12">
          <cell r="F12" t="str">
            <v>Caixa e equivalentes de caixa</v>
          </cell>
          <cell r="L12">
            <v>0</v>
          </cell>
        </row>
        <row r="13">
          <cell r="F13" t="str">
            <v>Caixa e equivalentes de caixa</v>
          </cell>
          <cell r="L13">
            <v>0</v>
          </cell>
        </row>
        <row r="14">
          <cell r="F14" t="str">
            <v>Caixa e equivalentes de caixa</v>
          </cell>
          <cell r="L14">
            <v>70918.94</v>
          </cell>
        </row>
        <row r="15">
          <cell r="F15" t="str">
            <v>Caixa e equivalentes de caixa</v>
          </cell>
          <cell r="L15">
            <v>0</v>
          </cell>
        </row>
        <row r="16">
          <cell r="F16" t="str">
            <v>Caixa e equivalentes de caixa</v>
          </cell>
          <cell r="L16">
            <v>0</v>
          </cell>
        </row>
        <row r="17">
          <cell r="F17" t="str">
            <v>Caixa e equivalentes de caixa</v>
          </cell>
          <cell r="L17">
            <v>0</v>
          </cell>
        </row>
        <row r="18">
          <cell r="F18" t="str">
            <v>Caixa e equivalentes de caixa</v>
          </cell>
          <cell r="L18">
            <v>0</v>
          </cell>
        </row>
        <row r="19">
          <cell r="F19" t="str">
            <v>Caixa e equivalentes de caixa</v>
          </cell>
          <cell r="L19">
            <v>0</v>
          </cell>
        </row>
        <row r="20">
          <cell r="F20" t="str">
            <v>Caixa e equivalentes de caixa</v>
          </cell>
          <cell r="L20">
            <v>0</v>
          </cell>
        </row>
        <row r="21">
          <cell r="F21" t="str">
            <v>Caixa e equivalentes de caixa</v>
          </cell>
          <cell r="L21">
            <v>0</v>
          </cell>
        </row>
        <row r="22">
          <cell r="F22" t="str">
            <v>Caixa e equivalentes de caixa</v>
          </cell>
          <cell r="L22">
            <v>0</v>
          </cell>
        </row>
        <row r="23">
          <cell r="F23" t="str">
            <v>Caixa e equivalentes de caixa</v>
          </cell>
          <cell r="L23">
            <v>27328775.110001061</v>
          </cell>
        </row>
        <row r="24">
          <cell r="F24" t="str">
            <v>Caixa e equivalentes de caixa</v>
          </cell>
          <cell r="L24">
            <v>0</v>
          </cell>
        </row>
        <row r="25">
          <cell r="F25" t="str">
            <v>Caixa e equivalentes de caixa</v>
          </cell>
          <cell r="L25">
            <v>0</v>
          </cell>
        </row>
        <row r="26">
          <cell r="F26" t="str">
            <v>Caixa e equivalentes de caixa</v>
          </cell>
          <cell r="L26">
            <v>0</v>
          </cell>
        </row>
        <row r="27">
          <cell r="F27" t="str">
            <v>Caixa e equivalentes de caixa</v>
          </cell>
          <cell r="L27">
            <v>0</v>
          </cell>
        </row>
        <row r="28">
          <cell r="F28" t="str">
            <v>Caixa e equivalentes de caixa</v>
          </cell>
          <cell r="L28">
            <v>0</v>
          </cell>
        </row>
        <row r="29">
          <cell r="F29" t="str">
            <v>Caixa e equivalentes de caixa</v>
          </cell>
          <cell r="L29">
            <v>0</v>
          </cell>
        </row>
        <row r="30">
          <cell r="F30" t="str">
            <v>Caixa e equivalentes de caixa</v>
          </cell>
          <cell r="L30">
            <v>0</v>
          </cell>
        </row>
        <row r="31">
          <cell r="F31" t="str">
            <v>Caixa e equivalentes de caixa</v>
          </cell>
          <cell r="L31">
            <v>0</v>
          </cell>
        </row>
        <row r="32">
          <cell r="F32" t="str">
            <v>Caixa e equivalentes de caixa</v>
          </cell>
          <cell r="L32">
            <v>0</v>
          </cell>
        </row>
        <row r="33">
          <cell r="F33" t="str">
            <v>Caixa e equivalentes de caixa</v>
          </cell>
          <cell r="L33">
            <v>0</v>
          </cell>
        </row>
        <row r="34">
          <cell r="F34" t="str">
            <v>Caixa e equivalentes de caixa</v>
          </cell>
          <cell r="L34">
            <v>0</v>
          </cell>
        </row>
        <row r="35">
          <cell r="F35" t="str">
            <v>Caixa e equivalentes de caixa</v>
          </cell>
          <cell r="L35">
            <v>0</v>
          </cell>
        </row>
        <row r="36">
          <cell r="F36" t="str">
            <v>Caixa e equivalentes de caixa</v>
          </cell>
          <cell r="L36">
            <v>0</v>
          </cell>
        </row>
        <row r="37">
          <cell r="F37" t="str">
            <v>Caixa e equivalentes de caixa</v>
          </cell>
          <cell r="L37">
            <v>0</v>
          </cell>
        </row>
        <row r="38">
          <cell r="F38" t="str">
            <v>Caixa e equivalentes de caixa</v>
          </cell>
          <cell r="L38">
            <v>0</v>
          </cell>
        </row>
        <row r="39">
          <cell r="F39" t="str">
            <v>Caixa e equivalentes de caixa</v>
          </cell>
          <cell r="L39">
            <v>0</v>
          </cell>
        </row>
        <row r="40">
          <cell r="F40" t="str">
            <v>Caixa e equivalentes de caixa</v>
          </cell>
          <cell r="L40">
            <v>0</v>
          </cell>
        </row>
        <row r="41">
          <cell r="F41" t="str">
            <v>Caixa e equivalentes de caixa</v>
          </cell>
          <cell r="L41">
            <v>0</v>
          </cell>
        </row>
        <row r="42">
          <cell r="F42" t="str">
            <v>Caixa e equivalentes de caixa</v>
          </cell>
          <cell r="L42">
            <v>0</v>
          </cell>
        </row>
        <row r="43">
          <cell r="F43" t="str">
            <v>Caixa e equivalentes de caixa</v>
          </cell>
          <cell r="L43">
            <v>0</v>
          </cell>
        </row>
        <row r="44">
          <cell r="F44" t="str">
            <v>Caixa e equivalentes de caixa</v>
          </cell>
          <cell r="L44">
            <v>0</v>
          </cell>
        </row>
        <row r="45">
          <cell r="F45" t="str">
            <v>Caixa e equivalentes de caixa</v>
          </cell>
          <cell r="L45">
            <v>143596.6</v>
          </cell>
        </row>
        <row r="46">
          <cell r="F46" t="str">
            <v>Caixa e equivalentes de caixa</v>
          </cell>
          <cell r="L46">
            <v>861388.93</v>
          </cell>
        </row>
        <row r="47">
          <cell r="F47" t="str">
            <v>Caixa e equivalentes de caixa</v>
          </cell>
          <cell r="L47">
            <v>0</v>
          </cell>
        </row>
        <row r="48">
          <cell r="F48" t="str">
            <v>Caixa e equivalentes de caixa</v>
          </cell>
          <cell r="L48">
            <v>0</v>
          </cell>
        </row>
        <row r="49">
          <cell r="F49" t="str">
            <v>Caixa e equivalentes de caixa</v>
          </cell>
          <cell r="L49">
            <v>0</v>
          </cell>
        </row>
        <row r="50">
          <cell r="F50" t="str">
            <v>Caixa e equivalentes de caixa</v>
          </cell>
          <cell r="L50">
            <v>0</v>
          </cell>
        </row>
        <row r="51">
          <cell r="F51" t="str">
            <v>Caixa e equivalentes de caixa</v>
          </cell>
          <cell r="L51">
            <v>51948.989999992576</v>
          </cell>
        </row>
        <row r="52">
          <cell r="F52" t="str">
            <v>Caixa e equivalentes de caixa</v>
          </cell>
          <cell r="L52">
            <v>0</v>
          </cell>
        </row>
        <row r="53">
          <cell r="F53" t="str">
            <v>Caixa e equivalentes de caixa</v>
          </cell>
          <cell r="L53">
            <v>0</v>
          </cell>
        </row>
        <row r="54">
          <cell r="F54" t="str">
            <v>Caixa e equivalentes de caixa</v>
          </cell>
          <cell r="L54">
            <v>0</v>
          </cell>
        </row>
        <row r="55">
          <cell r="F55" t="str">
            <v>Caixa e equivalentes de caixa</v>
          </cell>
          <cell r="L55">
            <v>0</v>
          </cell>
        </row>
        <row r="56">
          <cell r="F56" t="str">
            <v>Caixa e equivalentes de caixa</v>
          </cell>
          <cell r="L56">
            <v>0</v>
          </cell>
        </row>
        <row r="57">
          <cell r="F57" t="str">
            <v>Caixa e equivalentes de caixa</v>
          </cell>
          <cell r="L57">
            <v>0</v>
          </cell>
        </row>
        <row r="58">
          <cell r="F58" t="str">
            <v>Caixa e equivalentes de caixa</v>
          </cell>
          <cell r="L58">
            <v>0</v>
          </cell>
        </row>
        <row r="59">
          <cell r="F59" t="str">
            <v>Caixa e equivalentes de caixa</v>
          </cell>
          <cell r="L59">
            <v>0</v>
          </cell>
        </row>
        <row r="60">
          <cell r="F60" t="str">
            <v>Caixa e equivalentes de caixa</v>
          </cell>
          <cell r="L60">
            <v>0</v>
          </cell>
        </row>
        <row r="61">
          <cell r="F61" t="str">
            <v>Caixa e equivalentes de caixa</v>
          </cell>
          <cell r="L61">
            <v>0</v>
          </cell>
        </row>
        <row r="62">
          <cell r="F62" t="str">
            <v>Caixa e equivalentes de caixa</v>
          </cell>
          <cell r="L62">
            <v>0</v>
          </cell>
        </row>
        <row r="63">
          <cell r="F63" t="str">
            <v>Caixa e equivalentes de caixa</v>
          </cell>
          <cell r="L63">
            <v>0</v>
          </cell>
        </row>
        <row r="64">
          <cell r="F64" t="str">
            <v>Caixa e equivalentes de caixa</v>
          </cell>
          <cell r="L64">
            <v>0</v>
          </cell>
        </row>
        <row r="65">
          <cell r="F65" t="str">
            <v>Caixa e equivalentes de caixa</v>
          </cell>
          <cell r="L65">
            <v>0</v>
          </cell>
        </row>
        <row r="66">
          <cell r="F66" t="str">
            <v>Caixa e equivalentes de caixa</v>
          </cell>
          <cell r="L66">
            <v>2021435.11</v>
          </cell>
        </row>
        <row r="67">
          <cell r="F67" t="str">
            <v>Caixa e equivalentes de caixa</v>
          </cell>
          <cell r="L67">
            <v>0</v>
          </cell>
        </row>
        <row r="68">
          <cell r="F68" t="str">
            <v>Caixa e equivalentes de caixa</v>
          </cell>
          <cell r="L68">
            <v>0</v>
          </cell>
        </row>
        <row r="69">
          <cell r="F69" t="str">
            <v>Caixa e equivalentes de caixa</v>
          </cell>
          <cell r="L69">
            <v>0</v>
          </cell>
        </row>
        <row r="70">
          <cell r="F70" t="str">
            <v>Caixa e equivalentes de caixa</v>
          </cell>
          <cell r="L70">
            <v>0</v>
          </cell>
        </row>
        <row r="71">
          <cell r="F71" t="str">
            <v>Caixa e equivalentes de caixa</v>
          </cell>
          <cell r="L71">
            <v>0</v>
          </cell>
        </row>
        <row r="72">
          <cell r="F72" t="str">
            <v>Caixa e equivalentes de caixa</v>
          </cell>
          <cell r="L72">
            <v>0</v>
          </cell>
        </row>
        <row r="73">
          <cell r="F73" t="str">
            <v>Caixa e equivalentes de caixa</v>
          </cell>
          <cell r="L73">
            <v>0</v>
          </cell>
        </row>
        <row r="74">
          <cell r="F74" t="str">
            <v>Caixa e equivalentes de caixa</v>
          </cell>
          <cell r="L74">
            <v>0</v>
          </cell>
        </row>
        <row r="75">
          <cell r="F75" t="str">
            <v>Caixa e equivalentes de caixa</v>
          </cell>
          <cell r="L75">
            <v>0</v>
          </cell>
        </row>
        <row r="76">
          <cell r="F76" t="str">
            <v>Caixa e equivalentes de caixa</v>
          </cell>
          <cell r="L76">
            <v>0</v>
          </cell>
        </row>
        <row r="77">
          <cell r="F77" t="str">
            <v>Caixa e equivalentes de caixa</v>
          </cell>
          <cell r="L77">
            <v>0</v>
          </cell>
        </row>
        <row r="78">
          <cell r="F78" t="str">
            <v>Caixa e equivalentes de caixa</v>
          </cell>
          <cell r="L78">
            <v>3112.4</v>
          </cell>
        </row>
        <row r="79">
          <cell r="F79" t="str">
            <v>Caixa e equivalentes de caixa</v>
          </cell>
          <cell r="L79">
            <v>0</v>
          </cell>
        </row>
        <row r="80">
          <cell r="F80" t="str">
            <v>Caixa e equivalentes de caixa</v>
          </cell>
          <cell r="L80">
            <v>0</v>
          </cell>
        </row>
        <row r="81">
          <cell r="F81" t="str">
            <v>Caixa e equivalentes de caixa</v>
          </cell>
          <cell r="L81">
            <v>0</v>
          </cell>
        </row>
        <row r="82">
          <cell r="F82" t="str">
            <v>Caixa e equivalentes de caixa</v>
          </cell>
          <cell r="L82">
            <v>0</v>
          </cell>
        </row>
        <row r="83">
          <cell r="F83" t="str">
            <v>Caixa e equivalentes de caixa</v>
          </cell>
          <cell r="L83">
            <v>0</v>
          </cell>
        </row>
        <row r="84">
          <cell r="F84" t="str">
            <v>Caixa e equivalentes de caixa</v>
          </cell>
          <cell r="L84">
            <v>0</v>
          </cell>
        </row>
        <row r="85">
          <cell r="F85" t="str">
            <v>Caixa e equivalentes de caixa</v>
          </cell>
          <cell r="L85">
            <v>0</v>
          </cell>
        </row>
        <row r="86">
          <cell r="F86" t="str">
            <v>Caixa e equivalentes de caixa</v>
          </cell>
          <cell r="L86">
            <v>0</v>
          </cell>
        </row>
        <row r="87">
          <cell r="F87" t="str">
            <v>Caixa e equivalentes de caixa</v>
          </cell>
          <cell r="L87">
            <v>11117.94</v>
          </cell>
        </row>
        <row r="88">
          <cell r="F88" t="str">
            <v>Caixa e equivalentes de caixa</v>
          </cell>
          <cell r="L88">
            <v>0</v>
          </cell>
        </row>
        <row r="89">
          <cell r="F89" t="str">
            <v>Caixa e equivalentes de caixa</v>
          </cell>
          <cell r="L89">
            <v>0</v>
          </cell>
        </row>
        <row r="90">
          <cell r="F90" t="str">
            <v>Caixa e equivalentes de caixa</v>
          </cell>
          <cell r="L90">
            <v>0</v>
          </cell>
        </row>
        <row r="91">
          <cell r="F91" t="str">
            <v>Caixa e equivalentes de caixa</v>
          </cell>
          <cell r="L91">
            <v>0</v>
          </cell>
        </row>
        <row r="92">
          <cell r="F92" t="str">
            <v>Caixa e equivalentes de caixa</v>
          </cell>
          <cell r="L92">
            <v>0</v>
          </cell>
        </row>
        <row r="93">
          <cell r="F93" t="str">
            <v>Caixa e equivalentes de caixa</v>
          </cell>
          <cell r="L93">
            <v>155299.43</v>
          </cell>
        </row>
        <row r="94">
          <cell r="F94" t="str">
            <v>Caixa e equivalentes de caixa</v>
          </cell>
          <cell r="L94">
            <v>0</v>
          </cell>
        </row>
        <row r="95">
          <cell r="F95" t="str">
            <v>Caixa e equivalentes de caixa</v>
          </cell>
          <cell r="L95">
            <v>0</v>
          </cell>
        </row>
        <row r="96">
          <cell r="F96" t="str">
            <v>Caixa e equivalentes de caixa</v>
          </cell>
          <cell r="L96">
            <v>0</v>
          </cell>
        </row>
        <row r="97">
          <cell r="F97" t="str">
            <v>Caixa e equivalentes de caixa</v>
          </cell>
          <cell r="L97">
            <v>8114.43</v>
          </cell>
        </row>
        <row r="98">
          <cell r="F98" t="str">
            <v>Caixa e equivalentes de caixa</v>
          </cell>
          <cell r="L98">
            <v>0</v>
          </cell>
        </row>
        <row r="99">
          <cell r="F99" t="str">
            <v>Caixa e equivalentes de caixa</v>
          </cell>
          <cell r="L99">
            <v>0</v>
          </cell>
        </row>
        <row r="100">
          <cell r="F100" t="str">
            <v>Caixa e equivalentes de caixa</v>
          </cell>
          <cell r="L100">
            <v>80855.14</v>
          </cell>
        </row>
        <row r="101">
          <cell r="F101" t="str">
            <v>Caixa e equivalentes de caixa</v>
          </cell>
          <cell r="L101">
            <v>0</v>
          </cell>
        </row>
        <row r="102">
          <cell r="F102" t="str">
            <v>Caixa e equivalentes de caixa</v>
          </cell>
          <cell r="L102">
            <v>2.4500000000000002</v>
          </cell>
        </row>
        <row r="103">
          <cell r="F103" t="str">
            <v>Caixa e equivalentes de caixa</v>
          </cell>
          <cell r="L103">
            <v>0</v>
          </cell>
        </row>
        <row r="104">
          <cell r="F104" t="str">
            <v>Caixa e equivalentes de caixa</v>
          </cell>
          <cell r="L104">
            <v>0</v>
          </cell>
        </row>
        <row r="105">
          <cell r="F105" t="str">
            <v>Caixa e equivalentes de caixa</v>
          </cell>
          <cell r="L105">
            <v>610.79999999999995</v>
          </cell>
        </row>
        <row r="106">
          <cell r="F106" t="str">
            <v>Caixa e equivalentes de caixa</v>
          </cell>
          <cell r="L106">
            <v>0</v>
          </cell>
        </row>
        <row r="107">
          <cell r="F107" t="str">
            <v>Caixa e equivalentes de caixa</v>
          </cell>
          <cell r="L107">
            <v>0</v>
          </cell>
        </row>
        <row r="108">
          <cell r="F108" t="str">
            <v>Caixa e equivalentes de caixa</v>
          </cell>
          <cell r="L108">
            <v>0</v>
          </cell>
        </row>
        <row r="109">
          <cell r="F109" t="str">
            <v>Caixa e equivalentes de caixa</v>
          </cell>
          <cell r="L109">
            <v>0</v>
          </cell>
        </row>
        <row r="110">
          <cell r="F110" t="str">
            <v>Caixa e equivalentes de caixa</v>
          </cell>
          <cell r="L110">
            <v>0</v>
          </cell>
        </row>
        <row r="111">
          <cell r="F111" t="str">
            <v>Caixa e equivalentes de caixa</v>
          </cell>
          <cell r="L111">
            <v>0</v>
          </cell>
        </row>
        <row r="112">
          <cell r="F112" t="str">
            <v>Caixa e equivalentes de caixa</v>
          </cell>
          <cell r="L112">
            <v>0</v>
          </cell>
        </row>
        <row r="113">
          <cell r="F113" t="str">
            <v>Caixa e equivalentes de caixa</v>
          </cell>
          <cell r="L113">
            <v>0</v>
          </cell>
        </row>
        <row r="114">
          <cell r="F114" t="str">
            <v>Caixa e equivalentes de caixa</v>
          </cell>
          <cell r="L114">
            <v>0</v>
          </cell>
        </row>
        <row r="115">
          <cell r="F115" t="str">
            <v>Caixa e equivalentes de caixa</v>
          </cell>
          <cell r="L115">
            <v>0</v>
          </cell>
        </row>
        <row r="116">
          <cell r="F116" t="str">
            <v>Caixa e equivalentes de caixa</v>
          </cell>
          <cell r="L116">
            <v>0</v>
          </cell>
        </row>
        <row r="117">
          <cell r="F117" t="str">
            <v>Caixa e equivalentes de caixa</v>
          </cell>
          <cell r="L117">
            <v>0</v>
          </cell>
        </row>
        <row r="118">
          <cell r="F118" t="str">
            <v>Caixa e equivalentes de caixa</v>
          </cell>
          <cell r="L118">
            <v>0</v>
          </cell>
        </row>
        <row r="119">
          <cell r="F119" t="str">
            <v>Caixa e equivalentes de caixa</v>
          </cell>
          <cell r="L119">
            <v>0</v>
          </cell>
        </row>
        <row r="120">
          <cell r="F120" t="str">
            <v>Caixa e equivalentes de caixa</v>
          </cell>
          <cell r="L120">
            <v>0</v>
          </cell>
        </row>
        <row r="121">
          <cell r="F121" t="str">
            <v>Caixa e equivalentes de caixa</v>
          </cell>
          <cell r="L121">
            <v>0</v>
          </cell>
        </row>
        <row r="122">
          <cell r="F122" t="str">
            <v>Caixa e equivalentes de caixa</v>
          </cell>
          <cell r="L122">
            <v>0</v>
          </cell>
        </row>
        <row r="123">
          <cell r="F123" t="str">
            <v>Caixa e equivalentes de caixa</v>
          </cell>
          <cell r="L123">
            <v>0</v>
          </cell>
        </row>
        <row r="124">
          <cell r="F124" t="str">
            <v>Caixa e equivalentes de caixa</v>
          </cell>
          <cell r="L124">
            <v>0</v>
          </cell>
        </row>
        <row r="125">
          <cell r="F125" t="str">
            <v>Caixa e equivalentes de caixa</v>
          </cell>
          <cell r="L125">
            <v>0</v>
          </cell>
        </row>
        <row r="126">
          <cell r="F126" t="str">
            <v>Caixa e equivalentes de caixa</v>
          </cell>
          <cell r="L126">
            <v>604.9</v>
          </cell>
        </row>
        <row r="127">
          <cell r="F127" t="str">
            <v>Caixa e equivalentes de caixa</v>
          </cell>
          <cell r="L127">
            <v>0</v>
          </cell>
        </row>
        <row r="128">
          <cell r="F128" t="str">
            <v>Caixa e equivalentes de caixa</v>
          </cell>
          <cell r="L128">
            <v>0</v>
          </cell>
        </row>
        <row r="129">
          <cell r="F129" t="str">
            <v>Caixa e equivalentes de caixa</v>
          </cell>
          <cell r="L129">
            <v>0</v>
          </cell>
        </row>
        <row r="130">
          <cell r="F130" t="str">
            <v>Caixa e equivalentes de caixa</v>
          </cell>
          <cell r="L130">
            <v>0</v>
          </cell>
        </row>
        <row r="131">
          <cell r="F131" t="str">
            <v>Caixa e equivalentes de caixa</v>
          </cell>
          <cell r="L131">
            <v>0</v>
          </cell>
        </row>
        <row r="132">
          <cell r="F132" t="str">
            <v>Caixa e equivalentes de caixa</v>
          </cell>
          <cell r="L132">
            <v>0</v>
          </cell>
        </row>
        <row r="133">
          <cell r="F133" t="str">
            <v>Caixa e equivalentes de caixa</v>
          </cell>
          <cell r="L133">
            <v>0</v>
          </cell>
        </row>
        <row r="134">
          <cell r="F134" t="str">
            <v>Caixa e equivalentes de caixa</v>
          </cell>
          <cell r="L134">
            <v>0</v>
          </cell>
        </row>
        <row r="135">
          <cell r="F135" t="str">
            <v>Caixa e equivalentes de caixa</v>
          </cell>
          <cell r="L135">
            <v>26550.76</v>
          </cell>
        </row>
        <row r="136">
          <cell r="F136" t="str">
            <v>Caixa e equivalentes de caixa</v>
          </cell>
          <cell r="L136">
            <v>0</v>
          </cell>
        </row>
        <row r="137">
          <cell r="F137" t="str">
            <v>Caixa e equivalentes de caixa</v>
          </cell>
          <cell r="L137">
            <v>0</v>
          </cell>
        </row>
        <row r="138">
          <cell r="F138" t="str">
            <v>Caixa e equivalentes de caixa</v>
          </cell>
          <cell r="L138">
            <v>0</v>
          </cell>
        </row>
        <row r="139">
          <cell r="F139" t="str">
            <v>Caixa e equivalentes de caixa</v>
          </cell>
          <cell r="L139">
            <v>0</v>
          </cell>
        </row>
        <row r="140">
          <cell r="F140" t="str">
            <v>Caixa e equivalentes de caixa</v>
          </cell>
          <cell r="L140">
            <v>0</v>
          </cell>
        </row>
        <row r="141">
          <cell r="F141" t="str">
            <v>Caixa e equivalentes de caixa</v>
          </cell>
          <cell r="L141">
            <v>0</v>
          </cell>
        </row>
        <row r="142">
          <cell r="F142" t="str">
            <v>Caixa e equivalentes de caixa</v>
          </cell>
          <cell r="L142">
            <v>0</v>
          </cell>
        </row>
        <row r="143">
          <cell r="F143" t="str">
            <v>Caixa e equivalentes de caixa</v>
          </cell>
          <cell r="L143">
            <v>0</v>
          </cell>
        </row>
        <row r="144">
          <cell r="F144" t="str">
            <v>Caixa e equivalentes de caixa</v>
          </cell>
          <cell r="L144">
            <v>0</v>
          </cell>
        </row>
        <row r="145">
          <cell r="F145" t="str">
            <v>Caixa e equivalentes de caixa</v>
          </cell>
          <cell r="L145">
            <v>0</v>
          </cell>
        </row>
        <row r="146">
          <cell r="F146" t="str">
            <v>Caixa e equivalentes de caixa</v>
          </cell>
          <cell r="L146">
            <v>0</v>
          </cell>
        </row>
        <row r="147">
          <cell r="F147" t="str">
            <v>Caixa e equivalentes de caixa</v>
          </cell>
          <cell r="L147">
            <v>0</v>
          </cell>
        </row>
        <row r="148">
          <cell r="F148" t="str">
            <v>Caixa e equivalentes de caixa</v>
          </cell>
          <cell r="L148">
            <v>8632.56</v>
          </cell>
        </row>
        <row r="149">
          <cell r="F149" t="str">
            <v>Caixa e equivalentes de caixa</v>
          </cell>
          <cell r="L149">
            <v>0</v>
          </cell>
        </row>
        <row r="150">
          <cell r="F150" t="str">
            <v>Caixa e equivalentes de caixa</v>
          </cell>
          <cell r="L150">
            <v>0</v>
          </cell>
        </row>
        <row r="151">
          <cell r="F151" t="str">
            <v>Caixa e equivalentes de caixa</v>
          </cell>
          <cell r="L151">
            <v>0</v>
          </cell>
        </row>
        <row r="152">
          <cell r="F152" t="str">
            <v>Caixa e equivalentes de caixa</v>
          </cell>
          <cell r="L152">
            <v>0</v>
          </cell>
        </row>
        <row r="153">
          <cell r="F153" t="str">
            <v>Caixa e equivalentes de caixa</v>
          </cell>
          <cell r="L153">
            <v>0</v>
          </cell>
        </row>
        <row r="154">
          <cell r="F154" t="str">
            <v>Caixa e equivalentes de caixa</v>
          </cell>
          <cell r="L154">
            <v>0</v>
          </cell>
        </row>
        <row r="155">
          <cell r="F155" t="str">
            <v>Caixa e equivalentes de caixa</v>
          </cell>
          <cell r="L155">
            <v>0</v>
          </cell>
        </row>
        <row r="156">
          <cell r="F156" t="str">
            <v>Caixa e equivalentes de caixa</v>
          </cell>
          <cell r="L156">
            <v>0</v>
          </cell>
        </row>
        <row r="157">
          <cell r="F157" t="str">
            <v>Caixa e equivalentes de caixa</v>
          </cell>
          <cell r="L157">
            <v>37582.54</v>
          </cell>
        </row>
        <row r="158">
          <cell r="F158" t="str">
            <v>Caixa e equivalentes de caixa</v>
          </cell>
          <cell r="L158">
            <v>0</v>
          </cell>
        </row>
        <row r="159">
          <cell r="F159" t="str">
            <v>Caixa e equivalentes de caixa</v>
          </cell>
          <cell r="L159">
            <v>0</v>
          </cell>
        </row>
        <row r="160">
          <cell r="F160" t="str">
            <v>Caixa e equivalentes de caixa</v>
          </cell>
          <cell r="L160">
            <v>17116.670000000002</v>
          </cell>
        </row>
        <row r="161">
          <cell r="F161" t="str">
            <v>Caixa e equivalentes de caixa</v>
          </cell>
          <cell r="L161">
            <v>0</v>
          </cell>
        </row>
        <row r="162">
          <cell r="F162" t="str">
            <v>Caixa e equivalentes de caixa</v>
          </cell>
          <cell r="L162">
            <v>0</v>
          </cell>
        </row>
        <row r="163">
          <cell r="F163" t="str">
            <v>Caixa e equivalentes de caixa</v>
          </cell>
          <cell r="L163">
            <v>705.91</v>
          </cell>
        </row>
        <row r="164">
          <cell r="F164" t="str">
            <v>Caixa e equivalentes de caixa</v>
          </cell>
          <cell r="L164">
            <v>0</v>
          </cell>
        </row>
        <row r="165">
          <cell r="F165" t="str">
            <v>Caixa e equivalentes de caixa</v>
          </cell>
          <cell r="L165">
            <v>0</v>
          </cell>
        </row>
        <row r="166">
          <cell r="F166" t="str">
            <v>Caixa e equivalentes de caixa</v>
          </cell>
          <cell r="L166">
            <v>0</v>
          </cell>
        </row>
        <row r="167">
          <cell r="F167" t="str">
            <v>Caixa e equivalentes de caixa</v>
          </cell>
          <cell r="L167">
            <v>0</v>
          </cell>
        </row>
        <row r="168">
          <cell r="F168" t="str">
            <v>Caixa e equivalentes de caixa</v>
          </cell>
          <cell r="L168">
            <v>0</v>
          </cell>
        </row>
        <row r="169">
          <cell r="F169" t="str">
            <v>Caixa e equivalentes de caixa</v>
          </cell>
          <cell r="L169">
            <v>0</v>
          </cell>
        </row>
        <row r="170">
          <cell r="F170" t="str">
            <v>Caixa e equivalentes de caixa</v>
          </cell>
          <cell r="L170">
            <v>0</v>
          </cell>
        </row>
        <row r="171">
          <cell r="F171" t="str">
            <v>Caixa e equivalentes de caixa</v>
          </cell>
          <cell r="L171">
            <v>0</v>
          </cell>
        </row>
        <row r="172">
          <cell r="F172" t="str">
            <v>Caixa e equivalentes de caixa</v>
          </cell>
          <cell r="L172">
            <v>54642.87</v>
          </cell>
        </row>
        <row r="173">
          <cell r="F173" t="str">
            <v>Caixa e equivalentes de caixa</v>
          </cell>
          <cell r="L173">
            <v>0</v>
          </cell>
        </row>
        <row r="174">
          <cell r="F174" t="str">
            <v>Caixa e equivalentes de caixa</v>
          </cell>
          <cell r="L174">
            <v>0</v>
          </cell>
        </row>
        <row r="175">
          <cell r="F175" t="str">
            <v>Caixa e equivalentes de caixa</v>
          </cell>
          <cell r="L175">
            <v>0</v>
          </cell>
        </row>
        <row r="176">
          <cell r="F176" t="str">
            <v>Caixa e equivalentes de caixa</v>
          </cell>
          <cell r="L176">
            <v>0</v>
          </cell>
        </row>
        <row r="177">
          <cell r="F177" t="str">
            <v>Caixa e equivalentes de caixa</v>
          </cell>
          <cell r="L177">
            <v>0</v>
          </cell>
        </row>
        <row r="178">
          <cell r="F178" t="str">
            <v>Caixa e equivalentes de caixa</v>
          </cell>
          <cell r="L178">
            <v>7122497.0700000012</v>
          </cell>
        </row>
        <row r="179">
          <cell r="F179" t="str">
            <v>Caixa e equivalentes de caixa</v>
          </cell>
          <cell r="L179">
            <v>0</v>
          </cell>
        </row>
        <row r="180">
          <cell r="F180" t="str">
            <v>Caixa e equivalentes de caixa</v>
          </cell>
          <cell r="L180">
            <v>0</v>
          </cell>
        </row>
        <row r="181">
          <cell r="F181" t="str">
            <v>Caixa e equivalentes de caixa</v>
          </cell>
          <cell r="L181">
            <v>23758.51</v>
          </cell>
        </row>
        <row r="182">
          <cell r="F182" t="str">
            <v>Caixa e equivalentes de caixa</v>
          </cell>
          <cell r="L182">
            <v>0</v>
          </cell>
        </row>
        <row r="183">
          <cell r="F183" t="str">
            <v>Caixa e equivalentes de caixa</v>
          </cell>
          <cell r="L183">
            <v>0</v>
          </cell>
        </row>
        <row r="184">
          <cell r="F184" t="str">
            <v>Caixa e equivalentes de caixa</v>
          </cell>
          <cell r="L184">
            <v>0</v>
          </cell>
        </row>
        <row r="185">
          <cell r="F185" t="str">
            <v>Caixa e equivalentes de caixa</v>
          </cell>
          <cell r="L185">
            <v>0</v>
          </cell>
        </row>
        <row r="186">
          <cell r="F186" t="str">
            <v>Caixa e equivalentes de caixa</v>
          </cell>
          <cell r="L186">
            <v>0</v>
          </cell>
        </row>
        <row r="187">
          <cell r="F187" t="str">
            <v>Caixa e equivalentes de caixa</v>
          </cell>
          <cell r="L187">
            <v>4079.01</v>
          </cell>
        </row>
        <row r="188">
          <cell r="F188" t="str">
            <v>Caixa e equivalentes de caixa</v>
          </cell>
          <cell r="L188">
            <v>4891.84</v>
          </cell>
        </row>
        <row r="189">
          <cell r="F189" t="str">
            <v>Caixa e equivalentes de caixa</v>
          </cell>
          <cell r="L189">
            <v>0</v>
          </cell>
        </row>
        <row r="190">
          <cell r="F190" t="str">
            <v>Caixa e equivalentes de caixa</v>
          </cell>
          <cell r="L190">
            <v>0</v>
          </cell>
        </row>
        <row r="191">
          <cell r="F191" t="str">
            <v>Caixa e equivalentes de caixa</v>
          </cell>
          <cell r="L191">
            <v>0</v>
          </cell>
        </row>
        <row r="192">
          <cell r="F192" t="str">
            <v>Caixa e equivalentes de caixa</v>
          </cell>
          <cell r="L192">
            <v>109207.66</v>
          </cell>
        </row>
        <row r="193">
          <cell r="F193" t="str">
            <v>Caixa e equivalentes de caixa</v>
          </cell>
          <cell r="L193">
            <v>0</v>
          </cell>
        </row>
        <row r="194">
          <cell r="F194" t="str">
            <v>Caixa e equivalentes de caixa</v>
          </cell>
          <cell r="L194">
            <v>0</v>
          </cell>
        </row>
        <row r="195">
          <cell r="F195" t="str">
            <v>Caixa e equivalentes de caixa</v>
          </cell>
          <cell r="L195">
            <v>3228.98</v>
          </cell>
        </row>
        <row r="196">
          <cell r="F196" t="str">
            <v>Caixa e equivalentes de caixa</v>
          </cell>
          <cell r="L196">
            <v>937.77</v>
          </cell>
        </row>
        <row r="197">
          <cell r="F197" t="str">
            <v>Caixa e equivalentes de caixa</v>
          </cell>
          <cell r="L197">
            <v>0</v>
          </cell>
        </row>
        <row r="198">
          <cell r="F198" t="str">
            <v>Caixa e equivalentes de caixa</v>
          </cell>
          <cell r="L198">
            <v>0</v>
          </cell>
        </row>
        <row r="199">
          <cell r="F199" t="str">
            <v>Caixa e equivalentes de caixa</v>
          </cell>
          <cell r="L199">
            <v>0</v>
          </cell>
        </row>
        <row r="200">
          <cell r="F200" t="str">
            <v>Caixa e equivalentes de caixa</v>
          </cell>
          <cell r="L200">
            <v>3074.45</v>
          </cell>
        </row>
        <row r="201">
          <cell r="F201" t="str">
            <v>Caixa e equivalentes de caixa</v>
          </cell>
          <cell r="L201">
            <v>0</v>
          </cell>
        </row>
        <row r="202">
          <cell r="F202" t="str">
            <v>Caixa e equivalentes de caixa</v>
          </cell>
          <cell r="L202">
            <v>0</v>
          </cell>
        </row>
        <row r="203">
          <cell r="F203" t="str">
            <v>Caixa e equivalentes de caixa</v>
          </cell>
          <cell r="L203">
            <v>47.98</v>
          </cell>
        </row>
        <row r="204">
          <cell r="F204" t="str">
            <v>Caixa e equivalentes de caixa</v>
          </cell>
          <cell r="L204">
            <v>0</v>
          </cell>
        </row>
        <row r="205">
          <cell r="F205" t="str">
            <v>Caixa e equivalentes de caixa</v>
          </cell>
          <cell r="L205">
            <v>0</v>
          </cell>
        </row>
        <row r="206">
          <cell r="F206" t="str">
            <v>Caixa e equivalentes de caixa</v>
          </cell>
          <cell r="L206">
            <v>0</v>
          </cell>
        </row>
        <row r="207">
          <cell r="F207" t="str">
            <v>Caixa e equivalentes de caixa</v>
          </cell>
          <cell r="L207">
            <v>0</v>
          </cell>
        </row>
        <row r="208">
          <cell r="F208" t="str">
            <v>Caixa e equivalentes de caixa</v>
          </cell>
          <cell r="L208">
            <v>0</v>
          </cell>
        </row>
        <row r="209">
          <cell r="F209" t="str">
            <v>Caixa e equivalentes de caixa</v>
          </cell>
          <cell r="L209">
            <v>-10</v>
          </cell>
        </row>
        <row r="210">
          <cell r="F210" t="str">
            <v>Caixa e equivalentes de caixa</v>
          </cell>
          <cell r="L210">
            <v>0</v>
          </cell>
        </row>
        <row r="211">
          <cell r="F211" t="str">
            <v>Caixa e equivalentes de caixa</v>
          </cell>
          <cell r="L211">
            <v>0</v>
          </cell>
        </row>
        <row r="212">
          <cell r="F212" t="str">
            <v>Caixa e equivalentes de caixa</v>
          </cell>
          <cell r="L212">
            <v>365767323.58000022</v>
          </cell>
        </row>
        <row r="213">
          <cell r="F213" t="str">
            <v>Caixa e equivalentes de caixa</v>
          </cell>
          <cell r="L213">
            <v>0</v>
          </cell>
        </row>
        <row r="214">
          <cell r="F214" t="str">
            <v>Contas a receber</v>
          </cell>
          <cell r="L214">
            <v>702085069.62</v>
          </cell>
        </row>
        <row r="215">
          <cell r="F215" t="str">
            <v>Contas a receber</v>
          </cell>
          <cell r="L215">
            <v>0</v>
          </cell>
        </row>
        <row r="216">
          <cell r="F216" t="str">
            <v>Contas a receber</v>
          </cell>
          <cell r="L216">
            <v>0</v>
          </cell>
        </row>
        <row r="217">
          <cell r="F217" t="str">
            <v>Contas a receber</v>
          </cell>
          <cell r="L217">
            <v>0</v>
          </cell>
        </row>
        <row r="218">
          <cell r="F218" t="str">
            <v>Contas a receber</v>
          </cell>
          <cell r="L218">
            <v>0</v>
          </cell>
        </row>
        <row r="219">
          <cell r="F219" t="str">
            <v>Contas a receber</v>
          </cell>
          <cell r="L219">
            <v>0</v>
          </cell>
        </row>
        <row r="220">
          <cell r="F220" t="str">
            <v>Contas a receber</v>
          </cell>
          <cell r="L220">
            <v>0</v>
          </cell>
        </row>
        <row r="221">
          <cell r="F221" t="str">
            <v>Contas a receber</v>
          </cell>
          <cell r="L221">
            <v>0</v>
          </cell>
        </row>
        <row r="222">
          <cell r="F222" t="str">
            <v>Contas a receber</v>
          </cell>
          <cell r="L222">
            <v>0</v>
          </cell>
        </row>
        <row r="223">
          <cell r="F223" t="str">
            <v>Contas a receber</v>
          </cell>
          <cell r="L223">
            <v>191837954.05999982</v>
          </cell>
        </row>
        <row r="224">
          <cell r="F224" t="str">
            <v>Contas a receber</v>
          </cell>
          <cell r="L224">
            <v>399475586.07999992</v>
          </cell>
        </row>
        <row r="225">
          <cell r="F225" t="str">
            <v>Contas a receber</v>
          </cell>
          <cell r="L225">
            <v>4582699.2200000007</v>
          </cell>
        </row>
        <row r="226">
          <cell r="F226" t="str">
            <v>Contas a receber</v>
          </cell>
          <cell r="L226">
            <v>-283125.40999999997</v>
          </cell>
        </row>
        <row r="227">
          <cell r="F227" t="str">
            <v>Contas a receber</v>
          </cell>
          <cell r="L227">
            <v>396056.19</v>
          </cell>
        </row>
        <row r="228">
          <cell r="F228" t="str">
            <v>Contas a receber</v>
          </cell>
          <cell r="L228">
            <v>50070.94</v>
          </cell>
        </row>
        <row r="229">
          <cell r="F229" t="str">
            <v>Contas a receber</v>
          </cell>
          <cell r="L229">
            <v>-1333440.6199999999</v>
          </cell>
        </row>
        <row r="230">
          <cell r="F230" t="str">
            <v>Contas a receber</v>
          </cell>
          <cell r="L230">
            <v>2013588.64</v>
          </cell>
        </row>
        <row r="231">
          <cell r="F231" t="str">
            <v>Contas a receber</v>
          </cell>
          <cell r="L231">
            <v>2866672.31</v>
          </cell>
        </row>
        <row r="232">
          <cell r="F232" t="str">
            <v>Contas a receber</v>
          </cell>
          <cell r="L232">
            <v>26372.6</v>
          </cell>
        </row>
        <row r="233">
          <cell r="F233" t="str">
            <v>Contas a receber</v>
          </cell>
          <cell r="L233">
            <v>-146060.04</v>
          </cell>
        </row>
        <row r="234">
          <cell r="F234" t="str">
            <v>Contas a receber</v>
          </cell>
          <cell r="L234">
            <v>-1367854.3999999985</v>
          </cell>
        </row>
        <row r="235">
          <cell r="F235" t="str">
            <v>Contas a receber</v>
          </cell>
          <cell r="L235">
            <v>56.98</v>
          </cell>
        </row>
        <row r="236">
          <cell r="F236" t="str">
            <v>Contas a receber</v>
          </cell>
          <cell r="L236">
            <v>4419.38</v>
          </cell>
        </row>
        <row r="237">
          <cell r="F237" t="str">
            <v>Contas a receber</v>
          </cell>
          <cell r="L237">
            <v>339.76</v>
          </cell>
        </row>
        <row r="238">
          <cell r="F238" t="str">
            <v>Contas a receber</v>
          </cell>
          <cell r="L238">
            <v>4172.43</v>
          </cell>
        </row>
        <row r="239">
          <cell r="F239" t="str">
            <v>Instrumentos financeiros derivativos</v>
          </cell>
          <cell r="L239">
            <v>0</v>
          </cell>
        </row>
        <row r="240">
          <cell r="F240" t="str">
            <v>Contas a receber</v>
          </cell>
          <cell r="L240">
            <v>-11404230.550000027</v>
          </cell>
        </row>
        <row r="241">
          <cell r="F241" t="str">
            <v>Contas a receber</v>
          </cell>
          <cell r="L241">
            <v>0</v>
          </cell>
        </row>
        <row r="242">
          <cell r="F242" t="str">
            <v>Outros ativos</v>
          </cell>
          <cell r="L242">
            <v>3588.6</v>
          </cell>
        </row>
        <row r="243">
          <cell r="F243" t="str">
            <v>Outros ativos</v>
          </cell>
          <cell r="L243">
            <v>0</v>
          </cell>
        </row>
        <row r="244">
          <cell r="F244" t="str">
            <v>Outros ativos</v>
          </cell>
          <cell r="L244">
            <v>7935182.4499999844</v>
          </cell>
        </row>
        <row r="245">
          <cell r="F245" t="str">
            <v>Outros ativos</v>
          </cell>
          <cell r="L245">
            <v>353121.13</v>
          </cell>
        </row>
        <row r="246">
          <cell r="F246" t="str">
            <v>Outros ativos</v>
          </cell>
          <cell r="L246">
            <v>-41376.699999999997</v>
          </cell>
        </row>
        <row r="247">
          <cell r="F247" t="str">
            <v>Outros ativos</v>
          </cell>
          <cell r="L247">
            <v>0</v>
          </cell>
        </row>
        <row r="248">
          <cell r="F248" t="str">
            <v>Outros ativos</v>
          </cell>
          <cell r="L248">
            <v>0</v>
          </cell>
        </row>
        <row r="249">
          <cell r="F249" t="str">
            <v>Outros ativos</v>
          </cell>
          <cell r="L249">
            <v>2794549.1799999992</v>
          </cell>
        </row>
        <row r="250">
          <cell r="F250" t="str">
            <v>Outros ativos</v>
          </cell>
          <cell r="L250">
            <v>0</v>
          </cell>
        </row>
        <row r="251">
          <cell r="F251" t="str">
            <v>Outros ativos</v>
          </cell>
          <cell r="L251">
            <v>2694846.9</v>
          </cell>
        </row>
        <row r="252">
          <cell r="F252" t="str">
            <v>Outros ativos</v>
          </cell>
          <cell r="L252">
            <v>0</v>
          </cell>
        </row>
        <row r="253">
          <cell r="F253" t="str">
            <v>Outros ativos</v>
          </cell>
          <cell r="L253">
            <v>295768.61999999906</v>
          </cell>
        </row>
        <row r="254">
          <cell r="F254" t="str">
            <v>Outros ativos</v>
          </cell>
          <cell r="L254">
            <v>763315.99</v>
          </cell>
        </row>
        <row r="255">
          <cell r="F255" t="str">
            <v>Outros ativos</v>
          </cell>
          <cell r="L255">
            <v>30015.43</v>
          </cell>
        </row>
        <row r="256">
          <cell r="F256" t="str">
            <v>Outros ativos</v>
          </cell>
          <cell r="L256">
            <v>0</v>
          </cell>
        </row>
        <row r="257">
          <cell r="F257" t="str">
            <v>Outros ativos</v>
          </cell>
          <cell r="L257">
            <v>0</v>
          </cell>
        </row>
        <row r="258">
          <cell r="F258" t="str">
            <v>Outros ativos</v>
          </cell>
          <cell r="L258">
            <v>34347519.770000003</v>
          </cell>
        </row>
        <row r="259">
          <cell r="F259" t="str">
            <v>Outros ativos</v>
          </cell>
          <cell r="L259">
            <v>604739.07999999996</v>
          </cell>
        </row>
        <row r="260">
          <cell r="F260" t="str">
            <v>Outros ativos</v>
          </cell>
          <cell r="L260">
            <v>0</v>
          </cell>
        </row>
        <row r="261">
          <cell r="F261" t="str">
            <v>Outros ativos</v>
          </cell>
          <cell r="L261">
            <v>0</v>
          </cell>
        </row>
        <row r="262">
          <cell r="F262" t="str">
            <v>Outros ativos</v>
          </cell>
          <cell r="L262">
            <v>138456.64000000001</v>
          </cell>
        </row>
        <row r="263">
          <cell r="F263" t="str">
            <v>Outros ativos</v>
          </cell>
          <cell r="L263">
            <v>0</v>
          </cell>
        </row>
        <row r="264">
          <cell r="F264" t="str">
            <v>Tributos a compensar</v>
          </cell>
          <cell r="L264">
            <v>187242649.12673718</v>
          </cell>
        </row>
        <row r="265">
          <cell r="F265" t="str">
            <v>Imposto de renda e contribuição social a compensar</v>
          </cell>
          <cell r="L265">
            <v>2690769.85</v>
          </cell>
        </row>
        <row r="266">
          <cell r="F266" t="str">
            <v>Tributos a compensar</v>
          </cell>
          <cell r="L266">
            <v>61767241.040086418</v>
          </cell>
        </row>
        <row r="267">
          <cell r="F267" t="str">
            <v>Imposto de renda e contribuição social a compensar</v>
          </cell>
          <cell r="L267">
            <v>7570817.379999998</v>
          </cell>
        </row>
        <row r="268">
          <cell r="F268" t="str">
            <v>Tributos a compensar</v>
          </cell>
          <cell r="L268">
            <v>7286707.8899999987</v>
          </cell>
        </row>
        <row r="269">
          <cell r="F269" t="str">
            <v>Tributos a compensar</v>
          </cell>
          <cell r="L269">
            <v>9998.73</v>
          </cell>
        </row>
        <row r="270">
          <cell r="F270" t="str">
            <v>Tributos a compensar</v>
          </cell>
          <cell r="L270">
            <v>41782402.719554767</v>
          </cell>
        </row>
        <row r="271">
          <cell r="F271" t="str">
            <v>Tributos a compensar</v>
          </cell>
          <cell r="L271">
            <v>0</v>
          </cell>
        </row>
        <row r="272">
          <cell r="F272" t="str">
            <v>Tributos a compensar</v>
          </cell>
          <cell r="L272">
            <v>12753510.210000001</v>
          </cell>
        </row>
        <row r="273">
          <cell r="F273" t="str">
            <v>Tributos a compensar</v>
          </cell>
          <cell r="L273">
            <v>313.89999999999998</v>
          </cell>
        </row>
        <row r="274">
          <cell r="F274" t="str">
            <v>Tributos a compensar</v>
          </cell>
          <cell r="L274">
            <v>0</v>
          </cell>
        </row>
        <row r="275">
          <cell r="F275" t="str">
            <v>Tributos a compensar</v>
          </cell>
          <cell r="L275">
            <v>0</v>
          </cell>
        </row>
        <row r="276">
          <cell r="F276" t="str">
            <v>Tributos a compensar</v>
          </cell>
          <cell r="L276">
            <v>0</v>
          </cell>
        </row>
        <row r="277">
          <cell r="F277" t="str">
            <v>Tributos a compensar</v>
          </cell>
          <cell r="L277">
            <v>0.54</v>
          </cell>
        </row>
        <row r="278">
          <cell r="F278" t="str">
            <v>Tributos a compensar</v>
          </cell>
          <cell r="L278">
            <v>0</v>
          </cell>
        </row>
        <row r="279">
          <cell r="F279" t="str">
            <v>Tributos a compensar</v>
          </cell>
          <cell r="L279">
            <v>0</v>
          </cell>
        </row>
        <row r="280">
          <cell r="F280" t="str">
            <v>Tributos a compensar</v>
          </cell>
          <cell r="L280">
            <v>6402.72</v>
          </cell>
        </row>
        <row r="281">
          <cell r="F281" t="str">
            <v>Tributos a compensar</v>
          </cell>
          <cell r="L281">
            <v>1464519.8299999745</v>
          </cell>
        </row>
        <row r="282">
          <cell r="F282" t="str">
            <v>Tributos a compensar</v>
          </cell>
          <cell r="L282">
            <v>0</v>
          </cell>
        </row>
        <row r="283">
          <cell r="F283" t="str">
            <v>Tributos a compensar</v>
          </cell>
          <cell r="L283">
            <v>0</v>
          </cell>
        </row>
        <row r="284">
          <cell r="F284" t="str">
            <v>Tributos a compensar</v>
          </cell>
          <cell r="L284">
            <v>0</v>
          </cell>
        </row>
        <row r="285">
          <cell r="F285" t="str">
            <v>Tributos a compensar</v>
          </cell>
          <cell r="L285">
            <v>0</v>
          </cell>
        </row>
        <row r="286">
          <cell r="F286" t="str">
            <v>Tributos a compensar</v>
          </cell>
          <cell r="L286">
            <v>5594564.9399999995</v>
          </cell>
        </row>
        <row r="287">
          <cell r="F287" t="str">
            <v>Tributos a compensar</v>
          </cell>
          <cell r="L287">
            <v>38838167.020000003</v>
          </cell>
        </row>
        <row r="288">
          <cell r="F288" t="str">
            <v>Tributos a compensar</v>
          </cell>
          <cell r="L288">
            <v>0</v>
          </cell>
        </row>
        <row r="289">
          <cell r="F289" t="str">
            <v>Tributos a compensar</v>
          </cell>
          <cell r="L289">
            <v>0</v>
          </cell>
        </row>
        <row r="290">
          <cell r="F290" t="str">
            <v>Tributos a compensar</v>
          </cell>
          <cell r="L290">
            <v>0</v>
          </cell>
        </row>
        <row r="291">
          <cell r="F291" t="str">
            <v>Tributos a compensar</v>
          </cell>
          <cell r="L291">
            <v>0</v>
          </cell>
        </row>
        <row r="292">
          <cell r="F292" t="str">
            <v>Tributos a compensar</v>
          </cell>
          <cell r="L292">
            <v>0</v>
          </cell>
        </row>
        <row r="293">
          <cell r="F293" t="str">
            <v>Tributos a compensar</v>
          </cell>
          <cell r="L293">
            <v>0</v>
          </cell>
        </row>
        <row r="294">
          <cell r="F294" t="str">
            <v>Tributos a compensar</v>
          </cell>
          <cell r="L294">
            <v>0</v>
          </cell>
        </row>
        <row r="295">
          <cell r="F295" t="str">
            <v>Tributos a compensar</v>
          </cell>
          <cell r="L295">
            <v>0</v>
          </cell>
        </row>
        <row r="296">
          <cell r="F296" t="str">
            <v>Tributos a compensar</v>
          </cell>
          <cell r="L296">
            <v>0</v>
          </cell>
        </row>
        <row r="297">
          <cell r="F297" t="str">
            <v>Tributos a compensar</v>
          </cell>
          <cell r="L297">
            <v>0</v>
          </cell>
        </row>
        <row r="298">
          <cell r="F298" t="str">
            <v>Tributos a compensar</v>
          </cell>
          <cell r="L298">
            <v>0</v>
          </cell>
        </row>
        <row r="299">
          <cell r="F299" t="str">
            <v>Tributos a compensar</v>
          </cell>
          <cell r="L299">
            <v>0</v>
          </cell>
        </row>
        <row r="300">
          <cell r="F300" t="str">
            <v>Tributos a compensar</v>
          </cell>
          <cell r="L300">
            <v>294175.64</v>
          </cell>
        </row>
        <row r="301">
          <cell r="F301" t="str">
            <v>Tributos a compensar</v>
          </cell>
          <cell r="L301">
            <v>1354717.23</v>
          </cell>
        </row>
        <row r="302">
          <cell r="F302" t="str">
            <v>Tributos a compensar</v>
          </cell>
          <cell r="L302">
            <v>340733.74</v>
          </cell>
        </row>
        <row r="303">
          <cell r="F303" t="str">
            <v>Tributos a compensar</v>
          </cell>
          <cell r="L303">
            <v>-340733.74</v>
          </cell>
        </row>
        <row r="304">
          <cell r="F304" t="str">
            <v>Tributos a compensar</v>
          </cell>
          <cell r="L304">
            <v>109790941.27</v>
          </cell>
        </row>
        <row r="305">
          <cell r="F305" t="str">
            <v>Tributos a compensar</v>
          </cell>
          <cell r="L305">
            <v>0</v>
          </cell>
        </row>
        <row r="306">
          <cell r="F306" t="str">
            <v>Tributos a compensar</v>
          </cell>
          <cell r="L306">
            <v>0</v>
          </cell>
        </row>
        <row r="307">
          <cell r="F307" t="str">
            <v>Tributos a compensar</v>
          </cell>
          <cell r="L307">
            <v>0</v>
          </cell>
        </row>
        <row r="308">
          <cell r="F308" t="str">
            <v>Tributos a compensar</v>
          </cell>
          <cell r="L308">
            <v>2996119.38</v>
          </cell>
        </row>
        <row r="309">
          <cell r="F309" t="str">
            <v>Tributos a compensar</v>
          </cell>
          <cell r="L309">
            <v>4227916.66</v>
          </cell>
        </row>
        <row r="310">
          <cell r="F310" t="str">
            <v>Outros ativos</v>
          </cell>
          <cell r="L310">
            <v>0</v>
          </cell>
        </row>
        <row r="311">
          <cell r="F311" t="str">
            <v>Instrumentos financeiros derivativos</v>
          </cell>
          <cell r="L311">
            <v>-66577716.49000001</v>
          </cell>
        </row>
        <row r="312">
          <cell r="F312" t="str">
            <v>Estoques</v>
          </cell>
          <cell r="L312">
            <v>0</v>
          </cell>
        </row>
        <row r="313">
          <cell r="F313" t="str">
            <v>Estoques</v>
          </cell>
          <cell r="L313">
            <v>0</v>
          </cell>
        </row>
        <row r="314">
          <cell r="F314" t="str">
            <v>Estoques</v>
          </cell>
          <cell r="L314">
            <v>0</v>
          </cell>
        </row>
        <row r="315">
          <cell r="F315" t="str">
            <v>Estoques</v>
          </cell>
          <cell r="L315">
            <v>663762401.92999995</v>
          </cell>
        </row>
        <row r="316">
          <cell r="F316" t="str">
            <v>Estoques</v>
          </cell>
          <cell r="L316">
            <v>332652871.72882366</v>
          </cell>
        </row>
        <row r="317">
          <cell r="F317" t="str">
            <v>Estoques</v>
          </cell>
          <cell r="L317">
            <v>-23343467.829999998</v>
          </cell>
        </row>
        <row r="318">
          <cell r="F318" t="str">
            <v>Estoques</v>
          </cell>
          <cell r="L318">
            <v>-39849171.960000001</v>
          </cell>
        </row>
        <row r="319">
          <cell r="F319" t="str">
            <v>Estoques</v>
          </cell>
          <cell r="L319">
            <v>12727362.58</v>
          </cell>
        </row>
        <row r="320">
          <cell r="F320" t="str">
            <v>Estoques</v>
          </cell>
          <cell r="L320">
            <v>-1408306049.5172737</v>
          </cell>
        </row>
        <row r="321">
          <cell r="F321" t="str">
            <v>Estoques</v>
          </cell>
          <cell r="L321">
            <v>1683353761.9799991</v>
          </cell>
        </row>
        <row r="322">
          <cell r="F322" t="str">
            <v>Estoques</v>
          </cell>
          <cell r="L322">
            <v>8062276.8899999997</v>
          </cell>
        </row>
        <row r="323">
          <cell r="F323" t="str">
            <v>Estoques</v>
          </cell>
          <cell r="L323">
            <v>0</v>
          </cell>
        </row>
        <row r="324">
          <cell r="F324" t="str">
            <v>Estoques</v>
          </cell>
          <cell r="L324">
            <v>-4736.8600000000006</v>
          </cell>
        </row>
        <row r="325">
          <cell r="F325" t="str">
            <v>Estoques</v>
          </cell>
          <cell r="L325">
            <v>25107401.384797346</v>
          </cell>
        </row>
        <row r="326">
          <cell r="F326" t="str">
            <v>Estoques</v>
          </cell>
          <cell r="L326">
            <v>0</v>
          </cell>
        </row>
        <row r="327">
          <cell r="F327" t="str">
            <v>Estoques</v>
          </cell>
          <cell r="L327">
            <v>-15647059.149999997</v>
          </cell>
        </row>
        <row r="328">
          <cell r="F328" t="str">
            <v>Estoques</v>
          </cell>
          <cell r="L328">
            <v>0</v>
          </cell>
        </row>
        <row r="329">
          <cell r="F329" t="str">
            <v>Estoques</v>
          </cell>
          <cell r="L329">
            <v>0</v>
          </cell>
        </row>
        <row r="330">
          <cell r="F330" t="str">
            <v>Estoques</v>
          </cell>
          <cell r="L330">
            <v>0</v>
          </cell>
        </row>
        <row r="331">
          <cell r="F331" t="str">
            <v>Estoques</v>
          </cell>
          <cell r="L331">
            <v>0</v>
          </cell>
        </row>
        <row r="332">
          <cell r="F332" t="str">
            <v>Estoques</v>
          </cell>
          <cell r="L332">
            <v>1216986.42</v>
          </cell>
        </row>
        <row r="333">
          <cell r="F333" t="str">
            <v>Estoques</v>
          </cell>
          <cell r="L333">
            <v>225330.02</v>
          </cell>
        </row>
        <row r="334">
          <cell r="F334" t="str">
            <v>Estoques</v>
          </cell>
          <cell r="L334">
            <v>1172592.3199999966</v>
          </cell>
        </row>
        <row r="335">
          <cell r="F335" t="str">
            <v>Estoques</v>
          </cell>
          <cell r="L335">
            <v>0</v>
          </cell>
        </row>
        <row r="336">
          <cell r="F336" t="str">
            <v>Estoques</v>
          </cell>
          <cell r="L336">
            <v>0</v>
          </cell>
        </row>
        <row r="337">
          <cell r="F337" t="str">
            <v>Estoques</v>
          </cell>
          <cell r="L337">
            <v>9780215.3900000006</v>
          </cell>
        </row>
        <row r="338">
          <cell r="F338" t="str">
            <v>Estoques</v>
          </cell>
          <cell r="L338">
            <v>137708556.83999994</v>
          </cell>
        </row>
        <row r="339">
          <cell r="F339" t="str">
            <v>Estoques</v>
          </cell>
          <cell r="L339">
            <v>0</v>
          </cell>
        </row>
        <row r="340">
          <cell r="F340" t="str">
            <v>Estoques</v>
          </cell>
          <cell r="L340">
            <v>0</v>
          </cell>
        </row>
        <row r="341">
          <cell r="F341" t="str">
            <v>Estoques</v>
          </cell>
          <cell r="L341">
            <v>1085444501</v>
          </cell>
        </row>
        <row r="342">
          <cell r="F342" t="str">
            <v>Estoques</v>
          </cell>
          <cell r="L342">
            <v>-1085715288.8499999</v>
          </cell>
        </row>
        <row r="343">
          <cell r="F343" t="str">
            <v>Estoques</v>
          </cell>
          <cell r="L343">
            <v>270787.84999999998</v>
          </cell>
        </row>
        <row r="344">
          <cell r="F344" t="str">
            <v>Outros ativos</v>
          </cell>
          <cell r="L344">
            <v>10559194.370000001</v>
          </cell>
        </row>
        <row r="345">
          <cell r="F345" t="str">
            <v>Outros ativos</v>
          </cell>
          <cell r="L345">
            <v>0</v>
          </cell>
        </row>
        <row r="346">
          <cell r="F346" t="str">
            <v>Outros ativos</v>
          </cell>
          <cell r="L346">
            <v>-211860.39</v>
          </cell>
        </row>
        <row r="347">
          <cell r="F347" t="str">
            <v>Outros ativos</v>
          </cell>
          <cell r="L347">
            <v>2253599.7515991121</v>
          </cell>
        </row>
        <row r="348">
          <cell r="F348" t="str">
            <v>Outros ativos</v>
          </cell>
          <cell r="L348">
            <v>0</v>
          </cell>
        </row>
        <row r="349">
          <cell r="F349" t="str">
            <v>Outros ativos</v>
          </cell>
          <cell r="L349">
            <v>0</v>
          </cell>
        </row>
        <row r="350">
          <cell r="F350" t="str">
            <v>Outros ativos</v>
          </cell>
          <cell r="L350">
            <v>10096775.49</v>
          </cell>
        </row>
        <row r="351">
          <cell r="F351" t="str">
            <v>Empréstimos</v>
          </cell>
          <cell r="L351">
            <v>0</v>
          </cell>
        </row>
        <row r="352">
          <cell r="F352" t="str">
            <v>Mutuos a Receber</v>
          </cell>
          <cell r="L352">
            <v>15281319.309999999</v>
          </cell>
        </row>
        <row r="353">
          <cell r="F353" t="str">
            <v>Mutuos a Receber</v>
          </cell>
          <cell r="L353">
            <v>-5281319.3099999996</v>
          </cell>
        </row>
        <row r="354">
          <cell r="F354" t="str">
            <v>Partes Relacionadas - outras contas a pagar</v>
          </cell>
          <cell r="L354">
            <v>0</v>
          </cell>
        </row>
        <row r="355">
          <cell r="F355" t="str">
            <v>Outros ativos</v>
          </cell>
          <cell r="L355">
            <v>0</v>
          </cell>
        </row>
        <row r="356">
          <cell r="F356" t="str">
            <v>Contas a receber</v>
          </cell>
          <cell r="L356">
            <v>0</v>
          </cell>
        </row>
        <row r="357">
          <cell r="F357" t="str">
            <v>Outros ativos</v>
          </cell>
          <cell r="L357">
            <v>0</v>
          </cell>
        </row>
        <row r="358">
          <cell r="F358" t="str">
            <v>Aplicações financeiras</v>
          </cell>
          <cell r="L358">
            <v>0</v>
          </cell>
        </row>
        <row r="359">
          <cell r="F359" t="str">
            <v>Aplicações financeiras</v>
          </cell>
          <cell r="L359">
            <v>0</v>
          </cell>
        </row>
        <row r="360">
          <cell r="F360" t="str">
            <v>Aplicações financeiras</v>
          </cell>
          <cell r="L360">
            <v>0</v>
          </cell>
        </row>
        <row r="361">
          <cell r="F361" t="str">
            <v>Investimentos</v>
          </cell>
          <cell r="L361">
            <v>0</v>
          </cell>
        </row>
        <row r="362">
          <cell r="F362" t="str">
            <v>Dividendos a receber</v>
          </cell>
          <cell r="L362">
            <v>0</v>
          </cell>
        </row>
        <row r="363">
          <cell r="F363" t="str">
            <v>Depósitos judiciais</v>
          </cell>
          <cell r="L363">
            <v>4430174.5599999996</v>
          </cell>
        </row>
        <row r="364">
          <cell r="F364" t="str">
            <v>Depósitos judiciais</v>
          </cell>
          <cell r="L364">
            <v>117026694.31999999</v>
          </cell>
        </row>
        <row r="365">
          <cell r="F365" t="str">
            <v>Depósitos judiciais</v>
          </cell>
          <cell r="L365">
            <v>2538488.6800000006</v>
          </cell>
        </row>
        <row r="366">
          <cell r="F366" t="str">
            <v>Depósitos judiciais</v>
          </cell>
          <cell r="L366">
            <v>2126486.77</v>
          </cell>
        </row>
        <row r="367">
          <cell r="F367" t="str">
            <v>Depósitos judiciais</v>
          </cell>
          <cell r="L367">
            <v>732.04</v>
          </cell>
        </row>
        <row r="368">
          <cell r="F368" t="str">
            <v>Depósitos judiciais</v>
          </cell>
          <cell r="L368">
            <v>0</v>
          </cell>
        </row>
        <row r="369">
          <cell r="F369" t="str">
            <v>Depósitos judiciais</v>
          </cell>
          <cell r="L369">
            <v>-103654.93000000002</v>
          </cell>
        </row>
        <row r="370">
          <cell r="F370" t="str">
            <v>Outros ativos</v>
          </cell>
          <cell r="L370">
            <v>6794351.1900000004</v>
          </cell>
        </row>
        <row r="371">
          <cell r="F371" t="str">
            <v>Outros ativos</v>
          </cell>
          <cell r="L371">
            <v>27946138.709999986</v>
          </cell>
        </row>
        <row r="372">
          <cell r="F372" t="str">
            <v>Depósitos judiciais</v>
          </cell>
          <cell r="L372">
            <v>3711482.23</v>
          </cell>
        </row>
        <row r="373">
          <cell r="F373" t="str">
            <v>Depósitos judiciais</v>
          </cell>
          <cell r="L373">
            <v>38020892.119999997</v>
          </cell>
        </row>
        <row r="374">
          <cell r="F374" t="str">
            <v>Tributos a compensar</v>
          </cell>
          <cell r="L374">
            <v>0</v>
          </cell>
        </row>
        <row r="375">
          <cell r="F375" t="str">
            <v>Tributos a compensar</v>
          </cell>
          <cell r="L375">
            <v>338080063.4000001</v>
          </cell>
        </row>
        <row r="376">
          <cell r="F376" t="str">
            <v>Tributos a compensar</v>
          </cell>
          <cell r="L376">
            <v>78261042.450000018</v>
          </cell>
        </row>
        <row r="377">
          <cell r="F377" t="str">
            <v>Tributos a compensar</v>
          </cell>
          <cell r="L377">
            <v>12505309.619999999</v>
          </cell>
        </row>
        <row r="378">
          <cell r="F378" t="str">
            <v>Tributos a compensar</v>
          </cell>
          <cell r="L378">
            <v>0</v>
          </cell>
        </row>
        <row r="379">
          <cell r="F379" t="str">
            <v>Tributos a compensar</v>
          </cell>
          <cell r="L379">
            <v>0</v>
          </cell>
        </row>
        <row r="380">
          <cell r="F380" t="str">
            <v>Tributos a compensar</v>
          </cell>
          <cell r="L380">
            <v>-76140549.75</v>
          </cell>
        </row>
        <row r="381">
          <cell r="F381" t="str">
            <v>Imposto de renda e contribuição social a compensar</v>
          </cell>
          <cell r="L381">
            <v>119140457.02000001</v>
          </cell>
        </row>
        <row r="382">
          <cell r="F382" t="str">
            <v>Tributos a compensar</v>
          </cell>
          <cell r="L382">
            <v>0</v>
          </cell>
        </row>
        <row r="383">
          <cell r="F383" t="str">
            <v>Tributos a compensar</v>
          </cell>
          <cell r="L383">
            <v>0</v>
          </cell>
        </row>
        <row r="384">
          <cell r="F384" t="str">
            <v>Tributos a compensar</v>
          </cell>
          <cell r="L384">
            <v>0</v>
          </cell>
        </row>
        <row r="385">
          <cell r="F385" t="str">
            <v>Ativo fiscal diferido</v>
          </cell>
          <cell r="L385">
            <v>658933739.2997297</v>
          </cell>
        </row>
        <row r="386">
          <cell r="F386" t="str">
            <v>Ativo fiscal diferido</v>
          </cell>
          <cell r="L386">
            <v>148984884.71870273</v>
          </cell>
        </row>
        <row r="387">
          <cell r="F387" t="str">
            <v>Investimentos</v>
          </cell>
          <cell r="L387">
            <v>0</v>
          </cell>
        </row>
        <row r="388">
          <cell r="F388" t="str">
            <v>Investimentos</v>
          </cell>
          <cell r="L388">
            <v>0</v>
          </cell>
        </row>
        <row r="389">
          <cell r="F389" t="str">
            <v>Investimentos</v>
          </cell>
          <cell r="L389">
            <v>0</v>
          </cell>
        </row>
        <row r="390">
          <cell r="F390" t="str">
            <v>Investimentos</v>
          </cell>
          <cell r="L390">
            <v>0</v>
          </cell>
        </row>
        <row r="391">
          <cell r="F391" t="str">
            <v>Investimentos</v>
          </cell>
          <cell r="L391">
            <v>0</v>
          </cell>
        </row>
        <row r="392">
          <cell r="F392" t="str">
            <v>Investimentos</v>
          </cell>
          <cell r="L392">
            <v>0</v>
          </cell>
        </row>
        <row r="393">
          <cell r="F393" t="str">
            <v>Investimentos</v>
          </cell>
          <cell r="L393">
            <v>0</v>
          </cell>
        </row>
        <row r="394">
          <cell r="F394" t="str">
            <v>Investimentos</v>
          </cell>
          <cell r="L394">
            <v>0</v>
          </cell>
        </row>
        <row r="395">
          <cell r="F395" t="str">
            <v>Investimentos</v>
          </cell>
          <cell r="L395">
            <v>0</v>
          </cell>
        </row>
        <row r="396">
          <cell r="F396" t="str">
            <v>Investimentos</v>
          </cell>
          <cell r="L396">
            <v>0</v>
          </cell>
        </row>
        <row r="397">
          <cell r="F397" t="str">
            <v>Investimentos</v>
          </cell>
          <cell r="L397">
            <v>0</v>
          </cell>
        </row>
        <row r="398">
          <cell r="F398" t="str">
            <v>Investimentos</v>
          </cell>
          <cell r="L398">
            <v>0</v>
          </cell>
        </row>
        <row r="399">
          <cell r="F399" t="str">
            <v>Investimentos</v>
          </cell>
          <cell r="L399">
            <v>0</v>
          </cell>
        </row>
        <row r="400">
          <cell r="F400" t="str">
            <v>Investimentos</v>
          </cell>
          <cell r="L400">
            <v>0</v>
          </cell>
        </row>
        <row r="401">
          <cell r="F401" t="str">
            <v>Investimentos</v>
          </cell>
          <cell r="L401">
            <v>0</v>
          </cell>
        </row>
        <row r="402">
          <cell r="F402" t="str">
            <v>Investimentos</v>
          </cell>
          <cell r="L402">
            <v>0</v>
          </cell>
        </row>
        <row r="403">
          <cell r="F403" t="str">
            <v>Investimentos</v>
          </cell>
          <cell r="L403">
            <v>0</v>
          </cell>
        </row>
        <row r="404">
          <cell r="F404" t="str">
            <v>Investimentos</v>
          </cell>
          <cell r="L404">
            <v>0</v>
          </cell>
        </row>
        <row r="405">
          <cell r="F405" t="str">
            <v>Investimentos</v>
          </cell>
          <cell r="L405">
            <v>0</v>
          </cell>
        </row>
        <row r="406">
          <cell r="F406" t="str">
            <v>Investimentos</v>
          </cell>
          <cell r="L406">
            <v>0</v>
          </cell>
        </row>
        <row r="407">
          <cell r="F407" t="str">
            <v>Investimentos</v>
          </cell>
          <cell r="L407">
            <v>0</v>
          </cell>
        </row>
        <row r="408">
          <cell r="F408" t="str">
            <v>Investimentos</v>
          </cell>
          <cell r="L408">
            <v>0</v>
          </cell>
        </row>
        <row r="409">
          <cell r="F409" t="str">
            <v>Investimentos</v>
          </cell>
          <cell r="L409">
            <v>0</v>
          </cell>
        </row>
        <row r="410">
          <cell r="F410" t="str">
            <v>Investimentos</v>
          </cell>
          <cell r="L410">
            <v>0</v>
          </cell>
        </row>
        <row r="411">
          <cell r="F411" t="str">
            <v>Investimentos</v>
          </cell>
          <cell r="L411">
            <v>0</v>
          </cell>
        </row>
        <row r="412">
          <cell r="F412" t="str">
            <v>Investimentos</v>
          </cell>
          <cell r="L412">
            <v>0</v>
          </cell>
        </row>
        <row r="413">
          <cell r="F413" t="str">
            <v>Investimentos</v>
          </cell>
          <cell r="L413">
            <v>0</v>
          </cell>
        </row>
        <row r="414">
          <cell r="F414" t="str">
            <v>Investimentos</v>
          </cell>
          <cell r="L414">
            <v>1728274.22</v>
          </cell>
        </row>
        <row r="415">
          <cell r="F415" t="str">
            <v>Investimentos</v>
          </cell>
          <cell r="L415">
            <v>0</v>
          </cell>
        </row>
        <row r="416">
          <cell r="F416" t="str">
            <v>Investimentos</v>
          </cell>
          <cell r="L416">
            <v>0</v>
          </cell>
        </row>
        <row r="417">
          <cell r="F417" t="str">
            <v>Investimentos</v>
          </cell>
          <cell r="L417">
            <v>2813961.95</v>
          </cell>
        </row>
        <row r="418">
          <cell r="F418" t="str">
            <v>Intangível</v>
          </cell>
          <cell r="L418">
            <v>0</v>
          </cell>
        </row>
        <row r="419">
          <cell r="F419" t="str">
            <v>Outros ativos</v>
          </cell>
          <cell r="L419">
            <v>33823003.109999999</v>
          </cell>
        </row>
        <row r="420">
          <cell r="F420" t="str">
            <v>Investimentos</v>
          </cell>
          <cell r="L420">
            <v>0</v>
          </cell>
        </row>
        <row r="421">
          <cell r="F421" t="str">
            <v>Investimentos</v>
          </cell>
          <cell r="L421">
            <v>0</v>
          </cell>
        </row>
        <row r="422">
          <cell r="F422" t="str">
            <v>Outros ativos</v>
          </cell>
          <cell r="L422">
            <v>323523.13</v>
          </cell>
        </row>
        <row r="423">
          <cell r="F423" t="str">
            <v>Aplicações financeiras</v>
          </cell>
          <cell r="L423">
            <v>0</v>
          </cell>
        </row>
        <row r="424">
          <cell r="F424" t="str">
            <v>Outros ativos</v>
          </cell>
          <cell r="L424">
            <v>7249817.2800000003</v>
          </cell>
        </row>
        <row r="425">
          <cell r="F425" t="str">
            <v>Imobilizado</v>
          </cell>
          <cell r="L425">
            <v>0</v>
          </cell>
        </row>
        <row r="426">
          <cell r="F426" t="str">
            <v>Imobilizado</v>
          </cell>
          <cell r="L426">
            <v>416268.16000000003</v>
          </cell>
        </row>
        <row r="427">
          <cell r="F427" t="str">
            <v>Imobilizado</v>
          </cell>
          <cell r="L427">
            <v>179861878.59999999</v>
          </cell>
        </row>
        <row r="428">
          <cell r="F428" t="str">
            <v>Imobilizado</v>
          </cell>
          <cell r="L428">
            <v>66258344.430000007</v>
          </cell>
        </row>
        <row r="429">
          <cell r="F429" t="str">
            <v>Imobilizado</v>
          </cell>
          <cell r="L429">
            <v>238393305.85999998</v>
          </cell>
        </row>
        <row r="430">
          <cell r="F430" t="str">
            <v>Imobilizado</v>
          </cell>
          <cell r="L430">
            <v>2727390.14</v>
          </cell>
        </row>
        <row r="431">
          <cell r="F431" t="str">
            <v>Imobilizado</v>
          </cell>
          <cell r="L431">
            <v>4837669.8499999996</v>
          </cell>
        </row>
        <row r="432">
          <cell r="F432" t="str">
            <v>Imobilizado</v>
          </cell>
          <cell r="L432">
            <v>0</v>
          </cell>
        </row>
        <row r="433">
          <cell r="F433" t="str">
            <v>Imobilizado</v>
          </cell>
          <cell r="L433">
            <v>0</v>
          </cell>
        </row>
        <row r="434">
          <cell r="F434" t="str">
            <v>Imobilizado</v>
          </cell>
          <cell r="L434">
            <v>504976825.69000006</v>
          </cell>
        </row>
        <row r="435">
          <cell r="F435" t="str">
            <v>Imobilizado</v>
          </cell>
          <cell r="L435">
            <v>1994174.96</v>
          </cell>
        </row>
        <row r="436">
          <cell r="F436" t="str">
            <v>Imobilizado</v>
          </cell>
          <cell r="L436">
            <v>0</v>
          </cell>
        </row>
        <row r="437">
          <cell r="F437" t="str">
            <v>Imobilizado</v>
          </cell>
          <cell r="L437">
            <v>0</v>
          </cell>
        </row>
        <row r="438">
          <cell r="F438" t="str">
            <v>Imobilizado</v>
          </cell>
          <cell r="L438">
            <v>0</v>
          </cell>
        </row>
        <row r="439">
          <cell r="F439" t="str">
            <v>Imobilizado</v>
          </cell>
          <cell r="L439">
            <v>155889206.51000002</v>
          </cell>
        </row>
        <row r="440">
          <cell r="F440" t="str">
            <v>Imobilizado</v>
          </cell>
          <cell r="L440">
            <v>0</v>
          </cell>
        </row>
        <row r="441">
          <cell r="F441" t="str">
            <v>Imobilizado</v>
          </cell>
          <cell r="L441">
            <v>-40403.35</v>
          </cell>
        </row>
        <row r="442">
          <cell r="F442" t="str">
            <v>Imobilizado</v>
          </cell>
          <cell r="L442">
            <v>-125279425.11000001</v>
          </cell>
        </row>
        <row r="443">
          <cell r="F443" t="str">
            <v>Imobilizado</v>
          </cell>
          <cell r="L443">
            <v>-49718822.530000001</v>
          </cell>
        </row>
        <row r="444">
          <cell r="F444" t="str">
            <v>Imobilizado</v>
          </cell>
          <cell r="L444">
            <v>-122452135.53999999</v>
          </cell>
        </row>
        <row r="445">
          <cell r="F445" t="str">
            <v>Imobilizado</v>
          </cell>
          <cell r="L445">
            <v>-2716305.92</v>
          </cell>
        </row>
        <row r="446">
          <cell r="F446" t="str">
            <v>Imobilizado</v>
          </cell>
          <cell r="L446">
            <v>0</v>
          </cell>
        </row>
        <row r="447">
          <cell r="F447" t="str">
            <v>Imobilizado</v>
          </cell>
          <cell r="L447">
            <v>0</v>
          </cell>
        </row>
        <row r="448">
          <cell r="F448" t="str">
            <v>Imobilizado</v>
          </cell>
          <cell r="L448">
            <v>-434698354.94</v>
          </cell>
        </row>
        <row r="449">
          <cell r="F449" t="str">
            <v>Imobilizado</v>
          </cell>
          <cell r="L449">
            <v>0</v>
          </cell>
        </row>
        <row r="450">
          <cell r="F450" t="str">
            <v>Imobilizado</v>
          </cell>
          <cell r="L450">
            <v>0</v>
          </cell>
        </row>
        <row r="451">
          <cell r="F451" t="str">
            <v>Imobilizado</v>
          </cell>
          <cell r="L451">
            <v>-1994174.96</v>
          </cell>
        </row>
        <row r="452">
          <cell r="F452" t="str">
            <v>Imobilizado</v>
          </cell>
          <cell r="L452">
            <v>-74384736.199999988</v>
          </cell>
        </row>
        <row r="453">
          <cell r="F453" t="str">
            <v>Imobilizado</v>
          </cell>
          <cell r="L453">
            <v>34308081.130000003</v>
          </cell>
        </row>
        <row r="454">
          <cell r="F454" t="str">
            <v>Imobilizado</v>
          </cell>
          <cell r="L454">
            <v>0</v>
          </cell>
        </row>
        <row r="455">
          <cell r="F455" t="str">
            <v>Imobilizado</v>
          </cell>
          <cell r="L455">
            <v>0</v>
          </cell>
        </row>
        <row r="456">
          <cell r="F456" t="str">
            <v>Imobilizado</v>
          </cell>
          <cell r="L456">
            <v>0</v>
          </cell>
        </row>
        <row r="457">
          <cell r="F457" t="str">
            <v>Imobilizado</v>
          </cell>
          <cell r="L457">
            <v>56828.72</v>
          </cell>
        </row>
        <row r="458">
          <cell r="F458" t="str">
            <v>Imobilizado</v>
          </cell>
          <cell r="L458">
            <v>308596.88</v>
          </cell>
        </row>
        <row r="459">
          <cell r="F459" t="str">
            <v>Imobilizado</v>
          </cell>
          <cell r="L459">
            <v>643906</v>
          </cell>
        </row>
        <row r="460">
          <cell r="F460" t="str">
            <v>Imobilizado</v>
          </cell>
          <cell r="L460">
            <v>0</v>
          </cell>
        </row>
        <row r="461">
          <cell r="F461" t="str">
            <v>Imobilizado</v>
          </cell>
          <cell r="L461">
            <v>18767471.440000001</v>
          </cell>
        </row>
        <row r="462">
          <cell r="F462" t="str">
            <v>Imobilizado</v>
          </cell>
          <cell r="L462">
            <v>0</v>
          </cell>
        </row>
        <row r="463">
          <cell r="F463" t="str">
            <v>Imobilizado</v>
          </cell>
          <cell r="L463">
            <v>0</v>
          </cell>
        </row>
        <row r="464">
          <cell r="F464" t="str">
            <v>Imobilizado</v>
          </cell>
          <cell r="L464">
            <v>-56828.72</v>
          </cell>
        </row>
        <row r="465">
          <cell r="F465" t="str">
            <v>Imobilizado</v>
          </cell>
          <cell r="L465">
            <v>-312377.7</v>
          </cell>
        </row>
        <row r="466">
          <cell r="F466" t="str">
            <v>Imobilizado</v>
          </cell>
          <cell r="L466">
            <v>-648734.76</v>
          </cell>
        </row>
        <row r="467">
          <cell r="F467" t="str">
            <v>Imobilizado</v>
          </cell>
          <cell r="L467">
            <v>0</v>
          </cell>
        </row>
        <row r="468">
          <cell r="F468" t="str">
            <v>Imobilizado</v>
          </cell>
          <cell r="L468">
            <v>-9396319.0299999993</v>
          </cell>
        </row>
        <row r="469">
          <cell r="F469" t="str">
            <v>Imobilizado</v>
          </cell>
          <cell r="L469">
            <v>0</v>
          </cell>
        </row>
        <row r="470">
          <cell r="F470" t="str">
            <v>Imobilizado</v>
          </cell>
          <cell r="L470">
            <v>0</v>
          </cell>
        </row>
        <row r="471">
          <cell r="F471" t="str">
            <v>Intangível</v>
          </cell>
          <cell r="L471">
            <v>14106444</v>
          </cell>
        </row>
        <row r="472">
          <cell r="F472" t="str">
            <v>Intangível</v>
          </cell>
          <cell r="L472">
            <v>0</v>
          </cell>
        </row>
        <row r="473">
          <cell r="F473" t="str">
            <v>Intangível</v>
          </cell>
          <cell r="L473">
            <v>367987393.12000006</v>
          </cell>
        </row>
        <row r="474">
          <cell r="F474" t="str">
            <v>Intangível</v>
          </cell>
          <cell r="L474">
            <v>5577488.7200000007</v>
          </cell>
        </row>
        <row r="475">
          <cell r="F475" t="str">
            <v>Intangível</v>
          </cell>
          <cell r="L475">
            <v>57430020.460000001</v>
          </cell>
        </row>
        <row r="476">
          <cell r="F476" t="str">
            <v>Intangível</v>
          </cell>
          <cell r="L476">
            <v>0</v>
          </cell>
        </row>
        <row r="477">
          <cell r="F477" t="str">
            <v>Intangível</v>
          </cell>
          <cell r="L477">
            <v>138723988.80000001</v>
          </cell>
        </row>
        <row r="478">
          <cell r="F478" t="str">
            <v>Intangível</v>
          </cell>
          <cell r="L478">
            <v>39181981.609793253</v>
          </cell>
        </row>
        <row r="479">
          <cell r="F479" t="str">
            <v>Intangível</v>
          </cell>
          <cell r="L479">
            <v>1673562.12</v>
          </cell>
        </row>
        <row r="480">
          <cell r="F480" t="str">
            <v>Intangível</v>
          </cell>
          <cell r="L480">
            <v>10068772.09</v>
          </cell>
        </row>
        <row r="481">
          <cell r="F481" t="str">
            <v>Intangível</v>
          </cell>
          <cell r="L481">
            <v>997300.13</v>
          </cell>
        </row>
        <row r="482">
          <cell r="F482" t="str">
            <v>Intangível</v>
          </cell>
          <cell r="L482">
            <v>10097969.359999999</v>
          </cell>
        </row>
        <row r="483">
          <cell r="F483" t="str">
            <v>Intangível</v>
          </cell>
          <cell r="L483">
            <v>-10606668.890000001</v>
          </cell>
        </row>
        <row r="484">
          <cell r="F484" t="str">
            <v>Intangível</v>
          </cell>
          <cell r="L484">
            <v>0</v>
          </cell>
        </row>
        <row r="485">
          <cell r="F485" t="str">
            <v>Intangível</v>
          </cell>
          <cell r="L485">
            <v>-200121256.90000001</v>
          </cell>
        </row>
        <row r="486">
          <cell r="F486" t="str">
            <v>Intangível</v>
          </cell>
          <cell r="L486">
            <v>-42557.32</v>
          </cell>
        </row>
        <row r="487">
          <cell r="F487" t="str">
            <v>Intangível</v>
          </cell>
          <cell r="L487">
            <v>0</v>
          </cell>
        </row>
        <row r="488">
          <cell r="F488" t="str">
            <v>Intangível</v>
          </cell>
          <cell r="L488">
            <v>0</v>
          </cell>
        </row>
        <row r="489">
          <cell r="F489" t="str">
            <v>Intangível</v>
          </cell>
          <cell r="L489">
            <v>0</v>
          </cell>
        </row>
        <row r="490">
          <cell r="F490" t="str">
            <v>Intangível</v>
          </cell>
          <cell r="L490">
            <v>0</v>
          </cell>
        </row>
        <row r="491">
          <cell r="F491" t="str">
            <v>Intangível</v>
          </cell>
          <cell r="L491">
            <v>0</v>
          </cell>
        </row>
        <row r="492">
          <cell r="F492" t="str">
            <v>Intangível</v>
          </cell>
          <cell r="L492">
            <v>0</v>
          </cell>
        </row>
        <row r="493">
          <cell r="F493" t="str">
            <v>Intangível</v>
          </cell>
          <cell r="L493">
            <v>0</v>
          </cell>
        </row>
        <row r="494">
          <cell r="F494" t="str">
            <v>Intangível</v>
          </cell>
          <cell r="L494">
            <v>0</v>
          </cell>
        </row>
        <row r="495">
          <cell r="F495" t="str">
            <v>Intangível</v>
          </cell>
          <cell r="L495">
            <v>0</v>
          </cell>
        </row>
        <row r="496">
          <cell r="F496" t="str">
            <v>Intangível</v>
          </cell>
          <cell r="L496">
            <v>0</v>
          </cell>
        </row>
        <row r="497">
          <cell r="F497" t="str">
            <v>Direito de uso</v>
          </cell>
          <cell r="L497">
            <v>1905636570.3399999</v>
          </cell>
        </row>
        <row r="498">
          <cell r="F498" t="str">
            <v>Direito de uso</v>
          </cell>
          <cell r="L498">
            <v>-1.2399999999999998</v>
          </cell>
        </row>
        <row r="499">
          <cell r="F499" t="str">
            <v>Imobilizado</v>
          </cell>
          <cell r="L499">
            <v>86417071.930000007</v>
          </cell>
        </row>
        <row r="500">
          <cell r="F500" t="str">
            <v>Direito de uso</v>
          </cell>
          <cell r="L500">
            <v>13292092.810000001</v>
          </cell>
        </row>
        <row r="501">
          <cell r="F501" t="str">
            <v>Direito de uso</v>
          </cell>
          <cell r="L501">
            <v>14585436.59</v>
          </cell>
        </row>
        <row r="502">
          <cell r="F502" t="str">
            <v>Direito de uso</v>
          </cell>
          <cell r="L502">
            <v>0</v>
          </cell>
        </row>
        <row r="503">
          <cell r="F503" t="str">
            <v>Direito de uso</v>
          </cell>
          <cell r="L503">
            <v>-539151884.83000004</v>
          </cell>
        </row>
        <row r="504">
          <cell r="F504" t="str">
            <v>Imobilizado</v>
          </cell>
          <cell r="L504">
            <v>-7189141.9199999999</v>
          </cell>
        </row>
        <row r="505">
          <cell r="F505" t="str">
            <v>Direito de uso</v>
          </cell>
          <cell r="L505">
            <v>-4002677.63</v>
          </cell>
        </row>
        <row r="506">
          <cell r="F506" t="str">
            <v>Direito de uso</v>
          </cell>
          <cell r="L506">
            <v>-410851.74</v>
          </cell>
        </row>
        <row r="507">
          <cell r="F507" t="str">
            <v>Imobilizado</v>
          </cell>
          <cell r="L507">
            <v>-7034826.9500000002</v>
          </cell>
        </row>
        <row r="508">
          <cell r="F508" t="str">
            <v>Empréstimos e financiamentos</v>
          </cell>
          <cell r="L508">
            <v>-78575696.739999995</v>
          </cell>
        </row>
        <row r="509">
          <cell r="F509" t="str">
            <v>Empréstimos e financiamentos</v>
          </cell>
          <cell r="L509">
            <v>0</v>
          </cell>
        </row>
        <row r="510">
          <cell r="F510" t="str">
            <v>Empréstimos e financiamentos</v>
          </cell>
          <cell r="L510">
            <v>0</v>
          </cell>
        </row>
        <row r="511">
          <cell r="F511" t="str">
            <v>Empréstimos e financiamentos</v>
          </cell>
          <cell r="L511">
            <v>0</v>
          </cell>
        </row>
        <row r="512">
          <cell r="F512" t="str">
            <v>Empréstimos e financiamentos</v>
          </cell>
          <cell r="L512">
            <v>0</v>
          </cell>
        </row>
        <row r="513">
          <cell r="F513" t="str">
            <v>Empréstimos e financiamentos</v>
          </cell>
          <cell r="L513">
            <v>0</v>
          </cell>
        </row>
        <row r="514">
          <cell r="F514" t="str">
            <v>Empréstimos e financiamentos</v>
          </cell>
          <cell r="L514">
            <v>0</v>
          </cell>
        </row>
        <row r="515">
          <cell r="F515" t="str">
            <v>Empréstimos e financiamentos</v>
          </cell>
          <cell r="L515">
            <v>-8992112.9100000001</v>
          </cell>
        </row>
        <row r="516">
          <cell r="F516" t="str">
            <v>Empréstimos e financiamentos</v>
          </cell>
          <cell r="L516">
            <v>0</v>
          </cell>
        </row>
        <row r="517">
          <cell r="F517" t="str">
            <v>Empréstimos e financiamentos</v>
          </cell>
          <cell r="L517">
            <v>1176646.97</v>
          </cell>
        </row>
        <row r="518">
          <cell r="F518" t="str">
            <v>Empréstimos e financiamentos</v>
          </cell>
          <cell r="L518">
            <v>0</v>
          </cell>
        </row>
        <row r="519">
          <cell r="F519" t="str">
            <v>Debêntures</v>
          </cell>
          <cell r="L519">
            <v>-192287286.43000001</v>
          </cell>
        </row>
        <row r="520">
          <cell r="F520" t="str">
            <v>Debêntures</v>
          </cell>
          <cell r="L520">
            <v>2813664.76</v>
          </cell>
        </row>
        <row r="521">
          <cell r="F521" t="str">
            <v>Partes Relacionadas - outras contas a pagar</v>
          </cell>
          <cell r="L521">
            <v>0</v>
          </cell>
        </row>
        <row r="522">
          <cell r="F522" t="str">
            <v>Fornecedores</v>
          </cell>
          <cell r="L522">
            <v>-890316095.6400001</v>
          </cell>
        </row>
        <row r="523">
          <cell r="F523" t="str">
            <v>Fornecedores</v>
          </cell>
          <cell r="L523">
            <v>-54301914.51000011</v>
          </cell>
        </row>
        <row r="524">
          <cell r="F524" t="str">
            <v>Fornecedores</v>
          </cell>
          <cell r="L524">
            <v>0</v>
          </cell>
        </row>
        <row r="525">
          <cell r="F525" t="str">
            <v>Fornecedores</v>
          </cell>
          <cell r="L525">
            <v>0</v>
          </cell>
        </row>
        <row r="526">
          <cell r="F526" t="str">
            <v>Fornecedores</v>
          </cell>
          <cell r="L526">
            <v>1519862.01</v>
          </cell>
        </row>
        <row r="527">
          <cell r="F527" t="str">
            <v>Fornecedores</v>
          </cell>
          <cell r="L527">
            <v>0</v>
          </cell>
        </row>
        <row r="528">
          <cell r="F528" t="str">
            <v>Fornecedores</v>
          </cell>
          <cell r="L528">
            <v>0</v>
          </cell>
        </row>
        <row r="529">
          <cell r="F529" t="str">
            <v>Fornecedores</v>
          </cell>
          <cell r="L529">
            <v>-1067858.97</v>
          </cell>
        </row>
        <row r="530">
          <cell r="F530" t="str">
            <v>Fornecedores</v>
          </cell>
          <cell r="L530">
            <v>-2382729.79</v>
          </cell>
        </row>
        <row r="531">
          <cell r="F531" t="str">
            <v>Fornecedores</v>
          </cell>
          <cell r="L531">
            <v>-2562450.15</v>
          </cell>
        </row>
        <row r="532">
          <cell r="F532" t="str">
            <v>Fornecedores</v>
          </cell>
          <cell r="L532">
            <v>-42337854.329999998</v>
          </cell>
        </row>
        <row r="533">
          <cell r="F533" t="str">
            <v>Fornecedores</v>
          </cell>
          <cell r="L533">
            <v>-75.28</v>
          </cell>
        </row>
        <row r="534">
          <cell r="F534" t="str">
            <v>Fornecedores</v>
          </cell>
          <cell r="L534">
            <v>-4938134.13</v>
          </cell>
        </row>
        <row r="535">
          <cell r="F535" t="str">
            <v>Fornecedores</v>
          </cell>
          <cell r="L535">
            <v>-7684787.8100000005</v>
          </cell>
        </row>
        <row r="536">
          <cell r="F536" t="str">
            <v>Fornecedores</v>
          </cell>
          <cell r="L536">
            <v>-4274764.0599999996</v>
          </cell>
        </row>
        <row r="537">
          <cell r="F537" t="str">
            <v>Fornecedores</v>
          </cell>
          <cell r="L537">
            <v>2036089.3</v>
          </cell>
        </row>
        <row r="538">
          <cell r="F538" t="str">
            <v>Arrendamentos a pagar</v>
          </cell>
          <cell r="L538">
            <v>-24933994.379999995</v>
          </cell>
        </row>
        <row r="539">
          <cell r="F539" t="str">
            <v>Fornecedores</v>
          </cell>
          <cell r="L539">
            <v>-5669980.4899999984</v>
          </cell>
        </row>
        <row r="540">
          <cell r="F540" t="str">
            <v>Arrendamentos a pagar</v>
          </cell>
          <cell r="L540">
            <v>-770497099.53999996</v>
          </cell>
        </row>
        <row r="541">
          <cell r="F541" t="str">
            <v>Arrendamentos a pagar</v>
          </cell>
          <cell r="L541">
            <v>1082444.5499999961</v>
          </cell>
        </row>
        <row r="542">
          <cell r="F542" t="str">
            <v>Arrendamentos a pagar</v>
          </cell>
          <cell r="L542">
            <v>14527245.509999998</v>
          </cell>
        </row>
        <row r="543">
          <cell r="F543" t="str">
            <v>Arrendamentos a pagar</v>
          </cell>
          <cell r="L543">
            <v>725523086.08000004</v>
          </cell>
        </row>
        <row r="544">
          <cell r="F544" t="str">
            <v>Arrendamentos a pagar</v>
          </cell>
          <cell r="L544">
            <v>12410760.73</v>
          </cell>
        </row>
        <row r="545">
          <cell r="F545" t="str">
            <v>Outros passivos</v>
          </cell>
          <cell r="L545">
            <v>-2725646.3799999994</v>
          </cell>
        </row>
        <row r="546">
          <cell r="F546" t="str">
            <v>Outras contas a pagar</v>
          </cell>
          <cell r="L546">
            <v>0</v>
          </cell>
        </row>
        <row r="547">
          <cell r="F547" t="str">
            <v>Outras contas a pagar</v>
          </cell>
          <cell r="L547">
            <v>0</v>
          </cell>
        </row>
        <row r="548">
          <cell r="F548" t="str">
            <v>Outros passivos</v>
          </cell>
          <cell r="L548">
            <v>-4564818.1000000006</v>
          </cell>
        </row>
        <row r="549">
          <cell r="F549" t="str">
            <v>Partes Relacionadas - outras contas a pagar</v>
          </cell>
          <cell r="L549">
            <v>0</v>
          </cell>
        </row>
        <row r="550">
          <cell r="F550" t="str">
            <v>Outras contas a pagar</v>
          </cell>
          <cell r="L550">
            <v>0</v>
          </cell>
        </row>
        <row r="551">
          <cell r="F551" t="str">
            <v>Outras contas a pagar</v>
          </cell>
          <cell r="L551">
            <v>0</v>
          </cell>
        </row>
        <row r="552">
          <cell r="F552" t="str">
            <v>Outras contas a pagar</v>
          </cell>
          <cell r="L552">
            <v>0</v>
          </cell>
        </row>
        <row r="553">
          <cell r="F553" t="str">
            <v>Outros passivos</v>
          </cell>
          <cell r="L553">
            <v>0</v>
          </cell>
        </row>
        <row r="554">
          <cell r="F554" t="str">
            <v>Outras contas a pagar</v>
          </cell>
          <cell r="L554">
            <v>0</v>
          </cell>
        </row>
        <row r="555">
          <cell r="F555" t="str">
            <v>Outras contas a pagar</v>
          </cell>
          <cell r="L555">
            <v>0</v>
          </cell>
        </row>
        <row r="556">
          <cell r="F556" t="str">
            <v>Outros passivos</v>
          </cell>
          <cell r="L556">
            <v>830197.99</v>
          </cell>
        </row>
        <row r="557">
          <cell r="F557" t="str">
            <v>Outros passivos</v>
          </cell>
          <cell r="L557">
            <v>-3830100.55</v>
          </cell>
        </row>
        <row r="558">
          <cell r="F558" t="str">
            <v>Outras contas a pagar</v>
          </cell>
          <cell r="L558">
            <v>0</v>
          </cell>
        </row>
        <row r="559">
          <cell r="F559" t="str">
            <v>Outros passivos</v>
          </cell>
          <cell r="L559">
            <v>32115420.370000001</v>
          </cell>
        </row>
        <row r="560">
          <cell r="F560" t="str">
            <v>Outros passivos</v>
          </cell>
          <cell r="L560">
            <v>-11858981.75</v>
          </cell>
        </row>
        <row r="561">
          <cell r="F561" t="str">
            <v>Outras contas a pagar</v>
          </cell>
          <cell r="L561">
            <v>0</v>
          </cell>
        </row>
        <row r="562">
          <cell r="F562" t="str">
            <v>Outras contas a pagar</v>
          </cell>
          <cell r="L562">
            <v>0</v>
          </cell>
        </row>
        <row r="563">
          <cell r="F563" t="str">
            <v>Outros passivos</v>
          </cell>
          <cell r="L563">
            <v>-13878973.380000001</v>
          </cell>
        </row>
        <row r="564">
          <cell r="F564" t="str">
            <v>Outras contas a pagar</v>
          </cell>
          <cell r="L564">
            <v>0</v>
          </cell>
        </row>
        <row r="565">
          <cell r="F565" t="str">
            <v>Outras contas a pagar</v>
          </cell>
          <cell r="L565">
            <v>0</v>
          </cell>
        </row>
        <row r="566">
          <cell r="F566" t="str">
            <v>Outros passivos</v>
          </cell>
          <cell r="L566">
            <v>0</v>
          </cell>
        </row>
        <row r="567">
          <cell r="F567" t="str">
            <v>Outros passivos</v>
          </cell>
          <cell r="L567">
            <v>-3869343.16</v>
          </cell>
        </row>
        <row r="568">
          <cell r="F568" t="str">
            <v>Outras contas a pagar</v>
          </cell>
          <cell r="L568">
            <v>-2214999.98</v>
          </cell>
        </row>
        <row r="569">
          <cell r="F569" t="str">
            <v>Outras contas a pagar</v>
          </cell>
          <cell r="L569">
            <v>-21.44</v>
          </cell>
        </row>
        <row r="570">
          <cell r="F570" t="str">
            <v>Outras contas a pagar</v>
          </cell>
          <cell r="L570">
            <v>0</v>
          </cell>
        </row>
        <row r="571">
          <cell r="F571" t="str">
            <v>Outras contas a pagar</v>
          </cell>
          <cell r="L571">
            <v>0</v>
          </cell>
        </row>
        <row r="572">
          <cell r="F572" t="str">
            <v>Outras contas a pagar</v>
          </cell>
          <cell r="L572">
            <v>0</v>
          </cell>
        </row>
        <row r="573">
          <cell r="F573" t="str">
            <v>Partes Relacionadas - outras contas a pagar</v>
          </cell>
          <cell r="L573">
            <v>0</v>
          </cell>
        </row>
        <row r="574">
          <cell r="F574" t="str">
            <v>Outras contas a pagar</v>
          </cell>
          <cell r="L574">
            <v>-53718107.63000001</v>
          </cell>
        </row>
        <row r="575">
          <cell r="F575" t="str">
            <v>Outras contas a pagar</v>
          </cell>
          <cell r="L575">
            <v>-37544195.179999977</v>
          </cell>
        </row>
        <row r="576">
          <cell r="F576" t="str">
            <v>Outras contas a pagar</v>
          </cell>
          <cell r="L576">
            <v>-862249.12</v>
          </cell>
        </row>
        <row r="577">
          <cell r="F577" t="str">
            <v>Outras contas a pagar</v>
          </cell>
          <cell r="L577">
            <v>0</v>
          </cell>
        </row>
        <row r="578">
          <cell r="F578" t="str">
            <v>Outros passivos</v>
          </cell>
          <cell r="L578">
            <v>-17246311.120000001</v>
          </cell>
        </row>
        <row r="579">
          <cell r="F579" t="str">
            <v>Outros passivos</v>
          </cell>
          <cell r="L579">
            <v>0</v>
          </cell>
        </row>
        <row r="580">
          <cell r="F580" t="str">
            <v>Outros passivos</v>
          </cell>
          <cell r="L580">
            <v>0</v>
          </cell>
        </row>
        <row r="581">
          <cell r="F581" t="str">
            <v>Outros passivos</v>
          </cell>
          <cell r="L581">
            <v>0.02</v>
          </cell>
        </row>
        <row r="582">
          <cell r="F582" t="str">
            <v>Outros passivos</v>
          </cell>
          <cell r="L582">
            <v>-4824.51</v>
          </cell>
        </row>
        <row r="583">
          <cell r="F583" t="str">
            <v>Imposto de renda e contribuição social a recolher</v>
          </cell>
          <cell r="L583">
            <v>-18491892.499999993</v>
          </cell>
        </row>
        <row r="584">
          <cell r="F584" t="str">
            <v>Imposto de renda e contribuição social a recolher</v>
          </cell>
          <cell r="L584">
            <v>-71381.039999999994</v>
          </cell>
        </row>
        <row r="585">
          <cell r="F585" t="str">
            <v>Obrigações tributárias</v>
          </cell>
          <cell r="L585">
            <v>-90499.660000001793</v>
          </cell>
        </row>
        <row r="586">
          <cell r="F586" t="str">
            <v>Obrigações tributárias</v>
          </cell>
          <cell r="L586">
            <v>-414236.23</v>
          </cell>
        </row>
        <row r="587">
          <cell r="F587" t="str">
            <v>Obrigações tributárias</v>
          </cell>
          <cell r="L587">
            <v>-41664222.460000053</v>
          </cell>
        </row>
        <row r="588">
          <cell r="F588" t="str">
            <v>Obrigações tributárias</v>
          </cell>
          <cell r="L588">
            <v>-2319385.7299999995</v>
          </cell>
        </row>
        <row r="589">
          <cell r="F589" t="str">
            <v>Obrigações tributárias</v>
          </cell>
          <cell r="L589">
            <v>-1197642.9800000007</v>
          </cell>
        </row>
        <row r="590">
          <cell r="F590" t="str">
            <v>Obrigações tributárias</v>
          </cell>
          <cell r="L590">
            <v>-1060666.3100000008</v>
          </cell>
        </row>
        <row r="591">
          <cell r="F591" t="str">
            <v>Obrigações tributárias</v>
          </cell>
          <cell r="L591">
            <v>2605403.1600000025</v>
          </cell>
        </row>
        <row r="592">
          <cell r="F592" t="str">
            <v>Obrigações tributárias</v>
          </cell>
          <cell r="L592">
            <v>0</v>
          </cell>
        </row>
        <row r="593">
          <cell r="F593" t="str">
            <v>Obrigações tributárias</v>
          </cell>
          <cell r="L593">
            <v>-169069.25</v>
          </cell>
        </row>
        <row r="594">
          <cell r="F594" t="str">
            <v>Obrigações tributárias</v>
          </cell>
          <cell r="L594">
            <v>-4705195.7600000007</v>
          </cell>
        </row>
        <row r="595">
          <cell r="F595" t="str">
            <v>Obrigações tributárias</v>
          </cell>
          <cell r="L595">
            <v>0</v>
          </cell>
        </row>
        <row r="596">
          <cell r="F596" t="str">
            <v>Obrigações tributárias</v>
          </cell>
          <cell r="L596">
            <v>0</v>
          </cell>
        </row>
        <row r="597">
          <cell r="F597" t="str">
            <v>Obrigações tributárias</v>
          </cell>
          <cell r="L597">
            <v>-2040381.9700000002</v>
          </cell>
        </row>
        <row r="598">
          <cell r="F598" t="str">
            <v>Obrigações tributárias</v>
          </cell>
          <cell r="L598">
            <v>0</v>
          </cell>
        </row>
        <row r="599">
          <cell r="F599" t="str">
            <v>Obrigações tributárias</v>
          </cell>
          <cell r="L599">
            <v>0</v>
          </cell>
        </row>
        <row r="600">
          <cell r="F600" t="str">
            <v>Obrigações tributárias</v>
          </cell>
          <cell r="L600">
            <v>0</v>
          </cell>
        </row>
        <row r="601">
          <cell r="F601" t="str">
            <v>Obrigações tributárias</v>
          </cell>
          <cell r="L601">
            <v>0</v>
          </cell>
        </row>
        <row r="602">
          <cell r="F602" t="str">
            <v>Obrigações tributárias</v>
          </cell>
          <cell r="L602">
            <v>0</v>
          </cell>
        </row>
        <row r="603">
          <cell r="F603" t="str">
            <v>Obrigações tributárias</v>
          </cell>
          <cell r="L603">
            <v>0</v>
          </cell>
        </row>
        <row r="604">
          <cell r="F604" t="str">
            <v>Obrigações tributárias</v>
          </cell>
          <cell r="L604">
            <v>0</v>
          </cell>
        </row>
        <row r="605">
          <cell r="F605" t="str">
            <v>Obrigações tributárias</v>
          </cell>
          <cell r="L605">
            <v>-12943203.810000001</v>
          </cell>
        </row>
        <row r="606">
          <cell r="F606" t="str">
            <v>Obrigações tributárias</v>
          </cell>
          <cell r="L606">
            <v>-509284.85</v>
          </cell>
        </row>
        <row r="607">
          <cell r="F607" t="str">
            <v>Obrigações tributárias</v>
          </cell>
          <cell r="L607">
            <v>-288.33</v>
          </cell>
        </row>
        <row r="608">
          <cell r="F608" t="str">
            <v>Obrigações tributárias</v>
          </cell>
          <cell r="L608">
            <v>0</v>
          </cell>
        </row>
        <row r="609">
          <cell r="F609" t="str">
            <v>Obrigações tributárias</v>
          </cell>
          <cell r="L609">
            <v>-4601396.5299999993</v>
          </cell>
        </row>
        <row r="610">
          <cell r="F610" t="str">
            <v>Obrigações tributárias</v>
          </cell>
          <cell r="L610">
            <v>-19.2</v>
          </cell>
        </row>
        <row r="611">
          <cell r="F611" t="str">
            <v>Impostos parcelados</v>
          </cell>
          <cell r="L611">
            <v>-36097330.960000001</v>
          </cell>
        </row>
        <row r="612">
          <cell r="F612" t="str">
            <v>Impostos parcelados</v>
          </cell>
          <cell r="L612">
            <v>-3561487.37</v>
          </cell>
        </row>
        <row r="613">
          <cell r="F613" t="str">
            <v>Impostos parcelados</v>
          </cell>
          <cell r="L613">
            <v>-8897279.0899999999</v>
          </cell>
        </row>
        <row r="614">
          <cell r="F614" t="str">
            <v>Impostos parcelados</v>
          </cell>
          <cell r="L614">
            <v>0</v>
          </cell>
        </row>
        <row r="615">
          <cell r="F615" t="str">
            <v>Impostos parcelados</v>
          </cell>
          <cell r="L615">
            <v>-820732.19</v>
          </cell>
        </row>
        <row r="616">
          <cell r="F616" t="str">
            <v>Impostos parcelados</v>
          </cell>
          <cell r="L616">
            <v>0</v>
          </cell>
        </row>
        <row r="617">
          <cell r="F617" t="str">
            <v>Impostos parcelados</v>
          </cell>
          <cell r="L617">
            <v>-3053836.44</v>
          </cell>
        </row>
        <row r="618">
          <cell r="F618" t="str">
            <v>Impostos parcelados</v>
          </cell>
          <cell r="L618">
            <v>0</v>
          </cell>
        </row>
        <row r="619">
          <cell r="F619" t="str">
            <v>Impostos parcelados</v>
          </cell>
          <cell r="L619">
            <v>-1692907.1199999999</v>
          </cell>
        </row>
        <row r="620">
          <cell r="F620" t="str">
            <v>Impostos parcelados</v>
          </cell>
          <cell r="L620">
            <v>0</v>
          </cell>
        </row>
        <row r="621">
          <cell r="F621" t="str">
            <v>Impostos parcelados</v>
          </cell>
          <cell r="L621">
            <v>0</v>
          </cell>
        </row>
        <row r="622">
          <cell r="F622" t="str">
            <v>Impostos parcelados</v>
          </cell>
          <cell r="L622">
            <v>-503368.16</v>
          </cell>
        </row>
        <row r="623">
          <cell r="F623" t="str">
            <v>Impostos parcelados</v>
          </cell>
          <cell r="L623">
            <v>0</v>
          </cell>
        </row>
        <row r="624">
          <cell r="F624" t="str">
            <v>Impostos parcelados</v>
          </cell>
          <cell r="L624">
            <v>0</v>
          </cell>
        </row>
        <row r="625">
          <cell r="F625" t="str">
            <v>Impostos parcelados</v>
          </cell>
          <cell r="L625">
            <v>-0.01</v>
          </cell>
        </row>
        <row r="626">
          <cell r="F626" t="str">
            <v>Impostos parcelados</v>
          </cell>
          <cell r="L626">
            <v>0</v>
          </cell>
        </row>
        <row r="627">
          <cell r="F627" t="str">
            <v>Impostos parcelados</v>
          </cell>
          <cell r="L627">
            <v>0</v>
          </cell>
        </row>
        <row r="628">
          <cell r="F628" t="str">
            <v>Impostos parcelados</v>
          </cell>
          <cell r="L628">
            <v>0</v>
          </cell>
        </row>
        <row r="629">
          <cell r="F629" t="str">
            <v>Impostos parcelados</v>
          </cell>
          <cell r="L629">
            <v>0</v>
          </cell>
        </row>
        <row r="630">
          <cell r="F630" t="str">
            <v>Obrigações trabalhistas e previdenciárias</v>
          </cell>
          <cell r="L630">
            <v>-19281645.48</v>
          </cell>
        </row>
        <row r="631">
          <cell r="F631" t="str">
            <v>Obrigações trabalhistas e previdenciárias</v>
          </cell>
          <cell r="L631">
            <v>-37427039.210000001</v>
          </cell>
        </row>
        <row r="632">
          <cell r="F632" t="str">
            <v>Obrigações trabalhistas e previdenciárias</v>
          </cell>
          <cell r="L632">
            <v>-124279.05000000002</v>
          </cell>
        </row>
        <row r="633">
          <cell r="F633" t="str">
            <v>Obrigações trabalhistas e previdenciárias</v>
          </cell>
          <cell r="L633">
            <v>0</v>
          </cell>
        </row>
        <row r="634">
          <cell r="F634" t="str">
            <v>Obrigações trabalhistas e previdenciárias</v>
          </cell>
          <cell r="L634">
            <v>800675.37999999977</v>
          </cell>
        </row>
        <row r="635">
          <cell r="F635" t="str">
            <v>Obrigações trabalhistas e previdenciárias</v>
          </cell>
          <cell r="L635">
            <v>-1078.68</v>
          </cell>
        </row>
        <row r="636">
          <cell r="F636" t="str">
            <v>Obrigações trabalhistas e previdenciárias</v>
          </cell>
          <cell r="L636">
            <v>-1066158.1299999999</v>
          </cell>
        </row>
        <row r="637">
          <cell r="F637" t="str">
            <v>Obrigações trabalhistas e previdenciárias</v>
          </cell>
          <cell r="L637">
            <v>-769159.06000000029</v>
          </cell>
        </row>
        <row r="638">
          <cell r="F638" t="str">
            <v>Obrigações trabalhistas e previdenciárias</v>
          </cell>
          <cell r="L638">
            <v>-19466562.099999998</v>
          </cell>
        </row>
        <row r="639">
          <cell r="F639" t="str">
            <v>Obrigações trabalhistas e previdenciárias</v>
          </cell>
          <cell r="L639">
            <v>-2292432.7300000014</v>
          </cell>
        </row>
        <row r="640">
          <cell r="F640" t="str">
            <v>Obrigações trabalhistas e previdenciárias</v>
          </cell>
          <cell r="L640">
            <v>-3276473.2600000002</v>
          </cell>
        </row>
        <row r="641">
          <cell r="F641" t="str">
            <v>Obrigações trabalhistas e previdenciárias</v>
          </cell>
          <cell r="L641">
            <v>770801.73</v>
          </cell>
        </row>
        <row r="642">
          <cell r="F642" t="str">
            <v>Obrigações trabalhistas e previdenciárias</v>
          </cell>
          <cell r="L642">
            <v>-53628.900000000016</v>
          </cell>
        </row>
        <row r="643">
          <cell r="F643" t="str">
            <v>Obrigações trabalhistas e previdenciárias</v>
          </cell>
          <cell r="L643">
            <v>14177.25</v>
          </cell>
        </row>
        <row r="644">
          <cell r="F644" t="str">
            <v>Obrigações trabalhistas e previdenciárias</v>
          </cell>
          <cell r="L644">
            <v>-400135.01</v>
          </cell>
        </row>
        <row r="645">
          <cell r="F645" t="str">
            <v>Obrigações trabalhistas e previdenciárias</v>
          </cell>
          <cell r="L645">
            <v>-814425.84</v>
          </cell>
        </row>
        <row r="646">
          <cell r="F646" t="str">
            <v>Obrigações trabalhistas e previdenciárias</v>
          </cell>
          <cell r="L646">
            <v>-40512797.800000012</v>
          </cell>
        </row>
        <row r="647">
          <cell r="F647" t="str">
            <v>Obrigações trabalhistas e previdenciárias</v>
          </cell>
          <cell r="L647">
            <v>-8952449.2000000011</v>
          </cell>
        </row>
        <row r="648">
          <cell r="F648" t="str">
            <v>Obrigações trabalhistas e previdenciárias</v>
          </cell>
          <cell r="L648">
            <v>-3487617.16</v>
          </cell>
        </row>
        <row r="649">
          <cell r="F649" t="str">
            <v>Obrigações trabalhistas e previdenciárias</v>
          </cell>
          <cell r="L649">
            <v>-15152608.859999998</v>
          </cell>
        </row>
        <row r="650">
          <cell r="F650" t="str">
            <v>Obrigações trabalhistas e previdenciárias</v>
          </cell>
          <cell r="L650">
            <v>-3379531.0500000003</v>
          </cell>
        </row>
        <row r="651">
          <cell r="F651" t="str">
            <v>Obrigações trabalhistas e previdenciárias</v>
          </cell>
          <cell r="L651">
            <v>-1061858.79</v>
          </cell>
        </row>
        <row r="652">
          <cell r="F652" t="str">
            <v>Imposto de renda e contribuição social a recolher</v>
          </cell>
          <cell r="L652">
            <v>-8054941.9500000002</v>
          </cell>
        </row>
        <row r="653">
          <cell r="F653" t="str">
            <v>Imposto de renda e contribuição social a recolher</v>
          </cell>
          <cell r="L653">
            <v>-2908419.09</v>
          </cell>
        </row>
        <row r="654">
          <cell r="F654" t="str">
            <v>Dividendos a Pagar</v>
          </cell>
          <cell r="L654">
            <v>-203.42000000178814</v>
          </cell>
        </row>
        <row r="655">
          <cell r="F655" t="str">
            <v>Outras contas a pagar</v>
          </cell>
          <cell r="L655">
            <v>0</v>
          </cell>
        </row>
        <row r="656">
          <cell r="F656" t="str">
            <v>Outras contas a pagar</v>
          </cell>
          <cell r="L656">
            <v>0</v>
          </cell>
        </row>
        <row r="657">
          <cell r="F657" t="str">
            <v>Outras contas a pagar</v>
          </cell>
          <cell r="L657">
            <v>0</v>
          </cell>
        </row>
        <row r="658">
          <cell r="F658" t="str">
            <v>Outras contas a pagar</v>
          </cell>
          <cell r="L658">
            <v>0</v>
          </cell>
        </row>
        <row r="659">
          <cell r="F659" t="str">
            <v>Empréstimos e financiamentos</v>
          </cell>
          <cell r="L659">
            <v>-78774970.179999992</v>
          </cell>
        </row>
        <row r="660">
          <cell r="F660" t="str">
            <v>Empréstimos e financiamentos</v>
          </cell>
          <cell r="L660">
            <v>0</v>
          </cell>
        </row>
        <row r="661">
          <cell r="F661" t="str">
            <v>Empréstimos e financiamentos</v>
          </cell>
          <cell r="L661">
            <v>0</v>
          </cell>
        </row>
        <row r="662">
          <cell r="F662" t="str">
            <v>Empréstimos e financiamentos</v>
          </cell>
          <cell r="L662">
            <v>0</v>
          </cell>
        </row>
        <row r="663">
          <cell r="F663" t="str">
            <v>Debêntures</v>
          </cell>
          <cell r="L663">
            <v>-776666666.65999997</v>
          </cell>
        </row>
        <row r="664">
          <cell r="F664" t="str">
            <v>Empréstimos e financiamentos</v>
          </cell>
          <cell r="L664">
            <v>0</v>
          </cell>
        </row>
        <row r="665">
          <cell r="F665" t="str">
            <v>Empréstimos e financiamentos</v>
          </cell>
          <cell r="L665">
            <v>-8372698.8099999996</v>
          </cell>
        </row>
        <row r="666">
          <cell r="F666" t="str">
            <v>Empréstimos e financiamentos</v>
          </cell>
          <cell r="L666">
            <v>0</v>
          </cell>
        </row>
        <row r="667">
          <cell r="F667" t="str">
            <v>Empréstimos e financiamentos</v>
          </cell>
          <cell r="L667">
            <v>0</v>
          </cell>
        </row>
        <row r="668">
          <cell r="F668" t="str">
            <v>Empréstimos e financiamentos</v>
          </cell>
          <cell r="L668">
            <v>588323.49</v>
          </cell>
        </row>
        <row r="669">
          <cell r="F669" t="str">
            <v>Empréstimos e financiamentos</v>
          </cell>
          <cell r="L669">
            <v>0</v>
          </cell>
        </row>
        <row r="670">
          <cell r="F670" t="str">
            <v>Debêntures</v>
          </cell>
          <cell r="L670">
            <v>4073803.61</v>
          </cell>
        </row>
        <row r="671">
          <cell r="F671" t="str">
            <v>Mutuos a pagar</v>
          </cell>
          <cell r="L671">
            <v>0</v>
          </cell>
        </row>
        <row r="672">
          <cell r="F672" t="str">
            <v>Arrendamentos a pagar</v>
          </cell>
          <cell r="L672">
            <v>-2161422541.3399997</v>
          </cell>
        </row>
        <row r="673">
          <cell r="F673" t="str">
            <v>Arrendamentos a pagar</v>
          </cell>
          <cell r="L673">
            <v>634767512.20999992</v>
          </cell>
        </row>
        <row r="674">
          <cell r="F674" t="str">
            <v>Arrendamentos a pagar</v>
          </cell>
          <cell r="L674">
            <v>0</v>
          </cell>
        </row>
        <row r="675">
          <cell r="F675" t="str">
            <v>Fornecedores</v>
          </cell>
          <cell r="L675">
            <v>0</v>
          </cell>
        </row>
        <row r="676">
          <cell r="F676" t="str">
            <v>Fornecedores</v>
          </cell>
          <cell r="L676">
            <v>0</v>
          </cell>
        </row>
        <row r="677">
          <cell r="F677" t="str">
            <v>Outras contas a pagar</v>
          </cell>
          <cell r="L677">
            <v>0</v>
          </cell>
        </row>
        <row r="678">
          <cell r="F678" t="str">
            <v>Outras contas a pagar</v>
          </cell>
          <cell r="L678">
            <v>0</v>
          </cell>
        </row>
        <row r="679">
          <cell r="F679" t="str">
            <v>Outras contas a pagar</v>
          </cell>
          <cell r="L679">
            <v>0</v>
          </cell>
        </row>
        <row r="680">
          <cell r="F680" t="str">
            <v>Adiantamento para futuro aumento de capital</v>
          </cell>
          <cell r="L680">
            <v>0</v>
          </cell>
        </row>
        <row r="681">
          <cell r="F681" t="str">
            <v>Passivos a descoberto em controladas</v>
          </cell>
          <cell r="L681">
            <v>0</v>
          </cell>
        </row>
        <row r="682">
          <cell r="F682" t="str">
            <v>Passivos a descoberto em controladas</v>
          </cell>
          <cell r="L682">
            <v>0</v>
          </cell>
        </row>
        <row r="683">
          <cell r="F683" t="str">
            <v>Passivos a descoberto em controladas</v>
          </cell>
          <cell r="L683">
            <v>0</v>
          </cell>
        </row>
        <row r="684">
          <cell r="F684" t="str">
            <v>Passivos a descoberto em controladas</v>
          </cell>
          <cell r="L684">
            <v>0</v>
          </cell>
        </row>
        <row r="685">
          <cell r="F685" t="str">
            <v>Passivos a descoberto em controladas</v>
          </cell>
          <cell r="L685">
            <v>0</v>
          </cell>
        </row>
        <row r="686">
          <cell r="F686" t="str">
            <v>Passivos a descoberto em controladas</v>
          </cell>
          <cell r="L686">
            <v>0</v>
          </cell>
        </row>
        <row r="687">
          <cell r="F687" t="str">
            <v>Passivos a descoberto em controladas</v>
          </cell>
          <cell r="L687">
            <v>0</v>
          </cell>
        </row>
        <row r="688">
          <cell r="F688" t="str">
            <v>Passivos a descoberto em controladas</v>
          </cell>
          <cell r="L688">
            <v>0</v>
          </cell>
        </row>
        <row r="689">
          <cell r="F689" t="str">
            <v>Outros passivos</v>
          </cell>
          <cell r="L689">
            <v>-115120209.25</v>
          </cell>
        </row>
        <row r="690">
          <cell r="F690" t="str">
            <v>Outras contas a pagar</v>
          </cell>
          <cell r="L690">
            <v>-158969803.53</v>
          </cell>
        </row>
        <row r="691">
          <cell r="F691" t="str">
            <v>Impostos parcelados</v>
          </cell>
          <cell r="L691">
            <v>-297074450.46999997</v>
          </cell>
        </row>
        <row r="692">
          <cell r="F692" t="str">
            <v>Impostos parcelados</v>
          </cell>
          <cell r="L692">
            <v>-1314602.6000000001</v>
          </cell>
        </row>
        <row r="693">
          <cell r="F693" t="str">
            <v>Impostos parcelados</v>
          </cell>
          <cell r="L693">
            <v>-7153851.3200000003</v>
          </cell>
        </row>
        <row r="694">
          <cell r="F694" t="str">
            <v>Impostos parcelados</v>
          </cell>
          <cell r="L694">
            <v>0</v>
          </cell>
        </row>
        <row r="695">
          <cell r="F695" t="str">
            <v>Impostos parcelados</v>
          </cell>
          <cell r="L695">
            <v>0</v>
          </cell>
        </row>
        <row r="696">
          <cell r="F696" t="str">
            <v>Impostos parcelados</v>
          </cell>
          <cell r="L696">
            <v>0</v>
          </cell>
        </row>
        <row r="697">
          <cell r="F697" t="str">
            <v>Impostos parcelados</v>
          </cell>
          <cell r="L697">
            <v>-440982.33</v>
          </cell>
        </row>
        <row r="698">
          <cell r="F698" t="str">
            <v>Impostos parcelados</v>
          </cell>
          <cell r="L698">
            <v>0</v>
          </cell>
        </row>
        <row r="699">
          <cell r="F699" t="str">
            <v>Impostos parcelados</v>
          </cell>
          <cell r="L699">
            <v>0</v>
          </cell>
        </row>
        <row r="700">
          <cell r="F700" t="str">
            <v>Impostos parcelados</v>
          </cell>
          <cell r="L700">
            <v>0</v>
          </cell>
        </row>
        <row r="701">
          <cell r="F701" t="str">
            <v>Impostos parcelados</v>
          </cell>
          <cell r="L701">
            <v>-545138.43999999994</v>
          </cell>
        </row>
        <row r="702">
          <cell r="F702" t="str">
            <v>Impostos parcelados</v>
          </cell>
          <cell r="L702">
            <v>0</v>
          </cell>
        </row>
        <row r="703">
          <cell r="F703" t="str">
            <v>Impostos parcelados</v>
          </cell>
          <cell r="L703">
            <v>0</v>
          </cell>
        </row>
        <row r="704">
          <cell r="F704" t="str">
            <v>Impostos parcelados</v>
          </cell>
          <cell r="L704">
            <v>0</v>
          </cell>
        </row>
        <row r="705">
          <cell r="F705" t="str">
            <v>Impostos parcelados</v>
          </cell>
          <cell r="L705">
            <v>0</v>
          </cell>
        </row>
        <row r="706">
          <cell r="F706" t="str">
            <v>Impostos parcelados</v>
          </cell>
          <cell r="L706">
            <v>0</v>
          </cell>
        </row>
        <row r="707">
          <cell r="F707" t="str">
            <v>Impostos parcelados</v>
          </cell>
          <cell r="L707">
            <v>0</v>
          </cell>
        </row>
        <row r="708">
          <cell r="F708" t="str">
            <v>Impostos parcelados</v>
          </cell>
          <cell r="L708">
            <v>0</v>
          </cell>
        </row>
        <row r="709">
          <cell r="F709" t="str">
            <v>Impostos parcelados</v>
          </cell>
          <cell r="L709">
            <v>232472039.40000001</v>
          </cell>
        </row>
        <row r="710">
          <cell r="F710" t="str">
            <v>Provisão para riscos administrativos e judiciais</v>
          </cell>
          <cell r="L710">
            <v>-25307025.279200006</v>
          </cell>
        </row>
        <row r="711">
          <cell r="F711" t="str">
            <v>Provisão para riscos administrativos e judiciais</v>
          </cell>
          <cell r="L711">
            <v>-351109787.95824248</v>
          </cell>
        </row>
        <row r="712">
          <cell r="F712" t="str">
            <v>Provisão para riscos administrativos e judiciais</v>
          </cell>
          <cell r="L712">
            <v>-3627286.3699999996</v>
          </cell>
        </row>
        <row r="713">
          <cell r="F713" t="str">
            <v>Provisão para riscos administrativos e judiciais</v>
          </cell>
          <cell r="L713">
            <v>0</v>
          </cell>
        </row>
        <row r="714">
          <cell r="F714" t="str">
            <v>Provisão para riscos administrativos e judiciais</v>
          </cell>
          <cell r="L714">
            <v>0</v>
          </cell>
        </row>
        <row r="715">
          <cell r="F715" t="str">
            <v>Provisão para riscos administrativos e judiciais</v>
          </cell>
          <cell r="L715">
            <v>-8473560.9100000001</v>
          </cell>
        </row>
        <row r="716">
          <cell r="F716" t="str">
            <v>Provisão para riscos administrativos e judiciais</v>
          </cell>
          <cell r="L716">
            <v>-1602079.07</v>
          </cell>
        </row>
        <row r="717">
          <cell r="F717" t="str">
            <v>Provisão para riscos administrativos e judiciais</v>
          </cell>
          <cell r="L717">
            <v>-235703360.66999999</v>
          </cell>
        </row>
        <row r="718">
          <cell r="F718" t="str">
            <v>Passivo fiscal diferido</v>
          </cell>
          <cell r="L718">
            <v>-5136820.9399999995</v>
          </cell>
        </row>
        <row r="719">
          <cell r="F719" t="str">
            <v>Passivo fiscal diferido</v>
          </cell>
          <cell r="L719">
            <v>-1849255.54</v>
          </cell>
        </row>
        <row r="720">
          <cell r="F720" t="str">
            <v>Outras contas a pagar</v>
          </cell>
          <cell r="L720">
            <v>0</v>
          </cell>
        </row>
        <row r="721">
          <cell r="F721" t="str">
            <v>Capital social</v>
          </cell>
          <cell r="L721">
            <v>0</v>
          </cell>
        </row>
        <row r="722">
          <cell r="F722" t="str">
            <v>Capital social</v>
          </cell>
          <cell r="L722">
            <v>-1823527195.5500002</v>
          </cell>
        </row>
        <row r="723">
          <cell r="F723" t="str">
            <v>Reservas de capital</v>
          </cell>
          <cell r="L723">
            <v>0</v>
          </cell>
        </row>
        <row r="724">
          <cell r="F724" t="str">
            <v>Reservas de capital</v>
          </cell>
          <cell r="L724">
            <v>0</v>
          </cell>
        </row>
        <row r="725">
          <cell r="F725" t="str">
            <v>Reservas de capital</v>
          </cell>
          <cell r="L725">
            <v>0</v>
          </cell>
        </row>
        <row r="726">
          <cell r="F726" t="str">
            <v>Reservas de capital</v>
          </cell>
          <cell r="L726">
            <v>-154753307.19999999</v>
          </cell>
        </row>
        <row r="727">
          <cell r="F727" t="str">
            <v>Reservas de capital</v>
          </cell>
          <cell r="L727">
            <v>-140464980.93000001</v>
          </cell>
        </row>
        <row r="728">
          <cell r="F728" t="str">
            <v>Reservas de capital</v>
          </cell>
          <cell r="L728">
            <v>50474459.409999996</v>
          </cell>
        </row>
        <row r="729">
          <cell r="F729" t="str">
            <v>Reservas de capital</v>
          </cell>
          <cell r="L729">
            <v>0</v>
          </cell>
        </row>
        <row r="730">
          <cell r="F730" t="str">
            <v>Reservas de Lucros</v>
          </cell>
          <cell r="L730">
            <v>0</v>
          </cell>
        </row>
        <row r="731">
          <cell r="F731" t="str">
            <v>Reservas de Lucros</v>
          </cell>
          <cell r="L731">
            <v>-9420000</v>
          </cell>
        </row>
        <row r="732">
          <cell r="F732" t="str">
            <v>Reservas de Lucros</v>
          </cell>
          <cell r="L732">
            <v>-64439000</v>
          </cell>
        </row>
        <row r="733">
          <cell r="F733" t="str">
            <v>Prejuízos acumulados</v>
          </cell>
          <cell r="L733">
            <v>0</v>
          </cell>
        </row>
        <row r="734">
          <cell r="F734" t="str">
            <v>Prejuízos acumulados</v>
          </cell>
          <cell r="L734">
            <v>0</v>
          </cell>
        </row>
        <row r="735">
          <cell r="F735" t="str">
            <v>Lucros acumulados</v>
          </cell>
          <cell r="L735">
            <v>0</v>
          </cell>
        </row>
        <row r="736">
          <cell r="F736" t="str">
            <v>Ajuste de avaliação patrimonial</v>
          </cell>
          <cell r="L736">
            <v>136681785.41999999</v>
          </cell>
        </row>
        <row r="737">
          <cell r="F737" t="str">
            <v>Reservas de Lucros</v>
          </cell>
          <cell r="L737">
            <v>-85911000</v>
          </cell>
        </row>
        <row r="738">
          <cell r="F738" t="str">
            <v>Ajuste de avaliação patrimonial</v>
          </cell>
          <cell r="L738">
            <v>-126893849.80559874</v>
          </cell>
        </row>
        <row r="739">
          <cell r="F739" t="str">
            <v>Prejuízos acumulados</v>
          </cell>
          <cell r="L739">
            <v>-272917.22930112481</v>
          </cell>
        </row>
        <row r="740">
          <cell r="F740" t="str">
            <v>Adiantamento para futuro aumento de capital</v>
          </cell>
          <cell r="L740">
            <v>-6913826.4699999997</v>
          </cell>
        </row>
        <row r="741">
          <cell r="F741" t="str">
            <v>Transitória</v>
          </cell>
          <cell r="L741">
            <v>0</v>
          </cell>
        </row>
        <row r="742">
          <cell r="F742" t="str">
            <v>Transitória</v>
          </cell>
          <cell r="L742">
            <v>0</v>
          </cell>
        </row>
        <row r="743">
          <cell r="F743" t="str">
            <v>Transitória</v>
          </cell>
          <cell r="L743">
            <v>0</v>
          </cell>
        </row>
        <row r="744">
          <cell r="F744" t="str">
            <v>Transitória</v>
          </cell>
          <cell r="L744">
            <v>0</v>
          </cell>
        </row>
        <row r="745">
          <cell r="F745" t="str">
            <v>Transitória</v>
          </cell>
          <cell r="L745">
            <v>-0.1</v>
          </cell>
        </row>
        <row r="746">
          <cell r="F746" t="str">
            <v>Transitória</v>
          </cell>
          <cell r="L746">
            <v>0</v>
          </cell>
        </row>
        <row r="747">
          <cell r="F747" t="str">
            <v>Transitória</v>
          </cell>
          <cell r="L747">
            <v>0</v>
          </cell>
        </row>
        <row r="748">
          <cell r="F748" t="str">
            <v>Transitória</v>
          </cell>
          <cell r="L748">
            <v>0</v>
          </cell>
        </row>
        <row r="749">
          <cell r="F749" t="str">
            <v>Transitória</v>
          </cell>
          <cell r="L749">
            <v>0</v>
          </cell>
        </row>
        <row r="750">
          <cell r="F750" t="str">
            <v>Transitória</v>
          </cell>
          <cell r="L750">
            <v>0</v>
          </cell>
        </row>
        <row r="751">
          <cell r="F751" t="str">
            <v>Transitória</v>
          </cell>
          <cell r="L751">
            <v>0</v>
          </cell>
        </row>
        <row r="752">
          <cell r="F752" t="str">
            <v>Transitória</v>
          </cell>
          <cell r="L752">
            <v>0</v>
          </cell>
        </row>
        <row r="753">
          <cell r="F753" t="str">
            <v>Transitória</v>
          </cell>
          <cell r="L753">
            <v>0</v>
          </cell>
        </row>
        <row r="754">
          <cell r="F754" t="str">
            <v>Transitória</v>
          </cell>
          <cell r="L754">
            <v>0</v>
          </cell>
        </row>
        <row r="755">
          <cell r="F755" t="str">
            <v>Transitória</v>
          </cell>
          <cell r="L755">
            <v>0</v>
          </cell>
        </row>
        <row r="756">
          <cell r="F756" t="str">
            <v>Transitória</v>
          </cell>
          <cell r="L756">
            <v>0</v>
          </cell>
        </row>
        <row r="757">
          <cell r="F757" t="str">
            <v>Transitória</v>
          </cell>
          <cell r="L757">
            <v>0</v>
          </cell>
        </row>
        <row r="758">
          <cell r="F758" t="str">
            <v>Transitória</v>
          </cell>
          <cell r="L758">
            <v>0</v>
          </cell>
        </row>
        <row r="759">
          <cell r="F759" t="str">
            <v>Transitória</v>
          </cell>
          <cell r="L759">
            <v>0</v>
          </cell>
        </row>
        <row r="760">
          <cell r="F760" t="str">
            <v>Transitória</v>
          </cell>
          <cell r="L760">
            <v>0</v>
          </cell>
        </row>
        <row r="761">
          <cell r="F761" t="str">
            <v>Transitória</v>
          </cell>
          <cell r="L761">
            <v>0</v>
          </cell>
        </row>
        <row r="763">
          <cell r="F763" t="str">
            <v>Receitas líquidas</v>
          </cell>
          <cell r="L763">
            <v>-3805539492.5900002</v>
          </cell>
        </row>
        <row r="764">
          <cell r="F764" t="str">
            <v>Receitas líquidas</v>
          </cell>
          <cell r="L764">
            <v>0</v>
          </cell>
        </row>
        <row r="765">
          <cell r="F765" t="str">
            <v>Receitas líquidas</v>
          </cell>
          <cell r="L765">
            <v>0</v>
          </cell>
        </row>
        <row r="766">
          <cell r="F766" t="str">
            <v>Receitas líquidas</v>
          </cell>
          <cell r="L766">
            <v>0</v>
          </cell>
        </row>
        <row r="767">
          <cell r="F767" t="str">
            <v>Receitas líquidas</v>
          </cell>
          <cell r="L767">
            <v>-3299951.07</v>
          </cell>
        </row>
        <row r="768">
          <cell r="F768" t="str">
            <v>Receitas líquidas</v>
          </cell>
          <cell r="L768">
            <v>-837833.44</v>
          </cell>
        </row>
        <row r="769">
          <cell r="F769" t="str">
            <v>Receitas líquidas</v>
          </cell>
          <cell r="L769">
            <v>-25579285.949999999</v>
          </cell>
        </row>
        <row r="770">
          <cell r="F770" t="str">
            <v>Receitas líquidas</v>
          </cell>
          <cell r="L770">
            <v>0</v>
          </cell>
        </row>
        <row r="771">
          <cell r="F771" t="str">
            <v>Receitas líquidas</v>
          </cell>
          <cell r="L771">
            <v>0</v>
          </cell>
        </row>
        <row r="772">
          <cell r="F772" t="str">
            <v>Receitas líquidas</v>
          </cell>
          <cell r="L772">
            <v>0</v>
          </cell>
        </row>
        <row r="773">
          <cell r="F773" t="str">
            <v>Receitas líquidas</v>
          </cell>
          <cell r="L773">
            <v>0</v>
          </cell>
        </row>
        <row r="774">
          <cell r="F774" t="str">
            <v>Receitas líquidas</v>
          </cell>
          <cell r="L774">
            <v>0</v>
          </cell>
        </row>
        <row r="775">
          <cell r="F775" t="str">
            <v>Receitas líquidas</v>
          </cell>
          <cell r="L775">
            <v>0</v>
          </cell>
        </row>
        <row r="776">
          <cell r="F776" t="str">
            <v>Receitas líquidas</v>
          </cell>
          <cell r="L776">
            <v>0</v>
          </cell>
        </row>
        <row r="777">
          <cell r="F777" t="str">
            <v>Receitas líquidas</v>
          </cell>
          <cell r="L777">
            <v>-27019232.46000009</v>
          </cell>
        </row>
        <row r="778">
          <cell r="F778" t="str">
            <v>Receitas líquidas</v>
          </cell>
          <cell r="L778">
            <v>0</v>
          </cell>
        </row>
        <row r="779">
          <cell r="F779" t="str">
            <v>Receitas líquidas</v>
          </cell>
          <cell r="L779">
            <v>-1892400</v>
          </cell>
        </row>
        <row r="780">
          <cell r="F780" t="str">
            <v>Receitas líquidas</v>
          </cell>
          <cell r="L780">
            <v>-431535.7</v>
          </cell>
        </row>
        <row r="781">
          <cell r="F781" t="str">
            <v>Receitas líquidas</v>
          </cell>
          <cell r="L781">
            <v>0</v>
          </cell>
        </row>
        <row r="782">
          <cell r="F782" t="str">
            <v>Receitas líquidas</v>
          </cell>
          <cell r="L782">
            <v>0</v>
          </cell>
        </row>
        <row r="783">
          <cell r="F783" t="str">
            <v>Receitas líquidas</v>
          </cell>
          <cell r="L783">
            <v>19467.41</v>
          </cell>
        </row>
        <row r="784">
          <cell r="F784" t="str">
            <v>Receitas líquidas</v>
          </cell>
          <cell r="L784">
            <v>0</v>
          </cell>
        </row>
        <row r="785">
          <cell r="F785" t="str">
            <v>Receitas líquidas</v>
          </cell>
          <cell r="L785">
            <v>0</v>
          </cell>
        </row>
        <row r="786">
          <cell r="F786" t="str">
            <v>Receitas líquidas</v>
          </cell>
          <cell r="L786">
            <v>-641.4</v>
          </cell>
        </row>
        <row r="787">
          <cell r="F787" t="str">
            <v>Receitas líquidas</v>
          </cell>
          <cell r="L787">
            <v>-275.64</v>
          </cell>
        </row>
        <row r="788">
          <cell r="F788" t="str">
            <v>Receitas líquidas</v>
          </cell>
          <cell r="L788">
            <v>0</v>
          </cell>
        </row>
        <row r="789">
          <cell r="F789" t="str">
            <v>Receitas líquidas</v>
          </cell>
          <cell r="L789">
            <v>-39.380000000000003</v>
          </cell>
        </row>
        <row r="790">
          <cell r="F790" t="str">
            <v>Receitas líquidas</v>
          </cell>
          <cell r="L790">
            <v>-53.29</v>
          </cell>
        </row>
        <row r="791">
          <cell r="F791" t="str">
            <v>Receitas líquidas</v>
          </cell>
          <cell r="L791">
            <v>-37.049999999999997</v>
          </cell>
        </row>
        <row r="792">
          <cell r="F792" t="str">
            <v>Receitas líquidas</v>
          </cell>
          <cell r="L792">
            <v>-174654.55000000002</v>
          </cell>
        </row>
        <row r="793">
          <cell r="F793" t="str">
            <v>Receitas líquidas</v>
          </cell>
          <cell r="L793">
            <v>139356270.87</v>
          </cell>
        </row>
        <row r="794">
          <cell r="F794" t="str">
            <v>Receitas líquidas</v>
          </cell>
          <cell r="L794">
            <v>249780009.32000002</v>
          </cell>
        </row>
        <row r="795">
          <cell r="F795" t="str">
            <v>Receitas líquidas</v>
          </cell>
          <cell r="L795">
            <v>0</v>
          </cell>
        </row>
        <row r="796">
          <cell r="F796" t="str">
            <v>Receitas líquidas</v>
          </cell>
          <cell r="L796">
            <v>0</v>
          </cell>
        </row>
        <row r="797">
          <cell r="F797" t="str">
            <v>Receitas líquidas</v>
          </cell>
          <cell r="L797">
            <v>13961.23</v>
          </cell>
        </row>
        <row r="798">
          <cell r="F798" t="str">
            <v>Receitas líquidas</v>
          </cell>
          <cell r="L798">
            <v>0</v>
          </cell>
        </row>
        <row r="799">
          <cell r="F799" t="str">
            <v>Receitas líquidas</v>
          </cell>
          <cell r="L799">
            <v>477681193.97000009</v>
          </cell>
        </row>
        <row r="800">
          <cell r="F800" t="str">
            <v>Receitas líquidas</v>
          </cell>
          <cell r="L800">
            <v>45742561.443085</v>
          </cell>
        </row>
        <row r="801">
          <cell r="F801" t="str">
            <v>Receitas líquidas</v>
          </cell>
          <cell r="L801">
            <v>210699268.35723996</v>
          </cell>
        </row>
        <row r="802">
          <cell r="F802" t="str">
            <v>Receitas líquidas</v>
          </cell>
          <cell r="L802">
            <v>0</v>
          </cell>
        </row>
        <row r="803">
          <cell r="F803" t="str">
            <v>Receitas líquidas</v>
          </cell>
          <cell r="L803">
            <v>0</v>
          </cell>
        </row>
        <row r="804">
          <cell r="F804" t="str">
            <v>Receitas líquidas</v>
          </cell>
          <cell r="L804">
            <v>0</v>
          </cell>
        </row>
        <row r="805">
          <cell r="F805" t="str">
            <v>Receitas líquidas</v>
          </cell>
          <cell r="L805">
            <v>0</v>
          </cell>
        </row>
        <row r="806">
          <cell r="F806" t="str">
            <v>Receitas líquidas</v>
          </cell>
          <cell r="L806">
            <v>0</v>
          </cell>
        </row>
        <row r="807">
          <cell r="F807" t="str">
            <v>Receitas líquidas</v>
          </cell>
          <cell r="L807">
            <v>0</v>
          </cell>
        </row>
        <row r="808">
          <cell r="F808" t="str">
            <v>Receitas líquidas</v>
          </cell>
          <cell r="L808">
            <v>-72646795.360000014</v>
          </cell>
        </row>
        <row r="809">
          <cell r="F809" t="str">
            <v>Receitas líquidas</v>
          </cell>
          <cell r="L809">
            <v>0</v>
          </cell>
        </row>
        <row r="810">
          <cell r="F810" t="str">
            <v>Receitas líquidas</v>
          </cell>
          <cell r="L810">
            <v>0</v>
          </cell>
        </row>
        <row r="811">
          <cell r="F811" t="str">
            <v>Receitas líquidas</v>
          </cell>
          <cell r="L811">
            <v>1471474.48</v>
          </cell>
        </row>
        <row r="812">
          <cell r="F812" t="str">
            <v>Receitas líquidas</v>
          </cell>
          <cell r="L812">
            <v>4334109.47</v>
          </cell>
        </row>
        <row r="813">
          <cell r="F813" t="str">
            <v>Receitas líquidas</v>
          </cell>
          <cell r="L813">
            <v>940934.64</v>
          </cell>
        </row>
        <row r="814">
          <cell r="F814" t="str">
            <v>Receitas líquidas</v>
          </cell>
          <cell r="L814">
            <v>42315.839999999997</v>
          </cell>
        </row>
        <row r="815">
          <cell r="F815" t="str">
            <v>Receitas líquidas</v>
          </cell>
          <cell r="L815">
            <v>0</v>
          </cell>
        </row>
        <row r="816">
          <cell r="F816" t="str">
            <v>Receitas líquidas</v>
          </cell>
          <cell r="L816">
            <v>0</v>
          </cell>
        </row>
        <row r="817">
          <cell r="F817" t="str">
            <v>Receitas líquidas</v>
          </cell>
          <cell r="L817">
            <v>0</v>
          </cell>
        </row>
        <row r="818">
          <cell r="F818" t="str">
            <v>Receitas líquidas</v>
          </cell>
          <cell r="L818">
            <v>7119.51</v>
          </cell>
        </row>
        <row r="819">
          <cell r="F819" t="str">
            <v>Receitas líquidas</v>
          </cell>
          <cell r="L819">
            <v>32794.94</v>
          </cell>
        </row>
        <row r="820">
          <cell r="F820" t="str">
            <v>Receitas líquidas</v>
          </cell>
          <cell r="L820">
            <v>1168.0999999999999</v>
          </cell>
        </row>
        <row r="821">
          <cell r="F821" t="str">
            <v>Receitas líquidas</v>
          </cell>
          <cell r="L821">
            <v>0</v>
          </cell>
        </row>
        <row r="822">
          <cell r="F822" t="str">
            <v>Receitas líquidas</v>
          </cell>
          <cell r="L822">
            <v>0</v>
          </cell>
        </row>
        <row r="823">
          <cell r="F823" t="str">
            <v>Receitas líquidas</v>
          </cell>
          <cell r="L823">
            <v>0</v>
          </cell>
        </row>
        <row r="824">
          <cell r="F824" t="str">
            <v>Receitas líquidas</v>
          </cell>
          <cell r="L824">
            <v>-596135.84000000008</v>
          </cell>
        </row>
        <row r="825">
          <cell r="F825" t="str">
            <v>Receitas líquidas</v>
          </cell>
          <cell r="L825">
            <v>250.67</v>
          </cell>
        </row>
        <row r="826">
          <cell r="F826" t="str">
            <v>Receitas líquidas</v>
          </cell>
          <cell r="L826">
            <v>1154.58</v>
          </cell>
        </row>
        <row r="827">
          <cell r="F827" t="str">
            <v>Receitas líquidas</v>
          </cell>
          <cell r="L827">
            <v>148.19999999999999</v>
          </cell>
        </row>
        <row r="828">
          <cell r="F828" t="str">
            <v>Receitas líquidas</v>
          </cell>
          <cell r="L828">
            <v>682.61</v>
          </cell>
        </row>
        <row r="829">
          <cell r="F829" t="str">
            <v>Receitas líquidas</v>
          </cell>
          <cell r="L829">
            <v>0</v>
          </cell>
        </row>
        <row r="830">
          <cell r="F830" t="str">
            <v>Receitas líquidas</v>
          </cell>
          <cell r="L830">
            <v>0</v>
          </cell>
        </row>
        <row r="831">
          <cell r="F831" t="str">
            <v>Receitas líquidas</v>
          </cell>
          <cell r="L831">
            <v>0</v>
          </cell>
        </row>
        <row r="832">
          <cell r="F832" t="str">
            <v>Receitas líquidas</v>
          </cell>
          <cell r="L832">
            <v>0</v>
          </cell>
        </row>
        <row r="833">
          <cell r="F833" t="str">
            <v>Receitas líquidas</v>
          </cell>
          <cell r="L833">
            <v>46671.25</v>
          </cell>
        </row>
        <row r="834">
          <cell r="F834" t="str">
            <v>Receitas líquidas</v>
          </cell>
          <cell r="L834">
            <v>162140.32</v>
          </cell>
        </row>
        <row r="835">
          <cell r="F835" t="str">
            <v>Receitas líquidas</v>
          </cell>
          <cell r="L835">
            <v>35201.5</v>
          </cell>
        </row>
        <row r="836">
          <cell r="F836" t="str">
            <v>Receitas líquidas</v>
          </cell>
          <cell r="L836">
            <v>19.2</v>
          </cell>
        </row>
        <row r="837">
          <cell r="F837" t="str">
            <v>Receitas líquidas</v>
          </cell>
          <cell r="L837">
            <v>2706.32</v>
          </cell>
        </row>
        <row r="838">
          <cell r="F838" t="str">
            <v>Receitas líquidas</v>
          </cell>
          <cell r="L838">
            <v>12465.58</v>
          </cell>
        </row>
        <row r="839">
          <cell r="F839" t="str">
            <v>Receitas líquidas</v>
          </cell>
          <cell r="L839">
            <v>0</v>
          </cell>
        </row>
        <row r="840">
          <cell r="F840" t="str">
            <v>Receitas líquidas</v>
          </cell>
          <cell r="L840">
            <v>0</v>
          </cell>
        </row>
        <row r="841">
          <cell r="F841" t="str">
            <v>Receitas líquidas</v>
          </cell>
          <cell r="L841">
            <v>0</v>
          </cell>
        </row>
        <row r="842">
          <cell r="F842" t="str">
            <v>Receitas líquidas</v>
          </cell>
          <cell r="L842">
            <v>0</v>
          </cell>
        </row>
        <row r="843">
          <cell r="F843" t="str">
            <v>Receitas líquidas</v>
          </cell>
          <cell r="L843">
            <v>0</v>
          </cell>
        </row>
        <row r="844">
          <cell r="F844" t="str">
            <v>Custo das vendas e dos serviços prestados</v>
          </cell>
          <cell r="L844">
            <v>1485384202.1563811</v>
          </cell>
        </row>
        <row r="845">
          <cell r="F845" t="str">
            <v>Custo das vendas e dos serviços prestados</v>
          </cell>
          <cell r="L845">
            <v>0</v>
          </cell>
        </row>
        <row r="846">
          <cell r="F846" t="str">
            <v>Custo das vendas e dos serviços prestados</v>
          </cell>
          <cell r="L846">
            <v>0</v>
          </cell>
        </row>
        <row r="847">
          <cell r="F847" t="str">
            <v>Custo das vendas e dos serviços prestados</v>
          </cell>
          <cell r="L847">
            <v>0</v>
          </cell>
        </row>
        <row r="848">
          <cell r="F848" t="str">
            <v>Custo das vendas e dos serviços prestados</v>
          </cell>
          <cell r="L848">
            <v>1194320.26</v>
          </cell>
        </row>
        <row r="849">
          <cell r="F849" t="str">
            <v>Custo das vendas e dos serviços prestados</v>
          </cell>
          <cell r="L849">
            <v>0</v>
          </cell>
        </row>
        <row r="850">
          <cell r="F850" t="str">
            <v>Custo das vendas e dos serviços prestados</v>
          </cell>
          <cell r="L850">
            <v>0</v>
          </cell>
        </row>
        <row r="851">
          <cell r="F851" t="str">
            <v>Custo das vendas e dos serviços prestados</v>
          </cell>
          <cell r="L851">
            <v>-653709.29</v>
          </cell>
        </row>
        <row r="852">
          <cell r="F852" t="str">
            <v>Custo das vendas e dos serviços prestados</v>
          </cell>
          <cell r="L852">
            <v>22330860.210000001</v>
          </cell>
        </row>
        <row r="853">
          <cell r="F853" t="str">
            <v>Custo das vendas e dos serviços prestados</v>
          </cell>
          <cell r="L853">
            <v>0</v>
          </cell>
        </row>
        <row r="854">
          <cell r="F854" t="str">
            <v>Custo das vendas e dos serviços prestados</v>
          </cell>
          <cell r="L854">
            <v>-11151615.57</v>
          </cell>
        </row>
        <row r="855">
          <cell r="F855" t="str">
            <v>Custo das vendas e dos serviços prestados</v>
          </cell>
          <cell r="L855">
            <v>0</v>
          </cell>
        </row>
        <row r="856">
          <cell r="F856" t="str">
            <v>Custo das vendas e dos serviços prestados</v>
          </cell>
          <cell r="L856">
            <v>-797987.75422587991</v>
          </cell>
        </row>
        <row r="857">
          <cell r="F857" t="str">
            <v>Custo das vendas e dos serviços prestados</v>
          </cell>
          <cell r="L857">
            <v>0</v>
          </cell>
        </row>
        <row r="858">
          <cell r="F858" t="str">
            <v>Custo das vendas e dos serviços prestados</v>
          </cell>
          <cell r="L858">
            <v>0</v>
          </cell>
        </row>
        <row r="859">
          <cell r="F859" t="str">
            <v>Custo das vendas e dos serviços prestados</v>
          </cell>
          <cell r="L859">
            <v>-1630502.450000003</v>
          </cell>
        </row>
        <row r="860">
          <cell r="F860" t="str">
            <v>Custo das vendas e dos serviços prestados</v>
          </cell>
          <cell r="L860">
            <v>518967.33</v>
          </cell>
        </row>
        <row r="861">
          <cell r="F861" t="str">
            <v>Custo das vendas e dos serviços prestados</v>
          </cell>
          <cell r="L861">
            <v>0</v>
          </cell>
        </row>
        <row r="862">
          <cell r="F862" t="str">
            <v>Custo das vendas e dos serviços prestados</v>
          </cell>
          <cell r="L862">
            <v>0</v>
          </cell>
        </row>
        <row r="863">
          <cell r="F863" t="str">
            <v>Custo das vendas e dos serviços prestados</v>
          </cell>
          <cell r="L863">
            <v>0</v>
          </cell>
        </row>
        <row r="864">
          <cell r="F864" t="str">
            <v>Custo das vendas e dos serviços prestados</v>
          </cell>
          <cell r="L864">
            <v>0</v>
          </cell>
        </row>
        <row r="865">
          <cell r="F865" t="str">
            <v>Custo das vendas e dos serviços prestados</v>
          </cell>
          <cell r="L865">
            <v>183910.78</v>
          </cell>
        </row>
        <row r="866">
          <cell r="F866" t="str">
            <v>Custo das vendas e dos serviços prestados</v>
          </cell>
          <cell r="L866">
            <v>20116336.539999999</v>
          </cell>
        </row>
        <row r="867">
          <cell r="F867" t="str">
            <v>Custo das vendas e dos serviços prestados</v>
          </cell>
          <cell r="L867">
            <v>0</v>
          </cell>
        </row>
        <row r="868">
          <cell r="F868" t="str">
            <v>Custo das vendas e dos serviços prestados</v>
          </cell>
          <cell r="L868">
            <v>0</v>
          </cell>
        </row>
        <row r="869">
          <cell r="F869" t="str">
            <v>Custo das vendas e dos serviços prestados</v>
          </cell>
          <cell r="L869">
            <v>0</v>
          </cell>
        </row>
        <row r="870">
          <cell r="F870" t="str">
            <v>Custo das vendas e dos serviços prestados</v>
          </cell>
          <cell r="L870">
            <v>0</v>
          </cell>
        </row>
        <row r="871">
          <cell r="F871" t="str">
            <v>Desp. ADM e Venda</v>
          </cell>
          <cell r="L871">
            <v>121776262.17999999</v>
          </cell>
        </row>
        <row r="872">
          <cell r="F872" t="str">
            <v>Desp. ADM e Venda</v>
          </cell>
          <cell r="L872">
            <v>5607318.3900000006</v>
          </cell>
        </row>
        <row r="873">
          <cell r="F873" t="str">
            <v>Desp. ADM e Venda</v>
          </cell>
          <cell r="L873">
            <v>39243607.059999995</v>
          </cell>
        </row>
        <row r="874">
          <cell r="F874" t="str">
            <v>Desp. ADM e Venda</v>
          </cell>
          <cell r="L874">
            <v>7533.33</v>
          </cell>
        </row>
        <row r="875">
          <cell r="F875" t="str">
            <v>Desp. ADM e Venda</v>
          </cell>
          <cell r="L875">
            <v>1278782.2699999998</v>
          </cell>
        </row>
        <row r="876">
          <cell r="F876" t="str">
            <v>Desp. ADM e Venda</v>
          </cell>
          <cell r="L876">
            <v>7761761.25</v>
          </cell>
        </row>
        <row r="877">
          <cell r="F877" t="str">
            <v>Desp. ADM e Venda</v>
          </cell>
          <cell r="L877">
            <v>2338.92</v>
          </cell>
        </row>
        <row r="878">
          <cell r="F878" t="str">
            <v>Desp. ADM e Venda</v>
          </cell>
          <cell r="L878">
            <v>1389432.97</v>
          </cell>
        </row>
        <row r="879">
          <cell r="F879" t="str">
            <v>Desp. ADM e Venda</v>
          </cell>
          <cell r="L879">
            <v>2037799.2300000002</v>
          </cell>
        </row>
        <row r="880">
          <cell r="F880" t="str">
            <v>Desp. ADM e Venda</v>
          </cell>
          <cell r="L880">
            <v>15039250.839999998</v>
          </cell>
        </row>
        <row r="881">
          <cell r="F881" t="str">
            <v>Desp. ADM e Venda</v>
          </cell>
          <cell r="L881">
            <v>50477547.580000013</v>
          </cell>
        </row>
        <row r="882">
          <cell r="F882" t="str">
            <v>Desp. ADM e Venda</v>
          </cell>
          <cell r="L882">
            <v>3333562.4099999997</v>
          </cell>
        </row>
        <row r="883">
          <cell r="F883" t="str">
            <v>Desp. ADM e Venda</v>
          </cell>
          <cell r="L883">
            <v>945179.09</v>
          </cell>
        </row>
        <row r="884">
          <cell r="F884" t="str">
            <v>Desp. ADM e Venda</v>
          </cell>
          <cell r="L884">
            <v>-307030.46999999997</v>
          </cell>
        </row>
        <row r="885">
          <cell r="F885" t="str">
            <v>Desp. ADM e Venda</v>
          </cell>
          <cell r="L885">
            <v>14944220.940000001</v>
          </cell>
        </row>
        <row r="886">
          <cell r="F886" t="str">
            <v>Desp. ADM e Venda</v>
          </cell>
          <cell r="L886">
            <v>22918036.920000002</v>
          </cell>
        </row>
        <row r="887">
          <cell r="F887" t="str">
            <v>Desp. ADM e Venda</v>
          </cell>
          <cell r="L887">
            <v>2532622.6</v>
          </cell>
        </row>
        <row r="888">
          <cell r="F888" t="str">
            <v>Desp. ADM e Venda</v>
          </cell>
          <cell r="L888">
            <v>3078731.75</v>
          </cell>
        </row>
        <row r="889">
          <cell r="F889" t="str">
            <v>Desp. ADM e Venda</v>
          </cell>
          <cell r="L889">
            <v>-1410185.32</v>
          </cell>
        </row>
        <row r="890">
          <cell r="F890" t="str">
            <v>Desp. ADM e Venda</v>
          </cell>
          <cell r="L890">
            <v>17191688.43</v>
          </cell>
        </row>
        <row r="891">
          <cell r="F891" t="str">
            <v>Desp. ADM e Venda</v>
          </cell>
          <cell r="L891">
            <v>18249371.119999997</v>
          </cell>
        </row>
        <row r="892">
          <cell r="F892" t="str">
            <v>Desp. ADM e Venda</v>
          </cell>
          <cell r="L892">
            <v>292870.03999999998</v>
          </cell>
        </row>
        <row r="893">
          <cell r="F893" t="str">
            <v>Desp. ADM e Venda</v>
          </cell>
          <cell r="L893">
            <v>6431178.3099999996</v>
          </cell>
        </row>
        <row r="894">
          <cell r="F894" t="str">
            <v>Desp. ADM e Venda</v>
          </cell>
          <cell r="L894">
            <v>12096821.200000001</v>
          </cell>
        </row>
        <row r="895">
          <cell r="F895" t="str">
            <v>Desp. ADM e Venda</v>
          </cell>
          <cell r="L895">
            <v>1608460.0599999998</v>
          </cell>
        </row>
        <row r="896">
          <cell r="F896" t="str">
            <v>Desp. ADM e Venda</v>
          </cell>
          <cell r="L896">
            <v>1821058.65</v>
          </cell>
        </row>
        <row r="897">
          <cell r="F897" t="str">
            <v>Desp. ADM e Venda</v>
          </cell>
          <cell r="L897">
            <v>3780807.2899999996</v>
          </cell>
        </row>
        <row r="898">
          <cell r="F898" t="str">
            <v>Desp. ADM e Venda</v>
          </cell>
          <cell r="L898">
            <v>31675915.039999999</v>
          </cell>
        </row>
        <row r="899">
          <cell r="F899" t="str">
            <v>Desp. ADM e Venda</v>
          </cell>
          <cell r="L899">
            <v>4644930.8</v>
          </cell>
        </row>
        <row r="900">
          <cell r="F900" t="str">
            <v>Desp. ADM e Venda</v>
          </cell>
          <cell r="L900">
            <v>-2708803.51</v>
          </cell>
        </row>
        <row r="901">
          <cell r="F901" t="str">
            <v>Desp. ADM e Venda</v>
          </cell>
          <cell r="L901">
            <v>1112286.47</v>
          </cell>
        </row>
        <row r="902">
          <cell r="F902" t="str">
            <v>Desp. ADM e Venda</v>
          </cell>
          <cell r="L902">
            <v>35250</v>
          </cell>
        </row>
        <row r="903">
          <cell r="F903" t="str">
            <v>Desp. ADM e Venda</v>
          </cell>
          <cell r="L903">
            <v>-55391.6</v>
          </cell>
        </row>
        <row r="904">
          <cell r="F904" t="str">
            <v>Desp. ADM e Venda</v>
          </cell>
          <cell r="L904">
            <v>-255137.02</v>
          </cell>
        </row>
        <row r="905">
          <cell r="F905" t="str">
            <v>Desp. ADM e Venda</v>
          </cell>
          <cell r="L905">
            <v>-227760.64000000001</v>
          </cell>
        </row>
        <row r="906">
          <cell r="F906" t="str">
            <v>Desp. ADM e Venda</v>
          </cell>
          <cell r="L906">
            <v>-1048651.79</v>
          </cell>
        </row>
        <row r="907">
          <cell r="F907" t="str">
            <v>Desp. ADM e Venda</v>
          </cell>
          <cell r="L907">
            <v>-288604.65000000002</v>
          </cell>
        </row>
        <row r="908">
          <cell r="F908" t="str">
            <v>Desp. ADM e Venda</v>
          </cell>
          <cell r="L908">
            <v>-1329332.1299999999</v>
          </cell>
        </row>
        <row r="909">
          <cell r="F909" t="str">
            <v>Desp. ADM e Venda</v>
          </cell>
          <cell r="L909">
            <v>-95694.49</v>
          </cell>
        </row>
        <row r="910">
          <cell r="F910" t="str">
            <v>Desp. ADM e Venda</v>
          </cell>
          <cell r="L910">
            <v>-440241.06</v>
          </cell>
        </row>
        <row r="911">
          <cell r="F911" t="str">
            <v>Desp. ADM e Venda</v>
          </cell>
          <cell r="L911">
            <v>600880.56999999995</v>
          </cell>
        </row>
        <row r="912">
          <cell r="F912" t="str">
            <v>Desp. ADM e Venda</v>
          </cell>
          <cell r="L912">
            <v>2006807.25</v>
          </cell>
        </row>
        <row r="913">
          <cell r="F913" t="str">
            <v>Desp. ADM e Venda</v>
          </cell>
          <cell r="L913">
            <v>791544.21</v>
          </cell>
        </row>
        <row r="914">
          <cell r="F914" t="str">
            <v>Desp. ADM e Venda</v>
          </cell>
          <cell r="L914">
            <v>1497176.1800000002</v>
          </cell>
        </row>
        <row r="915">
          <cell r="F915" t="str">
            <v>Desp. ADM e Venda</v>
          </cell>
          <cell r="L915">
            <v>1361023.47</v>
          </cell>
        </row>
        <row r="916">
          <cell r="F916" t="str">
            <v>Desp. ADM e Venda</v>
          </cell>
          <cell r="L916">
            <v>252754.48999999993</v>
          </cell>
        </row>
        <row r="917">
          <cell r="F917" t="str">
            <v>Desp. ADM e Venda</v>
          </cell>
          <cell r="L917">
            <v>1085416.2300000002</v>
          </cell>
        </row>
        <row r="918">
          <cell r="F918" t="str">
            <v>Desp. ADM e Venda</v>
          </cell>
          <cell r="L918">
            <v>39481.570000000007</v>
          </cell>
        </row>
        <row r="919">
          <cell r="F919" t="str">
            <v>Desp. ADM e Venda</v>
          </cell>
          <cell r="L919">
            <v>-22063.57</v>
          </cell>
        </row>
        <row r="920">
          <cell r="F920" t="str">
            <v>Desp. ADM e Venda</v>
          </cell>
          <cell r="L920">
            <v>-101314.61</v>
          </cell>
        </row>
        <row r="921">
          <cell r="F921" t="str">
            <v>Desp. ADM e Venda</v>
          </cell>
          <cell r="L921">
            <v>86885824.38000001</v>
          </cell>
        </row>
        <row r="922">
          <cell r="F922" t="str">
            <v>Desp. ADM e Venda</v>
          </cell>
          <cell r="L922">
            <v>423162.61</v>
          </cell>
        </row>
        <row r="923">
          <cell r="F923" t="str">
            <v>Desp. ADM e Venda</v>
          </cell>
          <cell r="L923">
            <v>3221657.7800000003</v>
          </cell>
        </row>
        <row r="924">
          <cell r="F924" t="str">
            <v>Desp. ADM e Venda</v>
          </cell>
          <cell r="L924">
            <v>0</v>
          </cell>
        </row>
        <row r="925">
          <cell r="F925" t="str">
            <v>Desp. ADM e Venda</v>
          </cell>
          <cell r="L925">
            <v>0</v>
          </cell>
        </row>
        <row r="926">
          <cell r="F926" t="str">
            <v>Desp. ADM e Venda</v>
          </cell>
          <cell r="L926">
            <v>8284896.3600000003</v>
          </cell>
        </row>
        <row r="927">
          <cell r="F927" t="str">
            <v>Desp. ADM e Venda</v>
          </cell>
          <cell r="L927">
            <v>9197727.6000000015</v>
          </cell>
        </row>
        <row r="928">
          <cell r="F928" t="str">
            <v>Desp. ADM e Venda</v>
          </cell>
          <cell r="L928">
            <v>7157576.5700000003</v>
          </cell>
        </row>
        <row r="929">
          <cell r="F929" t="str">
            <v>Desp. ADM e Venda</v>
          </cell>
          <cell r="L929">
            <v>0</v>
          </cell>
        </row>
        <row r="930">
          <cell r="F930" t="str">
            <v>Desp. ADM e Venda</v>
          </cell>
          <cell r="L930">
            <v>0</v>
          </cell>
        </row>
        <row r="931">
          <cell r="F931" t="str">
            <v>Desp. ADM e Venda</v>
          </cell>
          <cell r="L931">
            <v>0</v>
          </cell>
        </row>
        <row r="932">
          <cell r="F932" t="str">
            <v>Desp. ADM e Venda</v>
          </cell>
          <cell r="L932">
            <v>-10199030.199999999</v>
          </cell>
        </row>
        <row r="933">
          <cell r="F933" t="str">
            <v>Desp. ADM e Venda</v>
          </cell>
          <cell r="L933">
            <v>27532.05</v>
          </cell>
        </row>
        <row r="934">
          <cell r="F934" t="str">
            <v>Desp. ADM e Venda</v>
          </cell>
          <cell r="L934">
            <v>27107726.84</v>
          </cell>
        </row>
        <row r="935">
          <cell r="F935" t="str">
            <v>Desp. ADM e Venda</v>
          </cell>
          <cell r="L935">
            <v>2772077.65</v>
          </cell>
        </row>
        <row r="936">
          <cell r="F936" t="str">
            <v>Desp. ADM e Venda</v>
          </cell>
          <cell r="L936">
            <v>97273.36</v>
          </cell>
        </row>
        <row r="937">
          <cell r="F937" t="str">
            <v>Desp. ADM e Venda</v>
          </cell>
          <cell r="L937">
            <v>13692553.890000001</v>
          </cell>
        </row>
        <row r="938">
          <cell r="F938" t="str">
            <v>Desp. ADM e Venda</v>
          </cell>
          <cell r="L938">
            <v>106315.19</v>
          </cell>
        </row>
        <row r="939">
          <cell r="F939" t="str">
            <v>Desp. ADM e Venda</v>
          </cell>
          <cell r="L939">
            <v>0</v>
          </cell>
        </row>
        <row r="940">
          <cell r="F940" t="str">
            <v>Desp. ADM e Venda</v>
          </cell>
          <cell r="L940">
            <v>-92303271.290000007</v>
          </cell>
        </row>
        <row r="941">
          <cell r="F941" t="str">
            <v>Desp. ADM e Venda</v>
          </cell>
          <cell r="L941">
            <v>-18552.68</v>
          </cell>
        </row>
        <row r="942">
          <cell r="F942" t="str">
            <v>Desp. ADM e Venda</v>
          </cell>
          <cell r="L942">
            <v>-26797663.870000001</v>
          </cell>
        </row>
        <row r="943">
          <cell r="F943" t="str">
            <v>Desp. ADM e Venda</v>
          </cell>
          <cell r="L943">
            <v>-2921034.94</v>
          </cell>
        </row>
        <row r="944">
          <cell r="F944" t="str">
            <v>Desp. ADM e Venda</v>
          </cell>
          <cell r="L944">
            <v>-823635.78</v>
          </cell>
        </row>
        <row r="945">
          <cell r="F945" t="str">
            <v>Desp. ADM e Venda</v>
          </cell>
          <cell r="L945">
            <v>-2309681.25</v>
          </cell>
        </row>
        <row r="946">
          <cell r="F946" t="str">
            <v>Desp. ADM e Venda</v>
          </cell>
          <cell r="L946">
            <v>-105857.19</v>
          </cell>
        </row>
        <row r="947">
          <cell r="F947" t="str">
            <v>Desp. ADM e Venda</v>
          </cell>
          <cell r="L947">
            <v>231032.25</v>
          </cell>
        </row>
        <row r="948">
          <cell r="F948" t="str">
            <v>Desp. ADM e Venda</v>
          </cell>
          <cell r="L948">
            <v>12983845.539999999</v>
          </cell>
        </row>
        <row r="949">
          <cell r="F949" t="str">
            <v>Desp. ADM e Venda</v>
          </cell>
          <cell r="L949">
            <v>83425.899999999994</v>
          </cell>
        </row>
        <row r="950">
          <cell r="F950" t="str">
            <v>Desp. ADM e Venda</v>
          </cell>
          <cell r="L950">
            <v>-259090.06999999998</v>
          </cell>
        </row>
        <row r="951">
          <cell r="F951" t="str">
            <v>Desp. ADM e Venda</v>
          </cell>
          <cell r="L951">
            <v>-1193383.8499999999</v>
          </cell>
        </row>
        <row r="952">
          <cell r="F952" t="str">
            <v>Desp. ADM e Venda</v>
          </cell>
          <cell r="L952">
            <v>1477856.55</v>
          </cell>
        </row>
        <row r="953">
          <cell r="F953" t="str">
            <v>Desp. ADM e Venda</v>
          </cell>
          <cell r="L953">
            <v>141370.39000000001</v>
          </cell>
        </row>
        <row r="954">
          <cell r="F954" t="str">
            <v>Desp. ADM e Venda</v>
          </cell>
          <cell r="L954">
            <v>21586.71</v>
          </cell>
        </row>
        <row r="955">
          <cell r="F955" t="str">
            <v>Desp. ADM e Venda</v>
          </cell>
          <cell r="L955">
            <v>2331100.5999999996</v>
          </cell>
        </row>
        <row r="956">
          <cell r="F956" t="str">
            <v>Desp. ADM e Venda</v>
          </cell>
          <cell r="L956">
            <v>131722258.28999999</v>
          </cell>
        </row>
        <row r="957">
          <cell r="F957" t="str">
            <v>Desp. ADM e Venda</v>
          </cell>
          <cell r="L957">
            <v>502280.76999999996</v>
          </cell>
        </row>
        <row r="958">
          <cell r="F958" t="str">
            <v>Desp. ADM e Venda</v>
          </cell>
          <cell r="L958">
            <v>196841.31</v>
          </cell>
        </row>
        <row r="959">
          <cell r="F959" t="str">
            <v>Desp. ADM e Venda</v>
          </cell>
          <cell r="L959">
            <v>2470</v>
          </cell>
        </row>
        <row r="960">
          <cell r="F960" t="str">
            <v>Desp. ADM e Venda</v>
          </cell>
          <cell r="L960">
            <v>0</v>
          </cell>
        </row>
        <row r="961">
          <cell r="F961" t="str">
            <v>Desp. ADM e Venda</v>
          </cell>
          <cell r="L961">
            <v>-71215.37</v>
          </cell>
        </row>
        <row r="962">
          <cell r="F962" t="str">
            <v>Desp. ADM e Venda</v>
          </cell>
          <cell r="L962">
            <v>39821728.999999985</v>
          </cell>
        </row>
        <row r="963">
          <cell r="F963" t="str">
            <v>Desp. ADM e Venda</v>
          </cell>
          <cell r="L963">
            <v>10339.42</v>
          </cell>
        </row>
        <row r="964">
          <cell r="F964" t="str">
            <v>Desp. ADM e Venda</v>
          </cell>
          <cell r="L964">
            <v>299500</v>
          </cell>
        </row>
        <row r="965">
          <cell r="F965" t="str">
            <v>Desp. ADM e Venda</v>
          </cell>
          <cell r="L965">
            <v>20930</v>
          </cell>
        </row>
        <row r="966">
          <cell r="F966" t="str">
            <v>Desp. ADM e Venda</v>
          </cell>
          <cell r="L966">
            <v>0</v>
          </cell>
        </row>
        <row r="967">
          <cell r="F967" t="str">
            <v>Desp. ADM e Venda</v>
          </cell>
          <cell r="L967">
            <v>-1111947.1499999999</v>
          </cell>
        </row>
        <row r="968">
          <cell r="F968" t="str">
            <v>Desp. ADM e Venda</v>
          </cell>
          <cell r="L968">
            <v>-5125992.68</v>
          </cell>
        </row>
        <row r="969">
          <cell r="F969" t="str">
            <v>Desp. ADM e Venda</v>
          </cell>
          <cell r="L969">
            <v>1741219.6100000003</v>
          </cell>
        </row>
        <row r="970">
          <cell r="F970" t="str">
            <v>Desp. ADM e Venda</v>
          </cell>
          <cell r="L970">
            <v>11271225.51</v>
          </cell>
        </row>
        <row r="971">
          <cell r="F971" t="str">
            <v>Desp. ADM e Venda</v>
          </cell>
          <cell r="L971">
            <v>1008.55</v>
          </cell>
        </row>
        <row r="972">
          <cell r="F972" t="str">
            <v>Desp. ADM e Venda</v>
          </cell>
          <cell r="L972">
            <v>0</v>
          </cell>
        </row>
        <row r="973">
          <cell r="F973" t="str">
            <v>Desp. ADM e Venda</v>
          </cell>
          <cell r="L973">
            <v>46497.250000000007</v>
          </cell>
        </row>
        <row r="974">
          <cell r="F974" t="str">
            <v>Desp. ADM e Venda</v>
          </cell>
          <cell r="L974">
            <v>1558049.38</v>
          </cell>
        </row>
        <row r="975">
          <cell r="F975" t="str">
            <v>Desp. ADM e Venda</v>
          </cell>
          <cell r="L975">
            <v>305.76</v>
          </cell>
        </row>
        <row r="976">
          <cell r="F976" t="str">
            <v>Desp. ADM e Venda</v>
          </cell>
          <cell r="L976">
            <v>0</v>
          </cell>
        </row>
        <row r="977">
          <cell r="F977" t="str">
            <v>Desp. ADM e Venda</v>
          </cell>
          <cell r="L977">
            <v>1960180.74</v>
          </cell>
        </row>
        <row r="978">
          <cell r="F978" t="str">
            <v>Desp. ADM e Venda</v>
          </cell>
          <cell r="L978">
            <v>432604.61</v>
          </cell>
        </row>
        <row r="979">
          <cell r="F979" t="str">
            <v>Desp. ADM e Venda</v>
          </cell>
          <cell r="L979">
            <v>2311.15</v>
          </cell>
        </row>
        <row r="980">
          <cell r="F980" t="str">
            <v>Desp. ADM e Venda</v>
          </cell>
          <cell r="L980">
            <v>0</v>
          </cell>
        </row>
        <row r="981">
          <cell r="F981" t="str">
            <v>Desp. ADM e Venda</v>
          </cell>
          <cell r="L981">
            <v>0</v>
          </cell>
        </row>
        <row r="982">
          <cell r="F982" t="str">
            <v>Desp. ADM e Venda</v>
          </cell>
          <cell r="L982">
            <v>358488.36</v>
          </cell>
        </row>
        <row r="983">
          <cell r="F983" t="str">
            <v>Desp. ADM e Venda</v>
          </cell>
          <cell r="L983">
            <v>4397.7800000000007</v>
          </cell>
        </row>
        <row r="984">
          <cell r="F984" t="str">
            <v>Desp. ADM e Venda</v>
          </cell>
          <cell r="L984">
            <v>0</v>
          </cell>
        </row>
        <row r="985">
          <cell r="F985" t="str">
            <v>Desp. ADM e Venda</v>
          </cell>
          <cell r="L985">
            <v>-172609.01</v>
          </cell>
        </row>
        <row r="986">
          <cell r="F986" t="str">
            <v>Desp. ADM e Venda</v>
          </cell>
          <cell r="L986">
            <v>-795048.36</v>
          </cell>
        </row>
        <row r="987">
          <cell r="F987" t="str">
            <v>Desp. ADM e Venda</v>
          </cell>
          <cell r="L987">
            <v>1588339.0099999998</v>
          </cell>
        </row>
        <row r="988">
          <cell r="F988" t="str">
            <v>Desp. ADM e Venda</v>
          </cell>
          <cell r="L988">
            <v>2417729.66</v>
          </cell>
        </row>
        <row r="989">
          <cell r="F989" t="str">
            <v>Desp. ADM e Venda</v>
          </cell>
          <cell r="L989">
            <v>206820.83</v>
          </cell>
        </row>
        <row r="990">
          <cell r="F990" t="str">
            <v>Desp. ADM e Venda</v>
          </cell>
          <cell r="L990">
            <v>8401497.5600000005</v>
          </cell>
        </row>
        <row r="991">
          <cell r="F991" t="str">
            <v>Desp. ADM e Venda</v>
          </cell>
          <cell r="L991">
            <v>1082486.73</v>
          </cell>
        </row>
        <row r="992">
          <cell r="F992" t="str">
            <v>Desp. ADM e Venda</v>
          </cell>
          <cell r="L992">
            <v>1764389.7199999997</v>
          </cell>
        </row>
        <row r="993">
          <cell r="F993" t="str">
            <v>Desp. ADM e Venda</v>
          </cell>
          <cell r="L993">
            <v>356982.77</v>
          </cell>
        </row>
        <row r="994">
          <cell r="F994" t="str">
            <v>Desp. ADM e Venda</v>
          </cell>
          <cell r="L994">
            <v>5099.21</v>
          </cell>
        </row>
        <row r="995">
          <cell r="F995" t="str">
            <v>Desp. ADM e Venda</v>
          </cell>
          <cell r="L995">
            <v>-37066.04</v>
          </cell>
        </row>
        <row r="996">
          <cell r="F996" t="str">
            <v>Desp. ADM e Venda</v>
          </cell>
          <cell r="L996">
            <v>-170728.58</v>
          </cell>
        </row>
        <row r="997">
          <cell r="F997" t="str">
            <v>Desp. ADM e Venda</v>
          </cell>
          <cell r="L997">
            <v>0</v>
          </cell>
        </row>
        <row r="998">
          <cell r="F998" t="str">
            <v>Desp. ADM e Venda</v>
          </cell>
          <cell r="L998">
            <v>0</v>
          </cell>
        </row>
        <row r="999">
          <cell r="F999" t="str">
            <v>Desp. ADM e Venda</v>
          </cell>
          <cell r="L999">
            <v>0</v>
          </cell>
        </row>
        <row r="1000">
          <cell r="F1000" t="str">
            <v>Desp. ADM e Venda</v>
          </cell>
          <cell r="L1000">
            <v>0</v>
          </cell>
        </row>
        <row r="1001">
          <cell r="F1001" t="str">
            <v>Desp. ADM e Venda</v>
          </cell>
          <cell r="L1001">
            <v>0</v>
          </cell>
        </row>
        <row r="1002">
          <cell r="F1002" t="str">
            <v>Desp. ADM e Venda</v>
          </cell>
          <cell r="L1002">
            <v>1438349.26</v>
          </cell>
        </row>
        <row r="1003">
          <cell r="F1003" t="str">
            <v>Desp. ADM e Venda</v>
          </cell>
          <cell r="L1003">
            <v>0</v>
          </cell>
        </row>
        <row r="1004">
          <cell r="F1004" t="str">
            <v>Desp. ADM e Venda</v>
          </cell>
          <cell r="L1004">
            <v>1348903.0599999998</v>
          </cell>
        </row>
        <row r="1005">
          <cell r="F1005" t="str">
            <v>Desp. ADM e Venda</v>
          </cell>
          <cell r="L1005">
            <v>0</v>
          </cell>
        </row>
        <row r="1006">
          <cell r="F1006" t="str">
            <v>Desp. ADM e Venda</v>
          </cell>
          <cell r="L1006">
            <v>0</v>
          </cell>
        </row>
        <row r="1007">
          <cell r="F1007" t="str">
            <v>Desp. ADM e Venda</v>
          </cell>
          <cell r="L1007">
            <v>0</v>
          </cell>
        </row>
        <row r="1008">
          <cell r="F1008" t="str">
            <v>Desp. ADM e Venda</v>
          </cell>
          <cell r="L1008">
            <v>2402543.79</v>
          </cell>
        </row>
        <row r="1009">
          <cell r="F1009" t="str">
            <v>Desp. ADM e Venda</v>
          </cell>
          <cell r="L1009">
            <v>1067445.48</v>
          </cell>
        </row>
        <row r="1010">
          <cell r="F1010" t="str">
            <v>Desp. ADM e Venda</v>
          </cell>
          <cell r="L1010">
            <v>1504599.9099999997</v>
          </cell>
        </row>
        <row r="1011">
          <cell r="F1011" t="str">
            <v>Desp. ADM e Venda</v>
          </cell>
          <cell r="L1011">
            <v>28629.239999999998</v>
          </cell>
        </row>
        <row r="1012">
          <cell r="F1012" t="str">
            <v>Desp. ADM e Venda</v>
          </cell>
          <cell r="L1012">
            <v>35262496.850000001</v>
          </cell>
        </row>
        <row r="1013">
          <cell r="F1013" t="str">
            <v>Desp. ADM e Venda</v>
          </cell>
          <cell r="L1013">
            <v>1974058.82</v>
          </cell>
        </row>
        <row r="1014">
          <cell r="F1014" t="str">
            <v>Desp. ADM e Venda</v>
          </cell>
          <cell r="L1014">
            <v>915529.62</v>
          </cell>
        </row>
        <row r="1015">
          <cell r="F1015" t="str">
            <v>Desp. ADM e Venda</v>
          </cell>
          <cell r="L1015">
            <v>24948.49</v>
          </cell>
        </row>
        <row r="1016">
          <cell r="F1016" t="str">
            <v>Desp. ADM e Venda</v>
          </cell>
          <cell r="L1016">
            <v>-21022.57</v>
          </cell>
        </row>
        <row r="1017">
          <cell r="F1017" t="str">
            <v>Desp. ADM e Venda</v>
          </cell>
          <cell r="L1017">
            <v>-96830.99</v>
          </cell>
        </row>
        <row r="1018">
          <cell r="F1018" t="str">
            <v>Desp. ADM e Venda</v>
          </cell>
          <cell r="L1018">
            <v>771808.07</v>
          </cell>
        </row>
        <row r="1019">
          <cell r="F1019" t="str">
            <v>Desp. ADM e Venda</v>
          </cell>
          <cell r="L1019">
            <v>3480295.0500000003</v>
          </cell>
        </row>
        <row r="1020">
          <cell r="F1020" t="str">
            <v>Desp. ADM e Venda</v>
          </cell>
          <cell r="L1020">
            <v>2898466.09</v>
          </cell>
        </row>
        <row r="1021">
          <cell r="F1021" t="str">
            <v>Desp. ADM e Venda</v>
          </cell>
          <cell r="L1021">
            <v>-1969456.43</v>
          </cell>
        </row>
        <row r="1022">
          <cell r="F1022" t="str">
            <v>Desp. ADM e Venda</v>
          </cell>
          <cell r="L1022">
            <v>-67116.23</v>
          </cell>
        </row>
        <row r="1023">
          <cell r="F1023" t="str">
            <v>Desp. ADM e Venda</v>
          </cell>
          <cell r="L1023">
            <v>-188443.43</v>
          </cell>
        </row>
        <row r="1024">
          <cell r="F1024" t="str">
            <v>Desp. ADM e Venda</v>
          </cell>
          <cell r="L1024">
            <v>0</v>
          </cell>
        </row>
        <row r="1025">
          <cell r="F1025" t="str">
            <v>Desp. ADM e Venda</v>
          </cell>
          <cell r="L1025">
            <v>0</v>
          </cell>
        </row>
        <row r="1026">
          <cell r="F1026" t="str">
            <v>Desp. ADM e Venda</v>
          </cell>
          <cell r="L1026">
            <v>1945369.74</v>
          </cell>
        </row>
        <row r="1027">
          <cell r="F1027" t="str">
            <v>Desp. ADM e Venda</v>
          </cell>
          <cell r="L1027">
            <v>5986.5</v>
          </cell>
        </row>
        <row r="1028">
          <cell r="F1028" t="str">
            <v>Desp. ADM e Venda</v>
          </cell>
          <cell r="L1028">
            <v>682463.1</v>
          </cell>
        </row>
        <row r="1029">
          <cell r="F1029" t="str">
            <v>Desp. ADM e Venda</v>
          </cell>
          <cell r="L1029">
            <v>7435.6</v>
          </cell>
        </row>
        <row r="1030">
          <cell r="F1030" t="str">
            <v>Desp. ADM e Venda</v>
          </cell>
          <cell r="L1030">
            <v>696359.29999999993</v>
          </cell>
        </row>
        <row r="1031">
          <cell r="F1031" t="str">
            <v>Desp. ADM e Venda</v>
          </cell>
          <cell r="L1031">
            <v>11667.949999999997</v>
          </cell>
        </row>
        <row r="1032">
          <cell r="F1032" t="str">
            <v>Desp. ADM e Venda</v>
          </cell>
          <cell r="L1032">
            <v>7084.94</v>
          </cell>
        </row>
        <row r="1033">
          <cell r="F1033" t="str">
            <v>Desp. ADM e Venda</v>
          </cell>
          <cell r="L1033">
            <v>-9603.98</v>
          </cell>
        </row>
        <row r="1034">
          <cell r="F1034" t="str">
            <v>Desp. ADM e Venda</v>
          </cell>
          <cell r="L1034">
            <v>-44236.62</v>
          </cell>
        </row>
        <row r="1035">
          <cell r="F1035" t="str">
            <v>Desp. ADM e Venda</v>
          </cell>
          <cell r="L1035">
            <v>885384.28</v>
          </cell>
        </row>
        <row r="1036">
          <cell r="F1036" t="str">
            <v>Desp. ADM e Venda</v>
          </cell>
          <cell r="L1036">
            <v>12332.33</v>
          </cell>
        </row>
        <row r="1037">
          <cell r="F1037" t="str">
            <v>Desp. ADM e Venda</v>
          </cell>
          <cell r="L1037">
            <v>1288690.3700000001</v>
          </cell>
        </row>
        <row r="1038">
          <cell r="F1038" t="str">
            <v>Desp. ADM e Venda</v>
          </cell>
          <cell r="L1038">
            <v>27871.119999999999</v>
          </cell>
        </row>
        <row r="1039">
          <cell r="F1039" t="str">
            <v>Desp. ADM e Venda</v>
          </cell>
          <cell r="L1039">
            <v>0</v>
          </cell>
        </row>
        <row r="1040">
          <cell r="F1040" t="str">
            <v>Desp. ADM e Venda</v>
          </cell>
          <cell r="L1040">
            <v>-659052.45000000019</v>
          </cell>
        </row>
        <row r="1041">
          <cell r="F1041" t="str">
            <v>Desp. ADM e Venda</v>
          </cell>
          <cell r="L1041">
            <v>19648023.039999984</v>
          </cell>
        </row>
        <row r="1042">
          <cell r="F1042" t="str">
            <v>Desp. ADM e Venda</v>
          </cell>
          <cell r="L1042">
            <v>636356.71</v>
          </cell>
        </row>
        <row r="1043">
          <cell r="F1043" t="str">
            <v>Desp. ADM e Venda</v>
          </cell>
          <cell r="L1043">
            <v>0</v>
          </cell>
        </row>
        <row r="1044">
          <cell r="F1044" t="str">
            <v>Desp. ADM e Venda</v>
          </cell>
          <cell r="L1044">
            <v>110151.67000000001</v>
          </cell>
        </row>
        <row r="1045">
          <cell r="F1045" t="str">
            <v>Desp. ADM e Venda</v>
          </cell>
          <cell r="L1045">
            <v>3560299.3000000026</v>
          </cell>
        </row>
        <row r="1046">
          <cell r="F1046" t="str">
            <v>Desp. ADM e Venda</v>
          </cell>
          <cell r="L1046">
            <v>0</v>
          </cell>
        </row>
        <row r="1047">
          <cell r="F1047" t="str">
            <v>Desp. ADM e Venda</v>
          </cell>
          <cell r="L1047">
            <v>0</v>
          </cell>
        </row>
        <row r="1048">
          <cell r="F1048" t="str">
            <v>Desp. ADM e Venda</v>
          </cell>
          <cell r="L1048">
            <v>98824945.690000072</v>
          </cell>
        </row>
        <row r="1049">
          <cell r="F1049" t="str">
            <v>Desp. ADM e Venda</v>
          </cell>
          <cell r="L1049">
            <v>470428.5</v>
          </cell>
        </row>
        <row r="1050">
          <cell r="F1050" t="str">
            <v>Desp. ADM e Venda</v>
          </cell>
          <cell r="L1050">
            <v>2739988.6199999996</v>
          </cell>
        </row>
        <row r="1051">
          <cell r="F1051" t="str">
            <v>Desp. ADM e Venda</v>
          </cell>
          <cell r="L1051">
            <v>13718.73</v>
          </cell>
        </row>
        <row r="1052">
          <cell r="F1052" t="str">
            <v>Desp. ADM e Venda</v>
          </cell>
          <cell r="L1052">
            <v>754225.49</v>
          </cell>
        </row>
        <row r="1053">
          <cell r="F1053" t="str">
            <v>Desp. ADM e Venda</v>
          </cell>
          <cell r="L1053">
            <v>523741.21</v>
          </cell>
        </row>
        <row r="1054">
          <cell r="F1054" t="str">
            <v>Desp. ADM e Venda</v>
          </cell>
          <cell r="L1054">
            <v>4953490.41</v>
          </cell>
        </row>
        <row r="1055">
          <cell r="F1055" t="str">
            <v>Desp. ADM e Venda</v>
          </cell>
          <cell r="L1055">
            <v>991441.03</v>
          </cell>
        </row>
        <row r="1056">
          <cell r="F1056" t="str">
            <v>Desp. ADM e Venda</v>
          </cell>
          <cell r="L1056">
            <v>8596640.3599999994</v>
          </cell>
        </row>
        <row r="1057">
          <cell r="F1057" t="str">
            <v>Desp. ADM e Venda</v>
          </cell>
          <cell r="L1057">
            <v>15996016.900000002</v>
          </cell>
        </row>
        <row r="1058">
          <cell r="F1058" t="str">
            <v>Desp. ADM e Venda</v>
          </cell>
          <cell r="L1058">
            <v>146155.09</v>
          </cell>
        </row>
        <row r="1059">
          <cell r="F1059" t="str">
            <v>Desp. ADM e Venda</v>
          </cell>
          <cell r="L1059">
            <v>158840.58000000002</v>
          </cell>
        </row>
        <row r="1060">
          <cell r="F1060" t="str">
            <v>Desp. ADM e Venda</v>
          </cell>
          <cell r="L1060">
            <v>0</v>
          </cell>
        </row>
        <row r="1061">
          <cell r="F1061" t="str">
            <v>Desp. ADM e Venda</v>
          </cell>
          <cell r="L1061">
            <v>102515.72</v>
          </cell>
        </row>
        <row r="1062">
          <cell r="F1062" t="str">
            <v>Desp. ADM e Venda</v>
          </cell>
          <cell r="L1062">
            <v>1133931.1799999713</v>
          </cell>
        </row>
        <row r="1063">
          <cell r="F1063" t="str">
            <v>Desp. ADM e Venda</v>
          </cell>
          <cell r="L1063">
            <v>0</v>
          </cell>
        </row>
        <row r="1064">
          <cell r="F1064" t="str">
            <v>Desp. ADM e Venda</v>
          </cell>
          <cell r="L1064">
            <v>7613810.9399999995</v>
          </cell>
        </row>
        <row r="1065">
          <cell r="F1065" t="str">
            <v>Desp. ADM e Venda</v>
          </cell>
          <cell r="L1065">
            <v>2607836.7000000002</v>
          </cell>
        </row>
        <row r="1066">
          <cell r="F1066" t="str">
            <v>Desp. ADM e Venda</v>
          </cell>
          <cell r="L1066">
            <v>-7869703.2599999998</v>
          </cell>
        </row>
        <row r="1067">
          <cell r="F1067" t="str">
            <v>Desp. ADM e Venda</v>
          </cell>
          <cell r="L1067">
            <v>-76779.83</v>
          </cell>
        </row>
        <row r="1068">
          <cell r="F1068" t="str">
            <v>Desp. ADM e Venda</v>
          </cell>
          <cell r="L1068">
            <v>-353652.58</v>
          </cell>
        </row>
        <row r="1069">
          <cell r="F1069" t="str">
            <v>Desp. ADM e Venda</v>
          </cell>
          <cell r="L1069">
            <v>-51593.58</v>
          </cell>
        </row>
        <row r="1070">
          <cell r="F1070" t="str">
            <v>Desp. ADM e Venda</v>
          </cell>
          <cell r="L1070">
            <v>-237643.11</v>
          </cell>
        </row>
        <row r="1071">
          <cell r="F1071" t="str">
            <v>Desp. ADM e Venda</v>
          </cell>
          <cell r="L1071">
            <v>0</v>
          </cell>
        </row>
        <row r="1072">
          <cell r="F1072" t="str">
            <v>Desp. ADM e Venda</v>
          </cell>
          <cell r="L1072">
            <v>441783.93000000005</v>
          </cell>
        </row>
        <row r="1073">
          <cell r="F1073" t="str">
            <v>Desp. ADM e Venda</v>
          </cell>
          <cell r="L1073">
            <v>0</v>
          </cell>
        </row>
        <row r="1074">
          <cell r="F1074" t="str">
            <v>Desp. ADM e Venda</v>
          </cell>
          <cell r="L1074">
            <v>0</v>
          </cell>
        </row>
        <row r="1075">
          <cell r="F1075" t="str">
            <v>Desp. ADM e Venda</v>
          </cell>
          <cell r="L1075">
            <v>0</v>
          </cell>
        </row>
        <row r="1076">
          <cell r="F1076" t="str">
            <v>Desp. ADM e Venda</v>
          </cell>
          <cell r="L1076">
            <v>0</v>
          </cell>
        </row>
        <row r="1077">
          <cell r="F1077" t="str">
            <v>Desp. ADM e Venda</v>
          </cell>
          <cell r="L1077">
            <v>0</v>
          </cell>
        </row>
        <row r="1078">
          <cell r="F1078" t="str">
            <v>Desp. ADM e Venda</v>
          </cell>
          <cell r="L1078">
            <v>0</v>
          </cell>
        </row>
        <row r="1079">
          <cell r="F1079" t="str">
            <v>Desp. ADM e Venda</v>
          </cell>
          <cell r="L1079">
            <v>0</v>
          </cell>
        </row>
        <row r="1080">
          <cell r="F1080" t="str">
            <v>Desp. ADM e Venda</v>
          </cell>
          <cell r="L1080">
            <v>0</v>
          </cell>
        </row>
        <row r="1081">
          <cell r="F1081" t="str">
            <v>Desp. ADM e Venda</v>
          </cell>
          <cell r="L1081">
            <v>6414793.8700000001</v>
          </cell>
        </row>
        <row r="1082">
          <cell r="F1082" t="str">
            <v>Desp. ADM e Venda</v>
          </cell>
          <cell r="L1082">
            <v>-85171.22</v>
          </cell>
        </row>
        <row r="1083">
          <cell r="F1083" t="str">
            <v>Desp. ADM e Venda</v>
          </cell>
          <cell r="L1083">
            <v>-392303.8</v>
          </cell>
        </row>
        <row r="1084">
          <cell r="F1084" t="str">
            <v>Desp. ADM e Venda</v>
          </cell>
          <cell r="L1084">
            <v>8097085.6299999906</v>
          </cell>
        </row>
        <row r="1085">
          <cell r="F1085" t="str">
            <v>Desp. ADM e Venda</v>
          </cell>
          <cell r="L1085">
            <v>480173.73</v>
          </cell>
        </row>
        <row r="1086">
          <cell r="F1086" t="str">
            <v>Desp. ADM e Venda</v>
          </cell>
          <cell r="L1086">
            <v>0</v>
          </cell>
        </row>
        <row r="1087">
          <cell r="F1087" t="str">
            <v>Desp. ADM e Venda</v>
          </cell>
          <cell r="L1087">
            <v>0</v>
          </cell>
        </row>
        <row r="1088">
          <cell r="F1088" t="str">
            <v>Desp. ADM e Venda</v>
          </cell>
          <cell r="L1088">
            <v>-31974.92</v>
          </cell>
        </row>
        <row r="1089">
          <cell r="F1089" t="str">
            <v>Desp. ADM e Venda</v>
          </cell>
          <cell r="L1089">
            <v>-141940.66</v>
          </cell>
        </row>
        <row r="1090">
          <cell r="F1090" t="str">
            <v>Desp. ADM e Venda</v>
          </cell>
          <cell r="L1090">
            <v>0</v>
          </cell>
        </row>
        <row r="1091">
          <cell r="F1091" t="str">
            <v>Desp. ADM e Venda</v>
          </cell>
          <cell r="L1091">
            <v>104244.36</v>
          </cell>
        </row>
        <row r="1092">
          <cell r="F1092" t="str">
            <v>Desp. ADM e Venda</v>
          </cell>
          <cell r="L1092">
            <v>244500.24</v>
          </cell>
        </row>
        <row r="1093">
          <cell r="F1093" t="str">
            <v>Desp. ADM e Venda</v>
          </cell>
          <cell r="L1093">
            <v>27650713.90000001</v>
          </cell>
        </row>
        <row r="1094">
          <cell r="F1094" t="str">
            <v>Desp. ADM e Venda</v>
          </cell>
          <cell r="L1094">
            <v>0</v>
          </cell>
        </row>
        <row r="1095">
          <cell r="F1095" t="str">
            <v>Desp. ADM e Venda</v>
          </cell>
          <cell r="L1095">
            <v>0</v>
          </cell>
        </row>
        <row r="1096">
          <cell r="F1096" t="str">
            <v>Desp. ADM e Venda</v>
          </cell>
          <cell r="L1096">
            <v>0</v>
          </cell>
        </row>
        <row r="1097">
          <cell r="F1097" t="str">
            <v>Desp. ADM e Venda</v>
          </cell>
          <cell r="L1097">
            <v>0</v>
          </cell>
        </row>
        <row r="1098">
          <cell r="F1098" t="str">
            <v>Desp. ADM e Venda</v>
          </cell>
          <cell r="L1098">
            <v>0</v>
          </cell>
        </row>
        <row r="1099">
          <cell r="F1099" t="str">
            <v>Desp. ADM e Venda</v>
          </cell>
          <cell r="L1099">
            <v>43813.35</v>
          </cell>
        </row>
        <row r="1100">
          <cell r="F1100" t="str">
            <v>Desp. ADM e Venda</v>
          </cell>
          <cell r="L1100">
            <v>6934.57</v>
          </cell>
        </row>
        <row r="1101">
          <cell r="F1101" t="str">
            <v>Desp. ADM e Venda</v>
          </cell>
          <cell r="L1101">
            <v>31935.83</v>
          </cell>
        </row>
        <row r="1102">
          <cell r="F1102" t="str">
            <v>Desp. ADM e Venda</v>
          </cell>
          <cell r="L1102">
            <v>0</v>
          </cell>
        </row>
        <row r="1103">
          <cell r="F1103" t="str">
            <v>Desp. ADM e Venda</v>
          </cell>
          <cell r="L1103">
            <v>0</v>
          </cell>
        </row>
        <row r="1104">
          <cell r="F1104" t="str">
            <v>Desp. ADM e Venda</v>
          </cell>
          <cell r="L1104">
            <v>0</v>
          </cell>
        </row>
        <row r="1105">
          <cell r="F1105" t="str">
            <v>Desp. ADM e Venda</v>
          </cell>
          <cell r="L1105">
            <v>-2771055.23</v>
          </cell>
        </row>
        <row r="1106">
          <cell r="F1106" t="str">
            <v>Desp. ADM e Venda</v>
          </cell>
          <cell r="L1106">
            <v>0</v>
          </cell>
        </row>
        <row r="1107">
          <cell r="F1107" t="str">
            <v>Desp. ADM e Venda</v>
          </cell>
          <cell r="L1107">
            <v>1029069.64</v>
          </cell>
        </row>
        <row r="1108">
          <cell r="F1108" t="str">
            <v>Desp. ADM e Venda</v>
          </cell>
          <cell r="L1108">
            <v>32548586.049999993</v>
          </cell>
        </row>
        <row r="1109">
          <cell r="F1109" t="str">
            <v>Desp. ADM e Venda</v>
          </cell>
          <cell r="L1109">
            <v>2904070.51</v>
          </cell>
        </row>
        <row r="1110">
          <cell r="F1110" t="str">
            <v>Desp. ADM e Venda</v>
          </cell>
          <cell r="L1110">
            <v>0</v>
          </cell>
        </row>
        <row r="1111">
          <cell r="F1111" t="str">
            <v>Desp. ADM e Venda</v>
          </cell>
          <cell r="L1111">
            <v>-409441.24</v>
          </cell>
        </row>
        <row r="1112">
          <cell r="F1112" t="str">
            <v>Desp. ADM e Venda</v>
          </cell>
          <cell r="L1112">
            <v>-1885763.4</v>
          </cell>
        </row>
        <row r="1113">
          <cell r="F1113" t="str">
            <v>Desp. ADM e Venda</v>
          </cell>
          <cell r="L1113">
            <v>798753.5</v>
          </cell>
        </row>
        <row r="1114">
          <cell r="F1114" t="str">
            <v>Desp. ADM e Venda</v>
          </cell>
          <cell r="L1114">
            <v>2937101.3699999996</v>
          </cell>
        </row>
        <row r="1115">
          <cell r="F1115" t="str">
            <v>Desp. ADM e Venda</v>
          </cell>
          <cell r="L1115">
            <v>258743.84999999998</v>
          </cell>
        </row>
        <row r="1116">
          <cell r="F1116" t="str">
            <v>Desp. ADM e Venda</v>
          </cell>
          <cell r="L1116">
            <v>-302.49999999999994</v>
          </cell>
        </row>
        <row r="1117">
          <cell r="F1117" t="str">
            <v>Desp. ADM e Venda</v>
          </cell>
          <cell r="L1117">
            <v>682225.42</v>
          </cell>
        </row>
        <row r="1118">
          <cell r="F1118" t="str">
            <v>Desp. ADM e Venda</v>
          </cell>
          <cell r="L1118">
            <v>0</v>
          </cell>
        </row>
        <row r="1119">
          <cell r="F1119" t="str">
            <v>Desp. ADM e Venda</v>
          </cell>
          <cell r="L1119">
            <v>529124.30999999994</v>
          </cell>
        </row>
        <row r="1120">
          <cell r="F1120" t="str">
            <v>Desp. ADM e Venda</v>
          </cell>
          <cell r="L1120">
            <v>0</v>
          </cell>
        </row>
        <row r="1121">
          <cell r="F1121" t="str">
            <v>Desp. ADM e Venda</v>
          </cell>
          <cell r="L1121">
            <v>0</v>
          </cell>
        </row>
        <row r="1122">
          <cell r="F1122" t="str">
            <v>Desp. ADM e Venda</v>
          </cell>
          <cell r="L1122">
            <v>1154220.7900000003</v>
          </cell>
        </row>
        <row r="1123">
          <cell r="F1123" t="str">
            <v>Desp. ADM e Venda</v>
          </cell>
          <cell r="L1123">
            <v>19205728.560000002</v>
          </cell>
        </row>
        <row r="1124">
          <cell r="F1124" t="str">
            <v>Desp. ADM e Venda</v>
          </cell>
          <cell r="L1124">
            <v>1011886.69</v>
          </cell>
        </row>
        <row r="1125">
          <cell r="F1125" t="str">
            <v>Desp. ADM e Venda</v>
          </cell>
          <cell r="L1125">
            <v>299509.5</v>
          </cell>
        </row>
        <row r="1126">
          <cell r="F1126" t="str">
            <v>Desp. ADM e Venda</v>
          </cell>
          <cell r="L1126">
            <v>0</v>
          </cell>
        </row>
        <row r="1127">
          <cell r="F1127" t="str">
            <v>Perda (reversão) por redução ao valor recuperável de contas a receber</v>
          </cell>
          <cell r="L1127">
            <v>-81932.06000000007</v>
          </cell>
        </row>
        <row r="1128">
          <cell r="F1128" t="str">
            <v>Desp. ADM e Venda</v>
          </cell>
          <cell r="L1128">
            <v>116306.64</v>
          </cell>
        </row>
        <row r="1129">
          <cell r="F1129" t="str">
            <v>Desp. ADM e Venda</v>
          </cell>
          <cell r="L1129">
            <v>0</v>
          </cell>
        </row>
        <row r="1130">
          <cell r="F1130" t="str">
            <v>Desp. ADM e Venda</v>
          </cell>
          <cell r="L1130">
            <v>27488.1</v>
          </cell>
        </row>
        <row r="1131">
          <cell r="F1131" t="str">
            <v>Desp. ADM e Venda</v>
          </cell>
          <cell r="L1131">
            <v>960</v>
          </cell>
        </row>
        <row r="1132">
          <cell r="F1132" t="str">
            <v>Desp. ADM e Venda</v>
          </cell>
          <cell r="L1132">
            <v>0</v>
          </cell>
        </row>
        <row r="1133">
          <cell r="F1133" t="str">
            <v>Desp. ADM e Venda</v>
          </cell>
          <cell r="L1133">
            <v>0</v>
          </cell>
        </row>
        <row r="1134">
          <cell r="F1134" t="str">
            <v>Desp. ADM e Venda</v>
          </cell>
          <cell r="L1134">
            <v>-2998777.8299999996</v>
          </cell>
        </row>
        <row r="1135">
          <cell r="F1135" t="str">
            <v>Desp. ADM e Venda</v>
          </cell>
          <cell r="L1135">
            <v>-180966.23000000004</v>
          </cell>
        </row>
        <row r="1136">
          <cell r="F1136" t="str">
            <v>Desp. ADM e Venda</v>
          </cell>
          <cell r="L1136">
            <v>0</v>
          </cell>
        </row>
        <row r="1137">
          <cell r="F1137" t="str">
            <v>Desp. ADM e Venda</v>
          </cell>
          <cell r="L1137">
            <v>-351516.73</v>
          </cell>
        </row>
        <row r="1138">
          <cell r="F1138" t="str">
            <v>Desp. ADM e Venda</v>
          </cell>
          <cell r="L1138">
            <v>0</v>
          </cell>
        </row>
        <row r="1139">
          <cell r="F1139" t="str">
            <v>Desp. ADM e Venda</v>
          </cell>
          <cell r="L1139">
            <v>0</v>
          </cell>
        </row>
        <row r="1140">
          <cell r="F1140" t="str">
            <v>Desp. ADM e Venda</v>
          </cell>
          <cell r="L1140">
            <v>29517911.469999999</v>
          </cell>
        </row>
        <row r="1141">
          <cell r="F1141" t="str">
            <v>Desp. ADM e Venda</v>
          </cell>
          <cell r="L1141">
            <v>425922.25</v>
          </cell>
        </row>
        <row r="1142">
          <cell r="F1142" t="str">
            <v>Desp. ADM e Venda</v>
          </cell>
          <cell r="L1142">
            <v>8083355.0300000003</v>
          </cell>
        </row>
        <row r="1143">
          <cell r="F1143" t="str">
            <v>Desp. ADM e Venda</v>
          </cell>
          <cell r="L1143">
            <v>28312105.759999998</v>
          </cell>
        </row>
        <row r="1144">
          <cell r="F1144" t="str">
            <v>Desp. ADM e Venda</v>
          </cell>
          <cell r="L1144">
            <v>1056700.74</v>
          </cell>
        </row>
        <row r="1145">
          <cell r="F1145" t="str">
            <v>Desp. ADM e Venda</v>
          </cell>
          <cell r="L1145">
            <v>100850100.19000001</v>
          </cell>
        </row>
        <row r="1146">
          <cell r="F1146" t="str">
            <v>Desp. ADM e Venda</v>
          </cell>
          <cell r="L1146">
            <v>134838093.85999998</v>
          </cell>
        </row>
        <row r="1147">
          <cell r="F1147" t="str">
            <v>Desp. ADM e Venda</v>
          </cell>
          <cell r="L1147">
            <v>-134838093.85999998</v>
          </cell>
        </row>
        <row r="1148">
          <cell r="F1148" t="str">
            <v>Desp. ADM e Venda</v>
          </cell>
          <cell r="L1148">
            <v>-1505395.26</v>
          </cell>
        </row>
        <row r="1149">
          <cell r="F1149" t="str">
            <v>Desp. ADM e Venda</v>
          </cell>
          <cell r="L1149">
            <v>-6958464.7699999996</v>
          </cell>
        </row>
        <row r="1150">
          <cell r="F1150" t="str">
            <v>Desp. ADM e Venda</v>
          </cell>
          <cell r="L1150">
            <v>6397020.2400000002</v>
          </cell>
        </row>
        <row r="1151">
          <cell r="F1151" t="str">
            <v>Desp. ADM e Venda</v>
          </cell>
          <cell r="L1151">
            <v>2160427.0299999998</v>
          </cell>
        </row>
        <row r="1152">
          <cell r="F1152" t="str">
            <v>Desp. ADM e Venda</v>
          </cell>
          <cell r="L1152">
            <v>2006112.06</v>
          </cell>
        </row>
        <row r="1153">
          <cell r="F1153" t="str">
            <v>Desp. ADM e Venda</v>
          </cell>
          <cell r="L1153">
            <v>-85735.14</v>
          </cell>
        </row>
        <row r="1154">
          <cell r="F1154" t="str">
            <v>Desp. ADM e Venda</v>
          </cell>
          <cell r="L1154">
            <v>-394901.29000000004</v>
          </cell>
        </row>
        <row r="1155">
          <cell r="F1155" t="str">
            <v xml:space="preserve">Outras (despesas) receitas operacionais liquidas </v>
          </cell>
          <cell r="L1155">
            <v>0</v>
          </cell>
        </row>
        <row r="1156">
          <cell r="F1156" t="str">
            <v xml:space="preserve">Outras (despesas) receitas operacionais liquidas </v>
          </cell>
          <cell r="L1156">
            <v>0</v>
          </cell>
        </row>
        <row r="1157">
          <cell r="F1157" t="str">
            <v xml:space="preserve">Outras (despesas) receitas operacionais liquidas </v>
          </cell>
          <cell r="L1157">
            <v>0</v>
          </cell>
        </row>
        <row r="1158">
          <cell r="F1158" t="str">
            <v xml:space="preserve">Outras (despesas) receitas operacionais liquidas </v>
          </cell>
          <cell r="L1158">
            <v>0</v>
          </cell>
        </row>
        <row r="1159">
          <cell r="F1159" t="str">
            <v xml:space="preserve">Outras (despesas) receitas operacionais liquidas </v>
          </cell>
          <cell r="L1159">
            <v>0</v>
          </cell>
        </row>
        <row r="1160">
          <cell r="F1160" t="str">
            <v xml:space="preserve">Outras (despesas) receitas operacionais liquidas </v>
          </cell>
          <cell r="L1160">
            <v>0</v>
          </cell>
        </row>
        <row r="1161">
          <cell r="F1161" t="str">
            <v xml:space="preserve">Outras (despesas) receitas operacionais liquidas </v>
          </cell>
          <cell r="L1161">
            <v>0</v>
          </cell>
        </row>
        <row r="1162">
          <cell r="F1162" t="str">
            <v xml:space="preserve">Outras (despesas) receitas operacionais liquidas </v>
          </cell>
          <cell r="L1162">
            <v>0</v>
          </cell>
        </row>
        <row r="1163">
          <cell r="F1163" t="str">
            <v xml:space="preserve">Outras (despesas) receitas operacionais liquidas </v>
          </cell>
          <cell r="L1163">
            <v>-45458.85</v>
          </cell>
        </row>
        <row r="1164">
          <cell r="F1164" t="str">
            <v xml:space="preserve">Outras (despesas) receitas operacionais liquidas </v>
          </cell>
          <cell r="L1164">
            <v>-4357211.2600000007</v>
          </cell>
        </row>
        <row r="1165">
          <cell r="F1165" t="str">
            <v xml:space="preserve">Outras (despesas) receitas operacionais liquidas </v>
          </cell>
          <cell r="L1165">
            <v>83.45</v>
          </cell>
        </row>
        <row r="1166">
          <cell r="F1166" t="str">
            <v xml:space="preserve">Outras (despesas) receitas operacionais liquidas </v>
          </cell>
          <cell r="L1166">
            <v>0</v>
          </cell>
        </row>
        <row r="1167">
          <cell r="F1167" t="str">
            <v xml:space="preserve">Outras (despesas) receitas operacionais liquidas </v>
          </cell>
          <cell r="L1167">
            <v>0</v>
          </cell>
        </row>
        <row r="1168">
          <cell r="F1168" t="str">
            <v xml:space="preserve">Outras (despesas) receitas operacionais liquidas </v>
          </cell>
          <cell r="L1168">
            <v>-418330.11</v>
          </cell>
        </row>
        <row r="1169">
          <cell r="F1169" t="str">
            <v xml:space="preserve">Outras (despesas) receitas operacionais liquidas </v>
          </cell>
          <cell r="L1169">
            <v>0</v>
          </cell>
        </row>
        <row r="1170">
          <cell r="F1170" t="str">
            <v xml:space="preserve">Outras (despesas) receitas operacionais liquidas </v>
          </cell>
          <cell r="L1170">
            <v>-187862.65</v>
          </cell>
        </row>
        <row r="1171">
          <cell r="F1171" t="str">
            <v xml:space="preserve">Outras (despesas) receitas operacionais liquidas </v>
          </cell>
          <cell r="L1171">
            <v>619666.12</v>
          </cell>
        </row>
        <row r="1172">
          <cell r="F1172" t="str">
            <v xml:space="preserve">Outras (despesas) receitas operacionais liquidas </v>
          </cell>
          <cell r="L1172">
            <v>0</v>
          </cell>
        </row>
        <row r="1173">
          <cell r="F1173" t="str">
            <v xml:space="preserve">Outras (despesas) receitas operacionais liquidas </v>
          </cell>
          <cell r="L1173">
            <v>19776354.870000001</v>
          </cell>
        </row>
        <row r="1174">
          <cell r="F1174" t="str">
            <v xml:space="preserve">Outras (despesas) receitas operacionais liquidas </v>
          </cell>
          <cell r="L1174">
            <v>6789.14</v>
          </cell>
        </row>
        <row r="1175">
          <cell r="F1175" t="str">
            <v xml:space="preserve">Outras (despesas) receitas operacionais liquidas </v>
          </cell>
          <cell r="L1175">
            <v>-1388015</v>
          </cell>
        </row>
        <row r="1176">
          <cell r="F1176" t="str">
            <v xml:space="preserve">Outras (despesas) receitas operacionais liquidas </v>
          </cell>
          <cell r="L1176">
            <v>467775.4</v>
          </cell>
        </row>
        <row r="1177">
          <cell r="F1177" t="str">
            <v xml:space="preserve">Outras (despesas) receitas operacionais liquidas </v>
          </cell>
          <cell r="L1177">
            <v>1417001.12</v>
          </cell>
        </row>
        <row r="1178">
          <cell r="F1178" t="str">
            <v>Resultado com equivalência patrimonial</v>
          </cell>
          <cell r="L1178">
            <v>0</v>
          </cell>
        </row>
        <row r="1179">
          <cell r="F1179" t="str">
            <v>Resultado com equivalência patrimonial</v>
          </cell>
          <cell r="L1179">
            <v>0</v>
          </cell>
        </row>
        <row r="1180">
          <cell r="F1180" t="str">
            <v>Resultado com equivalência patrimonial</v>
          </cell>
          <cell r="L1180">
            <v>0</v>
          </cell>
        </row>
        <row r="1181">
          <cell r="F1181" t="str">
            <v>Resultado com equivalência patrimonial</v>
          </cell>
          <cell r="L1181">
            <v>0</v>
          </cell>
        </row>
        <row r="1182">
          <cell r="F1182" t="str">
            <v>Resultado com equivalência patrimonial</v>
          </cell>
          <cell r="L1182">
            <v>0</v>
          </cell>
        </row>
        <row r="1183">
          <cell r="F1183" t="str">
            <v>Resultado com equivalência patrimonial</v>
          </cell>
          <cell r="L1183">
            <v>0</v>
          </cell>
        </row>
        <row r="1184">
          <cell r="F1184" t="str">
            <v>Resultado com equivalência patrimonial</v>
          </cell>
          <cell r="L1184">
            <v>0</v>
          </cell>
        </row>
        <row r="1185">
          <cell r="F1185" t="str">
            <v>Resultado com equivalência patrimonial</v>
          </cell>
          <cell r="L1185">
            <v>0</v>
          </cell>
        </row>
        <row r="1186">
          <cell r="F1186" t="str">
            <v>Resultado com equivalência patrimonial</v>
          </cell>
          <cell r="L1186">
            <v>249455.56</v>
          </cell>
        </row>
        <row r="1187">
          <cell r="F1187" t="str">
            <v>Despesas Financeiras</v>
          </cell>
          <cell r="L1187">
            <v>1243775.97</v>
          </cell>
        </row>
        <row r="1188">
          <cell r="F1188" t="str">
            <v>Despesas Financeiras</v>
          </cell>
          <cell r="L1188">
            <v>286531.93</v>
          </cell>
        </row>
        <row r="1189">
          <cell r="F1189" t="str">
            <v>Despesas Financeiras</v>
          </cell>
          <cell r="L1189">
            <v>20672226.900000002</v>
          </cell>
        </row>
        <row r="1190">
          <cell r="F1190" t="str">
            <v>Despesas Financeiras</v>
          </cell>
          <cell r="L1190">
            <v>0</v>
          </cell>
        </row>
        <row r="1191">
          <cell r="F1191" t="str">
            <v>Despesas Financeiras</v>
          </cell>
          <cell r="L1191">
            <v>832143.91</v>
          </cell>
        </row>
        <row r="1192">
          <cell r="F1192" t="str">
            <v>Despesas Financeiras</v>
          </cell>
          <cell r="L1192">
            <v>20863.540000000005</v>
          </cell>
        </row>
        <row r="1193">
          <cell r="F1193" t="str">
            <v>Despesas Financeiras</v>
          </cell>
          <cell r="L1193">
            <v>641983.48</v>
          </cell>
        </row>
        <row r="1194">
          <cell r="F1194" t="str">
            <v>Despesas Financeiras</v>
          </cell>
          <cell r="L1194">
            <v>0</v>
          </cell>
        </row>
        <row r="1195">
          <cell r="F1195" t="str">
            <v>Despesas Financeiras</v>
          </cell>
          <cell r="L1195">
            <v>609353.43999999994</v>
          </cell>
        </row>
        <row r="1196">
          <cell r="F1196" t="str">
            <v>Despesas Financeiras</v>
          </cell>
          <cell r="L1196">
            <v>0</v>
          </cell>
        </row>
        <row r="1197">
          <cell r="F1197" t="str">
            <v>Despesas Financeiras</v>
          </cell>
          <cell r="L1197">
            <v>3351329.0600000005</v>
          </cell>
        </row>
        <row r="1198">
          <cell r="F1198" t="str">
            <v>Despesas Financeiras</v>
          </cell>
          <cell r="L1198">
            <v>0</v>
          </cell>
        </row>
        <row r="1199">
          <cell r="F1199" t="str">
            <v>Despesas Financeiras</v>
          </cell>
          <cell r="L1199">
            <v>0</v>
          </cell>
        </row>
        <row r="1200">
          <cell r="F1200" t="str">
            <v>Despesas Financeiras</v>
          </cell>
          <cell r="L1200">
            <v>0</v>
          </cell>
        </row>
        <row r="1201">
          <cell r="F1201" t="str">
            <v>Despesas Financeiras</v>
          </cell>
          <cell r="L1201">
            <v>2431794.85</v>
          </cell>
        </row>
        <row r="1202">
          <cell r="F1202" t="str">
            <v>Despesas Financeiras</v>
          </cell>
          <cell r="L1202">
            <v>0</v>
          </cell>
        </row>
        <row r="1203">
          <cell r="F1203" t="str">
            <v>Despesas Financeiras</v>
          </cell>
          <cell r="L1203">
            <v>47646496.399999999</v>
          </cell>
        </row>
        <row r="1204">
          <cell r="F1204" t="str">
            <v>Despesas Financeiras</v>
          </cell>
          <cell r="L1204">
            <v>0</v>
          </cell>
        </row>
        <row r="1205">
          <cell r="F1205" t="str">
            <v>Despesas Financeiras</v>
          </cell>
          <cell r="L1205">
            <v>0</v>
          </cell>
        </row>
        <row r="1206">
          <cell r="F1206" t="str">
            <v>Despesas Financeiras</v>
          </cell>
          <cell r="L1206">
            <v>0</v>
          </cell>
        </row>
        <row r="1207">
          <cell r="F1207" t="str">
            <v>Despesas Financeiras</v>
          </cell>
          <cell r="L1207">
            <v>0</v>
          </cell>
        </row>
        <row r="1208">
          <cell r="F1208" t="str">
            <v>Despesas Financeiras</v>
          </cell>
          <cell r="L1208">
            <v>412316.43</v>
          </cell>
        </row>
        <row r="1209">
          <cell r="F1209" t="str">
            <v>Despesas Financeiras</v>
          </cell>
          <cell r="L1209">
            <v>7925181.0199999996</v>
          </cell>
        </row>
        <row r="1210">
          <cell r="F1210" t="str">
            <v>Despesas Financeiras</v>
          </cell>
          <cell r="L1210">
            <v>-278805.64</v>
          </cell>
        </row>
        <row r="1211">
          <cell r="F1211" t="str">
            <v>Despesas Financeiras</v>
          </cell>
          <cell r="L1211">
            <v>1984759.25</v>
          </cell>
        </row>
        <row r="1212">
          <cell r="F1212" t="str">
            <v>Despesas Financeiras</v>
          </cell>
          <cell r="L1212">
            <v>265.56</v>
          </cell>
        </row>
        <row r="1213">
          <cell r="F1213" t="str">
            <v>Despesas Financeiras</v>
          </cell>
          <cell r="L1213">
            <v>143500.93000000017</v>
          </cell>
        </row>
        <row r="1214">
          <cell r="F1214" t="str">
            <v>Despesas Financeiras</v>
          </cell>
          <cell r="L1214">
            <v>65286226.259999998</v>
          </cell>
        </row>
        <row r="1215">
          <cell r="F1215" t="str">
            <v>Despesas Financeiras</v>
          </cell>
          <cell r="L1215">
            <v>0</v>
          </cell>
        </row>
        <row r="1216">
          <cell r="F1216" t="str">
            <v>Despesas Financeiras</v>
          </cell>
          <cell r="L1216">
            <v>-13275.38</v>
          </cell>
        </row>
        <row r="1217">
          <cell r="F1217" t="str">
            <v>Despesas Financeiras</v>
          </cell>
          <cell r="L1217">
            <v>46387.51</v>
          </cell>
        </row>
        <row r="1218">
          <cell r="F1218" t="str">
            <v>Despesas Financeiras</v>
          </cell>
          <cell r="L1218">
            <v>6053419.790000001</v>
          </cell>
        </row>
        <row r="1219">
          <cell r="F1219" t="str">
            <v>Despesas Financeiras</v>
          </cell>
          <cell r="L1219">
            <v>-721908.38</v>
          </cell>
        </row>
        <row r="1220">
          <cell r="F1220" t="str">
            <v>Despesas Financeiras</v>
          </cell>
          <cell r="L1220">
            <v>-3300628.49</v>
          </cell>
        </row>
        <row r="1221">
          <cell r="F1221" t="str">
            <v>Despesas Financeiras</v>
          </cell>
          <cell r="L1221">
            <v>0</v>
          </cell>
        </row>
        <row r="1222">
          <cell r="F1222" t="str">
            <v>Receitas financeiras</v>
          </cell>
          <cell r="L1222">
            <v>-688662.77</v>
          </cell>
        </row>
        <row r="1223">
          <cell r="F1223" t="str">
            <v>Receitas financeiras</v>
          </cell>
          <cell r="L1223">
            <v>-14589.74</v>
          </cell>
        </row>
        <row r="1224">
          <cell r="F1224" t="str">
            <v>Receitas financeiras</v>
          </cell>
          <cell r="L1224">
            <v>-21628354.52</v>
          </cell>
        </row>
        <row r="1225">
          <cell r="F1225" t="str">
            <v>Receitas financeiras</v>
          </cell>
          <cell r="L1225">
            <v>0</v>
          </cell>
        </row>
        <row r="1226">
          <cell r="F1226" t="str">
            <v>Receitas financeiras</v>
          </cell>
          <cell r="L1226">
            <v>0</v>
          </cell>
        </row>
        <row r="1227">
          <cell r="F1227" t="str">
            <v>Receitas financeiras</v>
          </cell>
          <cell r="L1227">
            <v>0</v>
          </cell>
        </row>
        <row r="1228">
          <cell r="F1228" t="str">
            <v>Receitas financeiras</v>
          </cell>
          <cell r="L1228">
            <v>0</v>
          </cell>
        </row>
        <row r="1229">
          <cell r="F1229" t="str">
            <v>Receitas financeiras</v>
          </cell>
          <cell r="L1229">
            <v>-2422766.5299999998</v>
          </cell>
        </row>
        <row r="1230">
          <cell r="F1230" t="str">
            <v>Receitas financeiras</v>
          </cell>
          <cell r="L1230">
            <v>-11186900.02</v>
          </cell>
        </row>
        <row r="1231">
          <cell r="F1231" t="str">
            <v>Receitas financeiras</v>
          </cell>
          <cell r="L1231">
            <v>-5541212.5499999998</v>
          </cell>
        </row>
        <row r="1232">
          <cell r="F1232" t="str">
            <v>Receitas financeiras</v>
          </cell>
          <cell r="L1232">
            <v>0</v>
          </cell>
        </row>
        <row r="1233">
          <cell r="F1233" t="str">
            <v>Receitas financeiras</v>
          </cell>
          <cell r="L1233">
            <v>0</v>
          </cell>
        </row>
        <row r="1234">
          <cell r="F1234" t="str">
            <v>Receitas financeiras</v>
          </cell>
          <cell r="L1234">
            <v>-13363891.099999998</v>
          </cell>
        </row>
        <row r="1235">
          <cell r="F1235" t="str">
            <v>Receitas financeiras</v>
          </cell>
          <cell r="L1235">
            <v>1308454.4099999999</v>
          </cell>
        </row>
        <row r="1236">
          <cell r="F1236" t="str">
            <v>Receitas financeiras</v>
          </cell>
          <cell r="L1236">
            <v>211185.59000000003</v>
          </cell>
        </row>
        <row r="1237">
          <cell r="F1237" t="str">
            <v>Receitas financeiras</v>
          </cell>
          <cell r="L1237">
            <v>0</v>
          </cell>
        </row>
        <row r="1238">
          <cell r="F1238" t="str">
            <v>Receitas financeiras</v>
          </cell>
          <cell r="L1238">
            <v>37328.769999999997</v>
          </cell>
        </row>
        <row r="1239">
          <cell r="F1239" t="str">
            <v>Despesas Financeiras</v>
          </cell>
          <cell r="L1239">
            <v>102897765.13999999</v>
          </cell>
        </row>
        <row r="1240">
          <cell r="F1240" t="str">
            <v>Receitas financeiras</v>
          </cell>
          <cell r="L1240">
            <v>-105490782.92</v>
          </cell>
        </row>
        <row r="1241">
          <cell r="F1241" t="str">
            <v>Imposto de renda e contribuição social  - Corrente</v>
          </cell>
          <cell r="L1241">
            <v>80743361.339999989</v>
          </cell>
        </row>
        <row r="1242">
          <cell r="F1242" t="str">
            <v>Imposto de renda e contribuição social  - Corrente</v>
          </cell>
          <cell r="L1242">
            <v>3946502.86</v>
          </cell>
        </row>
        <row r="1243">
          <cell r="F1243" t="str">
            <v>Imposto de renda e contribuição social  - Diferido</v>
          </cell>
          <cell r="L1243">
            <v>-6986808.7435315475</v>
          </cell>
        </row>
        <row r="1244">
          <cell r="F1244" t="str">
            <v>Imposto de renda e contribuição social  - Diferido</v>
          </cell>
          <cell r="L1244">
            <v>-2515251.1476713531</v>
          </cell>
        </row>
        <row r="1245">
          <cell r="F1245" t="str">
            <v>Imposto de renda e contribuição social  - Diferido</v>
          </cell>
          <cell r="L1245">
            <v>-45708381.029999994</v>
          </cell>
        </row>
        <row r="1246">
          <cell r="F1246" t="str">
            <v>Imposto de renda e contribuição social  - Diferido</v>
          </cell>
          <cell r="L1246">
            <v>-14267610.07</v>
          </cell>
        </row>
        <row r="1247">
          <cell r="F1247" t="str">
            <v>Resultado</v>
          </cell>
          <cell r="L1247">
            <v>0</v>
          </cell>
        </row>
        <row r="1248">
          <cell r="F1248" t="str">
            <v>Resultado</v>
          </cell>
          <cell r="L1248">
            <v>0</v>
          </cell>
        </row>
        <row r="1249">
          <cell r="F1249" t="str">
            <v>Resultado</v>
          </cell>
          <cell r="L1249">
            <v>0</v>
          </cell>
        </row>
        <row r="1252">
          <cell r="L1252">
            <v>-48951794.858723082</v>
          </cell>
        </row>
        <row r="1253">
          <cell r="L1253">
            <v>-48952</v>
          </cell>
        </row>
        <row r="1291">
          <cell r="L1291">
            <v>1087441.52</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P27"/>
  <sheetViews>
    <sheetView showGridLines="0" tabSelected="1" zoomScale="90" zoomScaleNormal="90" workbookViewId="0"/>
  </sheetViews>
  <sheetFormatPr defaultRowHeight="14.25" x14ac:dyDescent="0.2"/>
  <sheetData>
    <row r="5" ht="13.35" customHeight="1" x14ac:dyDescent="0.2"/>
    <row r="25" spans="2:16" x14ac:dyDescent="0.2">
      <c r="O25" s="221" t="s">
        <v>892</v>
      </c>
      <c r="P25" s="222">
        <v>46090</v>
      </c>
    </row>
    <row r="26" spans="2:16" x14ac:dyDescent="0.2">
      <c r="B26" s="294" t="s">
        <v>833</v>
      </c>
      <c r="C26" s="294"/>
      <c r="D26" s="294"/>
      <c r="E26" s="294"/>
      <c r="F26" s="294"/>
      <c r="G26" s="294"/>
      <c r="H26" s="294"/>
      <c r="I26" s="294"/>
      <c r="J26" s="294"/>
      <c r="K26" s="294"/>
      <c r="L26" s="294"/>
      <c r="M26" s="294"/>
      <c r="N26" s="294"/>
    </row>
    <row r="27" spans="2:16" x14ac:dyDescent="0.2">
      <c r="B27" s="294" t="s">
        <v>834</v>
      </c>
      <c r="C27" s="294"/>
      <c r="D27" s="294"/>
      <c r="E27" s="294"/>
      <c r="F27" s="294"/>
      <c r="G27" s="294"/>
      <c r="H27" s="294"/>
      <c r="I27" s="294"/>
      <c r="J27" s="294"/>
      <c r="K27" s="294"/>
      <c r="L27" s="294"/>
      <c r="M27" s="294"/>
      <c r="N27" s="294"/>
    </row>
  </sheetData>
  <mergeCells count="2">
    <mergeCell ref="B26:N26"/>
    <mergeCell ref="B27:N27"/>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15"/>
  <sheetViews>
    <sheetView showGridLines="0" zoomScale="80" zoomScaleNormal="80" workbookViewId="0">
      <pane xSplit="3" ySplit="2" topLeftCell="D3" activePane="bottomRight" state="frozen"/>
      <selection activeCell="P34" sqref="P34"/>
      <selection pane="topRight" activeCell="P34" sqref="P34"/>
      <selection pane="bottomLeft" activeCell="P34" sqref="P34"/>
      <selection pane="bottomRight"/>
    </sheetView>
  </sheetViews>
  <sheetFormatPr defaultColWidth="12.625" defaultRowHeight="15" customHeight="1" x14ac:dyDescent="0.25"/>
  <cols>
    <col min="1" max="1" width="3" style="36" customWidth="1"/>
    <col min="2" max="2" width="27" style="36" bestFit="1" customWidth="1"/>
    <col min="3" max="3" width="26.5" style="36" bestFit="1" customWidth="1"/>
    <col min="4" max="23" width="11.375" style="36" customWidth="1"/>
    <col min="24" max="24" width="12.125" style="36" customWidth="1"/>
    <col min="25" max="48" width="11.375" style="36" customWidth="1"/>
    <col min="49" max="16384" width="12.625" style="36"/>
  </cols>
  <sheetData>
    <row r="1" spans="1:39" ht="37.5" customHeight="1" x14ac:dyDescent="0.25">
      <c r="B1" s="295"/>
      <c r="C1" s="295"/>
      <c r="D1" s="288"/>
      <c r="E1" s="256"/>
      <c r="F1" s="254"/>
      <c r="G1" s="31"/>
      <c r="H1" s="31"/>
      <c r="I1" s="31"/>
      <c r="K1" s="31"/>
      <c r="L1" s="31"/>
      <c r="X1" s="81"/>
    </row>
    <row r="2" spans="1:39" ht="33.75" customHeight="1" x14ac:dyDescent="0.25">
      <c r="B2" s="88" t="s">
        <v>612</v>
      </c>
      <c r="C2" s="88" t="s">
        <v>613</v>
      </c>
      <c r="D2" s="88" t="s">
        <v>1091</v>
      </c>
      <c r="E2" s="88" t="s">
        <v>1009</v>
      </c>
      <c r="F2" s="88" t="s">
        <v>1006</v>
      </c>
      <c r="G2" s="89" t="s">
        <v>1004</v>
      </c>
      <c r="H2" s="89">
        <v>2024</v>
      </c>
      <c r="I2" s="89" t="s">
        <v>896</v>
      </c>
      <c r="J2" s="89" t="s">
        <v>895</v>
      </c>
      <c r="K2" s="89" t="s">
        <v>876</v>
      </c>
      <c r="L2" s="89">
        <v>2023</v>
      </c>
      <c r="M2" s="89" t="s">
        <v>837</v>
      </c>
      <c r="N2" s="89" t="s">
        <v>822</v>
      </c>
      <c r="O2" s="89" t="s">
        <v>762</v>
      </c>
      <c r="P2" s="89">
        <v>2022</v>
      </c>
      <c r="Q2" s="89" t="s">
        <v>717</v>
      </c>
      <c r="R2" s="89" t="s">
        <v>721</v>
      </c>
      <c r="S2" s="89" t="s">
        <v>685</v>
      </c>
      <c r="T2" s="89">
        <v>2021</v>
      </c>
      <c r="U2" s="89" t="s">
        <v>629</v>
      </c>
      <c r="V2" s="89" t="s">
        <v>722</v>
      </c>
      <c r="W2" s="89" t="s">
        <v>591</v>
      </c>
      <c r="X2" s="90">
        <v>2020</v>
      </c>
      <c r="Y2" s="91" t="s">
        <v>543</v>
      </c>
      <c r="Z2" s="92" t="s">
        <v>723</v>
      </c>
      <c r="AA2" s="92" t="s">
        <v>1</v>
      </c>
      <c r="AB2" s="89">
        <v>2019</v>
      </c>
      <c r="AC2" s="92" t="s">
        <v>544</v>
      </c>
      <c r="AD2" s="93" t="s">
        <v>724</v>
      </c>
      <c r="AE2" s="93" t="s">
        <v>5</v>
      </c>
      <c r="AF2" s="94">
        <v>2018</v>
      </c>
      <c r="AG2" s="95" t="s">
        <v>545</v>
      </c>
      <c r="AH2" s="95" t="s">
        <v>725</v>
      </c>
      <c r="AI2" s="95" t="s">
        <v>9</v>
      </c>
      <c r="AJ2" s="94">
        <v>2017</v>
      </c>
      <c r="AK2" s="95" t="s">
        <v>546</v>
      </c>
      <c r="AL2" s="95" t="s">
        <v>726</v>
      </c>
      <c r="AM2" s="95" t="s">
        <v>13</v>
      </c>
    </row>
    <row r="3" spans="1:39" x14ac:dyDescent="0.25">
      <c r="B3" s="104" t="s">
        <v>14</v>
      </c>
      <c r="C3" s="104" t="s">
        <v>15</v>
      </c>
      <c r="D3" s="105">
        <v>5070858</v>
      </c>
      <c r="E3" s="105">
        <v>4783597.97</v>
      </c>
      <c r="F3" s="105">
        <v>4189092</v>
      </c>
      <c r="G3" s="105">
        <v>4318108</v>
      </c>
      <c r="H3" s="105">
        <v>4874554</v>
      </c>
      <c r="I3" s="105">
        <v>4570986.2138999999</v>
      </c>
      <c r="J3" s="105">
        <v>4561741</v>
      </c>
      <c r="K3" s="105">
        <v>4089069</v>
      </c>
      <c r="L3" s="105">
        <v>4688724</v>
      </c>
      <c r="M3" s="105">
        <v>4247674</v>
      </c>
      <c r="N3" s="105">
        <v>4076312</v>
      </c>
      <c r="O3" s="105">
        <v>4199999</v>
      </c>
      <c r="P3" s="105">
        <v>4526488</v>
      </c>
      <c r="Q3" s="105">
        <v>3590217</v>
      </c>
      <c r="R3" s="105">
        <v>3642883</v>
      </c>
      <c r="S3" s="105">
        <v>3410071</v>
      </c>
      <c r="T3" s="105">
        <v>3617346</v>
      </c>
      <c r="U3" s="105">
        <v>3905057</v>
      </c>
      <c r="V3" s="105">
        <v>3314620</v>
      </c>
      <c r="W3" s="105">
        <v>3235407</v>
      </c>
      <c r="X3" s="105">
        <v>3275251</v>
      </c>
      <c r="Y3" s="105">
        <v>2510738</v>
      </c>
      <c r="Z3" s="105">
        <v>2037854</v>
      </c>
      <c r="AA3" s="105">
        <v>1076920</v>
      </c>
      <c r="AB3" s="105">
        <v>1560576</v>
      </c>
      <c r="AC3" s="105">
        <v>1146940</v>
      </c>
      <c r="AD3" s="105">
        <v>1114873</v>
      </c>
      <c r="AE3" s="105">
        <v>712008</v>
      </c>
      <c r="AF3" s="105">
        <v>832866</v>
      </c>
      <c r="AG3" s="105">
        <v>675266</v>
      </c>
      <c r="AH3" s="105">
        <v>609146</v>
      </c>
      <c r="AI3" s="105">
        <v>529076</v>
      </c>
      <c r="AJ3" s="105">
        <v>735664</v>
      </c>
      <c r="AK3" s="105">
        <v>506838</v>
      </c>
      <c r="AL3" s="105">
        <v>515709</v>
      </c>
      <c r="AM3" s="105">
        <v>467043</v>
      </c>
    </row>
    <row r="4" spans="1:39" x14ac:dyDescent="0.25">
      <c r="B4" s="53" t="s">
        <v>16</v>
      </c>
      <c r="C4" s="53" t="s">
        <v>17</v>
      </c>
      <c r="D4" s="44">
        <v>679969</v>
      </c>
      <c r="E4" s="44">
        <v>707345</v>
      </c>
      <c r="F4" s="44">
        <v>429032</v>
      </c>
      <c r="G4" s="44">
        <v>803209</v>
      </c>
      <c r="H4" s="44">
        <v>996713</v>
      </c>
      <c r="I4" s="44">
        <v>765340</v>
      </c>
      <c r="J4" s="44">
        <v>703111</v>
      </c>
      <c r="K4" s="44">
        <v>444611</v>
      </c>
      <c r="L4" s="44">
        <v>875914</v>
      </c>
      <c r="M4" s="44">
        <v>162883</v>
      </c>
      <c r="N4" s="44">
        <v>173233</v>
      </c>
      <c r="O4" s="44">
        <v>338939</v>
      </c>
      <c r="P4" s="44">
        <v>418311</v>
      </c>
      <c r="Q4" s="44">
        <v>256589</v>
      </c>
      <c r="R4" s="44">
        <v>407167</v>
      </c>
      <c r="S4" s="44">
        <v>361159</v>
      </c>
      <c r="T4" s="44">
        <v>549347</v>
      </c>
      <c r="U4" s="44">
        <v>560975</v>
      </c>
      <c r="V4" s="44">
        <v>390426</v>
      </c>
      <c r="W4" s="44">
        <v>412542</v>
      </c>
      <c r="X4" s="44">
        <v>514295</v>
      </c>
      <c r="Y4" s="44">
        <v>1455159</v>
      </c>
      <c r="Z4" s="44">
        <v>1289943</v>
      </c>
      <c r="AA4" s="44">
        <v>308127</v>
      </c>
      <c r="AB4" s="44">
        <v>105308</v>
      </c>
      <c r="AC4" s="44">
        <v>45432</v>
      </c>
      <c r="AD4" s="44">
        <v>102102</v>
      </c>
      <c r="AE4" s="44">
        <v>5084</v>
      </c>
      <c r="AF4" s="44">
        <v>242818</v>
      </c>
      <c r="AG4" s="44">
        <v>5239</v>
      </c>
      <c r="AH4" s="44">
        <v>8135</v>
      </c>
      <c r="AI4" s="44">
        <v>7409</v>
      </c>
      <c r="AJ4" s="44">
        <v>150066</v>
      </c>
      <c r="AK4" s="44">
        <v>5057</v>
      </c>
      <c r="AL4" s="44">
        <v>7054</v>
      </c>
      <c r="AM4" s="44">
        <v>15437</v>
      </c>
    </row>
    <row r="5" spans="1:39" x14ac:dyDescent="0.25">
      <c r="B5" s="53" t="s">
        <v>18</v>
      </c>
      <c r="C5" s="53" t="s">
        <v>19</v>
      </c>
      <c r="D5" s="44">
        <v>1815778</v>
      </c>
      <c r="E5" s="44">
        <v>1490306.97</v>
      </c>
      <c r="F5" s="44">
        <v>1445313</v>
      </c>
      <c r="G5" s="44">
        <v>1304453</v>
      </c>
      <c r="H5" s="44">
        <v>1771289</v>
      </c>
      <c r="I5" s="44">
        <v>1397348.2139000001</v>
      </c>
      <c r="J5" s="44">
        <v>1431372</v>
      </c>
      <c r="K5" s="44">
        <v>1328490</v>
      </c>
      <c r="L5" s="44">
        <v>1597414</v>
      </c>
      <c r="M5" s="44">
        <v>1555697</v>
      </c>
      <c r="N5" s="44">
        <v>1256228</v>
      </c>
      <c r="O5" s="44">
        <v>1321185</v>
      </c>
      <c r="P5" s="44">
        <v>1715172</v>
      </c>
      <c r="Q5" s="44">
        <v>1300045</v>
      </c>
      <c r="R5" s="44">
        <v>1288808</v>
      </c>
      <c r="S5" s="44">
        <v>1238135</v>
      </c>
      <c r="T5" s="44">
        <v>1330303</v>
      </c>
      <c r="U5" s="44">
        <v>1095655</v>
      </c>
      <c r="V5" s="44">
        <v>907821</v>
      </c>
      <c r="W5" s="44">
        <v>753991</v>
      </c>
      <c r="X5" s="44">
        <v>960008</v>
      </c>
      <c r="Y5" s="44">
        <v>389307</v>
      </c>
      <c r="Z5" s="44">
        <v>188382</v>
      </c>
      <c r="AA5" s="44">
        <v>21678</v>
      </c>
      <c r="AB5" s="44">
        <v>586449</v>
      </c>
      <c r="AC5" s="44">
        <v>438975</v>
      </c>
      <c r="AD5" s="44">
        <v>375096</v>
      </c>
      <c r="AE5" s="44">
        <v>156860</v>
      </c>
      <c r="AF5" s="44">
        <v>91119</v>
      </c>
      <c r="AG5" s="44">
        <v>149675</v>
      </c>
      <c r="AH5" s="44">
        <v>109628</v>
      </c>
      <c r="AI5" s="44">
        <v>50616</v>
      </c>
      <c r="AJ5" s="44">
        <v>106799</v>
      </c>
      <c r="AK5" s="44">
        <v>64633</v>
      </c>
      <c r="AL5" s="44">
        <v>59398</v>
      </c>
      <c r="AM5" s="44">
        <v>88411</v>
      </c>
    </row>
    <row r="6" spans="1:39" x14ac:dyDescent="0.25">
      <c r="B6" s="53" t="s">
        <v>20</v>
      </c>
      <c r="C6" s="53" t="s">
        <v>21</v>
      </c>
      <c r="D6" s="44">
        <v>2030987</v>
      </c>
      <c r="E6" s="44">
        <v>2067502</v>
      </c>
      <c r="F6" s="44">
        <v>1894080</v>
      </c>
      <c r="G6" s="44">
        <v>1784886</v>
      </c>
      <c r="H6" s="44">
        <v>1665936</v>
      </c>
      <c r="I6" s="44">
        <v>1888703</v>
      </c>
      <c r="J6" s="44">
        <v>1815259</v>
      </c>
      <c r="K6" s="44">
        <v>1799471</v>
      </c>
      <c r="L6" s="44">
        <v>1699339</v>
      </c>
      <c r="M6" s="44">
        <v>1959912</v>
      </c>
      <c r="N6" s="44">
        <v>2080859</v>
      </c>
      <c r="O6" s="44">
        <v>2008393</v>
      </c>
      <c r="P6" s="44">
        <v>1737002</v>
      </c>
      <c r="Q6" s="44">
        <v>1489632</v>
      </c>
      <c r="R6" s="44">
        <v>1388619</v>
      </c>
      <c r="S6" s="44">
        <v>1168956</v>
      </c>
      <c r="T6" s="44">
        <v>1042336</v>
      </c>
      <c r="U6" s="44">
        <v>1185955</v>
      </c>
      <c r="V6" s="44">
        <v>1248009</v>
      </c>
      <c r="W6" s="44">
        <v>1088225</v>
      </c>
      <c r="X6" s="44">
        <v>901475</v>
      </c>
      <c r="Y6" s="44">
        <v>418014</v>
      </c>
      <c r="Z6" s="44">
        <v>348321</v>
      </c>
      <c r="AA6" s="44">
        <v>432599</v>
      </c>
      <c r="AB6" s="44">
        <v>428544</v>
      </c>
      <c r="AC6" s="44">
        <v>423397</v>
      </c>
      <c r="AD6" s="44">
        <v>403141</v>
      </c>
      <c r="AE6" s="44">
        <v>367333</v>
      </c>
      <c r="AF6" s="44">
        <v>334899</v>
      </c>
      <c r="AG6" s="44">
        <v>341600</v>
      </c>
      <c r="AH6" s="44">
        <v>328318</v>
      </c>
      <c r="AI6" s="44">
        <v>322279</v>
      </c>
      <c r="AJ6" s="44">
        <v>318919</v>
      </c>
      <c r="AK6" s="44">
        <v>314884</v>
      </c>
      <c r="AL6" s="44">
        <v>306794</v>
      </c>
      <c r="AM6" s="44">
        <v>267326</v>
      </c>
    </row>
    <row r="7" spans="1:39" x14ac:dyDescent="0.25">
      <c r="A7" s="214"/>
      <c r="B7" s="53" t="s">
        <v>840</v>
      </c>
      <c r="C7" s="53" t="s">
        <v>23</v>
      </c>
      <c r="D7" s="44">
        <v>364190</v>
      </c>
      <c r="E7" s="44">
        <v>289321</v>
      </c>
      <c r="F7" s="44">
        <v>250958</v>
      </c>
      <c r="G7" s="44">
        <v>263416</v>
      </c>
      <c r="H7" s="44">
        <v>300299</v>
      </c>
      <c r="I7" s="44">
        <v>361768</v>
      </c>
      <c r="J7" s="44">
        <v>448828</v>
      </c>
      <c r="K7" s="44">
        <v>395109</v>
      </c>
      <c r="L7" s="44">
        <v>429716</v>
      </c>
      <c r="M7" s="44">
        <v>459888</v>
      </c>
      <c r="N7" s="44">
        <v>445657</v>
      </c>
      <c r="O7" s="44">
        <v>411038</v>
      </c>
      <c r="P7" s="44">
        <v>574406</v>
      </c>
      <c r="Q7" s="44">
        <v>462720</v>
      </c>
      <c r="R7" s="44">
        <v>485672</v>
      </c>
      <c r="S7" s="44">
        <v>565835</v>
      </c>
      <c r="T7" s="44">
        <v>611081</v>
      </c>
      <c r="U7" s="44">
        <v>1005447</v>
      </c>
      <c r="V7" s="44">
        <v>697907</v>
      </c>
      <c r="W7" s="44">
        <v>799570</v>
      </c>
      <c r="X7" s="44">
        <v>752800</v>
      </c>
      <c r="Y7" s="44">
        <v>220653</v>
      </c>
      <c r="Z7" s="44">
        <v>177552</v>
      </c>
      <c r="AA7" s="44">
        <v>274084</v>
      </c>
      <c r="AB7" s="44">
        <v>417278</v>
      </c>
      <c r="AC7" s="44">
        <v>217726</v>
      </c>
      <c r="AD7" s="44">
        <v>209678</v>
      </c>
      <c r="AE7" s="44">
        <v>142653</v>
      </c>
      <c r="AF7" s="44">
        <v>138849</v>
      </c>
      <c r="AG7" s="44">
        <v>151413</v>
      </c>
      <c r="AH7" s="44">
        <v>133540</v>
      </c>
      <c r="AI7" s="44">
        <v>122199</v>
      </c>
      <c r="AJ7" s="44">
        <v>137798</v>
      </c>
      <c r="AK7" s="44">
        <v>106203</v>
      </c>
      <c r="AL7" s="44">
        <v>98830</v>
      </c>
      <c r="AM7" s="44">
        <v>73971</v>
      </c>
    </row>
    <row r="8" spans="1:39" x14ac:dyDescent="0.25">
      <c r="A8" s="214"/>
      <c r="B8" s="53" t="s">
        <v>988</v>
      </c>
      <c r="C8" s="53" t="s">
        <v>1055</v>
      </c>
      <c r="D8" s="44">
        <v>73</v>
      </c>
      <c r="E8" s="44">
        <v>73</v>
      </c>
      <c r="F8" s="44">
        <v>245</v>
      </c>
      <c r="G8" s="44">
        <v>245</v>
      </c>
      <c r="H8" s="44">
        <v>245</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row>
    <row r="9" spans="1:39" x14ac:dyDescent="0.25">
      <c r="B9" s="53" t="s">
        <v>841</v>
      </c>
      <c r="C9" s="53" t="s">
        <v>25</v>
      </c>
      <c r="D9" s="44">
        <v>179861</v>
      </c>
      <c r="E9" s="44">
        <v>165843</v>
      </c>
      <c r="F9" s="44">
        <v>169464</v>
      </c>
      <c r="G9" s="44">
        <v>161899</v>
      </c>
      <c r="H9" s="44">
        <v>140072</v>
      </c>
      <c r="I9" s="44">
        <v>157827</v>
      </c>
      <c r="J9" s="44">
        <v>163171</v>
      </c>
      <c r="K9" s="44">
        <v>121388</v>
      </c>
      <c r="L9" s="44">
        <v>86341</v>
      </c>
      <c r="M9" s="44">
        <v>109294</v>
      </c>
      <c r="N9" s="44">
        <v>120335</v>
      </c>
      <c r="O9" s="44">
        <v>120444</v>
      </c>
      <c r="P9" s="44">
        <v>81597</v>
      </c>
      <c r="Q9" s="44">
        <v>81231</v>
      </c>
      <c r="R9" s="44">
        <v>72617</v>
      </c>
      <c r="S9" s="44">
        <v>75986</v>
      </c>
      <c r="T9" s="44">
        <v>84279</v>
      </c>
      <c r="U9" s="44">
        <v>57025</v>
      </c>
      <c r="V9" s="44">
        <v>70457</v>
      </c>
      <c r="W9" s="44">
        <v>181079</v>
      </c>
      <c r="X9" s="44">
        <v>146673</v>
      </c>
      <c r="Y9" s="44">
        <v>27605</v>
      </c>
      <c r="Z9" s="44">
        <v>33656</v>
      </c>
      <c r="AA9" s="44">
        <v>40432</v>
      </c>
      <c r="AB9" s="44">
        <v>22997</v>
      </c>
      <c r="AC9" s="44">
        <v>21410</v>
      </c>
      <c r="AD9" s="44">
        <v>24856</v>
      </c>
      <c r="AE9" s="44">
        <v>40078</v>
      </c>
      <c r="AF9" s="44">
        <v>25181</v>
      </c>
      <c r="AG9" s="44">
        <v>27339</v>
      </c>
      <c r="AH9" s="44">
        <v>29525</v>
      </c>
      <c r="AI9" s="44">
        <v>26573</v>
      </c>
      <c r="AJ9" s="44">
        <v>22082</v>
      </c>
      <c r="AK9" s="44">
        <v>16061</v>
      </c>
      <c r="AL9" s="44">
        <v>43633</v>
      </c>
      <c r="AM9" s="44">
        <v>21898</v>
      </c>
    </row>
    <row r="10" spans="1:39" x14ac:dyDescent="0.25">
      <c r="B10" s="53" t="s">
        <v>1048</v>
      </c>
      <c r="C10" s="53" t="s">
        <v>1054</v>
      </c>
      <c r="D10" s="44">
        <v>0</v>
      </c>
      <c r="E10" s="44">
        <v>63207</v>
      </c>
      <c r="F10" s="44">
        <v>0</v>
      </c>
      <c r="G10" s="44">
        <v>0</v>
      </c>
      <c r="H10" s="44">
        <v>0</v>
      </c>
      <c r="I10" s="44">
        <v>0</v>
      </c>
      <c r="J10" s="44">
        <v>0</v>
      </c>
      <c r="K10" s="44">
        <v>0</v>
      </c>
      <c r="L10" s="44">
        <v>0</v>
      </c>
      <c r="M10" s="44">
        <v>0</v>
      </c>
      <c r="N10" s="44">
        <v>0</v>
      </c>
      <c r="O10" s="44">
        <v>0</v>
      </c>
      <c r="P10" s="44">
        <v>0</v>
      </c>
      <c r="Q10" s="44">
        <v>0</v>
      </c>
      <c r="R10" s="44">
        <v>0</v>
      </c>
      <c r="S10" s="44">
        <v>0</v>
      </c>
      <c r="T10" s="44">
        <v>0</v>
      </c>
      <c r="U10" s="44">
        <v>0</v>
      </c>
      <c r="V10" s="44">
        <v>0</v>
      </c>
      <c r="W10" s="44">
        <v>0</v>
      </c>
      <c r="X10" s="44">
        <v>0</v>
      </c>
      <c r="Y10" s="44">
        <v>0</v>
      </c>
      <c r="Z10" s="44">
        <v>0</v>
      </c>
      <c r="AA10" s="44">
        <v>0</v>
      </c>
      <c r="AB10" s="44">
        <v>0</v>
      </c>
      <c r="AC10" s="44">
        <v>0</v>
      </c>
      <c r="AD10" s="44">
        <v>0</v>
      </c>
      <c r="AE10" s="44">
        <v>0</v>
      </c>
      <c r="AF10" s="44">
        <v>0</v>
      </c>
      <c r="AG10" s="44">
        <v>0</v>
      </c>
      <c r="AH10" s="44">
        <v>0</v>
      </c>
      <c r="AI10" s="44">
        <v>0</v>
      </c>
      <c r="AJ10" s="44">
        <v>0</v>
      </c>
      <c r="AK10" s="44">
        <v>0</v>
      </c>
      <c r="AL10" s="44">
        <v>0</v>
      </c>
      <c r="AM10" s="44">
        <v>0</v>
      </c>
    </row>
    <row r="11" spans="1:39" x14ac:dyDescent="0.25">
      <c r="B11" s="104" t="s">
        <v>835</v>
      </c>
      <c r="C11" s="104" t="s">
        <v>27</v>
      </c>
      <c r="D11" s="105">
        <v>4451688</v>
      </c>
      <c r="E11" s="105">
        <v>4286250</v>
      </c>
      <c r="F11" s="105">
        <v>4246446</v>
      </c>
      <c r="G11" s="105">
        <v>4131107</v>
      </c>
      <c r="H11" s="105">
        <v>4071413</v>
      </c>
      <c r="I11" s="105">
        <v>3869576</v>
      </c>
      <c r="J11" s="105">
        <v>3767121</v>
      </c>
      <c r="K11" s="105">
        <v>3839214</v>
      </c>
      <c r="L11" s="105">
        <v>3925723</v>
      </c>
      <c r="M11" s="105">
        <v>3985153</v>
      </c>
      <c r="N11" s="105">
        <v>4048193</v>
      </c>
      <c r="O11" s="105">
        <v>4044965</v>
      </c>
      <c r="P11" s="105">
        <v>3943759</v>
      </c>
      <c r="Q11" s="105">
        <v>4022014</v>
      </c>
      <c r="R11" s="105">
        <v>3823152</v>
      </c>
      <c r="S11" s="105">
        <v>3638412</v>
      </c>
      <c r="T11" s="105">
        <v>3529146</v>
      </c>
      <c r="U11" s="105">
        <v>3213737</v>
      </c>
      <c r="V11" s="105">
        <v>3310175</v>
      </c>
      <c r="W11" s="105">
        <v>2999498</v>
      </c>
      <c r="X11" s="105">
        <v>2699146</v>
      </c>
      <c r="Y11" s="105">
        <v>2638082</v>
      </c>
      <c r="Z11" s="105">
        <v>2666005</v>
      </c>
      <c r="AA11" s="105">
        <v>2665998</v>
      </c>
      <c r="AB11" s="105">
        <v>2373151</v>
      </c>
      <c r="AC11" s="105">
        <v>2176278</v>
      </c>
      <c r="AD11" s="105">
        <v>2046667</v>
      </c>
      <c r="AE11" s="105">
        <v>2021014</v>
      </c>
      <c r="AF11" s="105">
        <v>965434</v>
      </c>
      <c r="AG11" s="105">
        <v>880885</v>
      </c>
      <c r="AH11" s="105">
        <v>890343</v>
      </c>
      <c r="AI11" s="105">
        <v>879550</v>
      </c>
      <c r="AJ11" s="105">
        <v>889696</v>
      </c>
      <c r="AK11" s="105">
        <v>922136</v>
      </c>
      <c r="AL11" s="105">
        <v>793426</v>
      </c>
      <c r="AM11" s="105">
        <v>794237</v>
      </c>
    </row>
    <row r="12" spans="1:39" s="82" customFormat="1" x14ac:dyDescent="0.25">
      <c r="B12" s="63" t="s">
        <v>28</v>
      </c>
      <c r="C12" s="63" t="s">
        <v>29</v>
      </c>
      <c r="D12" s="62">
        <v>1863184</v>
      </c>
      <c r="E12" s="62">
        <v>1805719</v>
      </c>
      <c r="F12" s="62">
        <v>1691544</v>
      </c>
      <c r="G12" s="62">
        <v>1618694</v>
      </c>
      <c r="H12" s="62">
        <v>1529018</v>
      </c>
      <c r="I12" s="62">
        <v>1411940</v>
      </c>
      <c r="J12" s="62">
        <v>1280571</v>
      </c>
      <c r="K12" s="62">
        <v>1424414</v>
      </c>
      <c r="L12" s="62">
        <v>1442969</v>
      </c>
      <c r="M12" s="62">
        <v>1475389</v>
      </c>
      <c r="N12" s="62">
        <v>1506213</v>
      </c>
      <c r="O12" s="62">
        <v>1573839</v>
      </c>
      <c r="P12" s="62">
        <v>1451182</v>
      </c>
      <c r="Q12" s="62">
        <v>1646788</v>
      </c>
      <c r="R12" s="62">
        <v>1533653</v>
      </c>
      <c r="S12" s="62">
        <v>1358331</v>
      </c>
      <c r="T12" s="62">
        <v>1367362</v>
      </c>
      <c r="U12" s="62">
        <v>910925</v>
      </c>
      <c r="V12" s="62">
        <v>1102989</v>
      </c>
      <c r="W12" s="62">
        <v>895620</v>
      </c>
      <c r="X12" s="62">
        <v>919394</v>
      </c>
      <c r="Y12" s="62">
        <v>913022</v>
      </c>
      <c r="Z12" s="62">
        <v>940750</v>
      </c>
      <c r="AA12" s="62">
        <v>932080</v>
      </c>
      <c r="AB12" s="62">
        <v>665324</v>
      </c>
      <c r="AC12" s="62">
        <v>505273</v>
      </c>
      <c r="AD12" s="62">
        <v>501287</v>
      </c>
      <c r="AE12" s="62">
        <v>412546</v>
      </c>
      <c r="AF12" s="62">
        <v>412843</v>
      </c>
      <c r="AG12" s="62">
        <v>330995</v>
      </c>
      <c r="AH12" s="62">
        <v>336594</v>
      </c>
      <c r="AI12" s="62">
        <v>332082</v>
      </c>
      <c r="AJ12" s="62">
        <v>335570</v>
      </c>
      <c r="AK12" s="62">
        <v>371015</v>
      </c>
      <c r="AL12" s="62">
        <v>239181</v>
      </c>
      <c r="AM12" s="62">
        <v>231400</v>
      </c>
    </row>
    <row r="13" spans="1:39" s="55" customFormat="1" x14ac:dyDescent="0.25">
      <c r="B13" s="83" t="s">
        <v>30</v>
      </c>
      <c r="C13" s="83" t="s">
        <v>31</v>
      </c>
      <c r="D13" s="79">
        <v>0</v>
      </c>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324</v>
      </c>
      <c r="V13" s="79">
        <v>6606</v>
      </c>
      <c r="W13" s="79">
        <v>324</v>
      </c>
      <c r="X13" s="79">
        <v>0</v>
      </c>
      <c r="Y13" s="79">
        <v>536</v>
      </c>
      <c r="Z13" s="79">
        <v>536</v>
      </c>
      <c r="AA13" s="79">
        <v>536</v>
      </c>
      <c r="AB13" s="79">
        <v>536</v>
      </c>
      <c r="AC13" s="79">
        <v>536</v>
      </c>
      <c r="AD13" s="79">
        <v>536</v>
      </c>
      <c r="AE13" s="79">
        <v>536</v>
      </c>
      <c r="AF13" s="79">
        <v>536</v>
      </c>
      <c r="AG13" s="79">
        <v>536</v>
      </c>
      <c r="AH13" s="79">
        <v>536</v>
      </c>
      <c r="AI13" s="79">
        <v>536</v>
      </c>
      <c r="AJ13" s="79">
        <v>3358</v>
      </c>
      <c r="AK13" s="79">
        <v>4030</v>
      </c>
      <c r="AL13" s="79">
        <v>4509</v>
      </c>
      <c r="AM13" s="79">
        <v>4598</v>
      </c>
    </row>
    <row r="14" spans="1:39" s="55" customFormat="1" x14ac:dyDescent="0.25">
      <c r="B14" s="83" t="s">
        <v>842</v>
      </c>
      <c r="C14" s="83" t="s">
        <v>33</v>
      </c>
      <c r="D14" s="79">
        <v>841683</v>
      </c>
      <c r="E14" s="79">
        <v>799790</v>
      </c>
      <c r="F14" s="79">
        <v>771439</v>
      </c>
      <c r="G14" s="79">
        <v>741958</v>
      </c>
      <c r="H14" s="79">
        <v>698756</v>
      </c>
      <c r="I14" s="79">
        <v>706022</v>
      </c>
      <c r="J14" s="79">
        <v>679723</v>
      </c>
      <c r="K14" s="79">
        <v>735587</v>
      </c>
      <c r="L14" s="79">
        <v>755531</v>
      </c>
      <c r="M14" s="79">
        <v>748784</v>
      </c>
      <c r="N14" s="79">
        <v>741382</v>
      </c>
      <c r="O14" s="79">
        <v>827919</v>
      </c>
      <c r="P14" s="79">
        <v>841811</v>
      </c>
      <c r="Q14" s="79">
        <v>850787</v>
      </c>
      <c r="R14" s="79">
        <v>807919</v>
      </c>
      <c r="S14" s="79">
        <v>767552</v>
      </c>
      <c r="T14" s="79">
        <v>756103</v>
      </c>
      <c r="U14" s="79">
        <v>556995</v>
      </c>
      <c r="V14" s="79">
        <v>524067</v>
      </c>
      <c r="W14" s="79">
        <v>495363</v>
      </c>
      <c r="X14" s="79">
        <v>444822</v>
      </c>
      <c r="Y14" s="79">
        <v>426772</v>
      </c>
      <c r="Z14" s="79">
        <v>402586</v>
      </c>
      <c r="AA14" s="79">
        <v>351084</v>
      </c>
      <c r="AB14" s="79">
        <v>222646</v>
      </c>
      <c r="AC14" s="79">
        <v>303493</v>
      </c>
      <c r="AD14" s="79">
        <v>301746</v>
      </c>
      <c r="AE14" s="79">
        <v>288160</v>
      </c>
      <c r="AF14" s="79">
        <v>288218</v>
      </c>
      <c r="AG14" s="79">
        <v>211116</v>
      </c>
      <c r="AH14" s="79">
        <v>211116</v>
      </c>
      <c r="AI14" s="79">
        <v>211115</v>
      </c>
      <c r="AJ14" s="79">
        <v>211116</v>
      </c>
      <c r="AK14" s="79">
        <v>211116</v>
      </c>
      <c r="AL14" s="79">
        <v>0</v>
      </c>
      <c r="AM14" s="79">
        <v>0</v>
      </c>
    </row>
    <row r="15" spans="1:39" s="55" customFormat="1" x14ac:dyDescent="0.25">
      <c r="B15" s="83" t="s">
        <v>34</v>
      </c>
      <c r="C15" s="83" t="s">
        <v>35</v>
      </c>
      <c r="D15" s="79">
        <v>901590</v>
      </c>
      <c r="E15" s="79">
        <v>887463</v>
      </c>
      <c r="F15" s="79">
        <v>853181</v>
      </c>
      <c r="G15" s="79">
        <v>818037</v>
      </c>
      <c r="H15" s="79">
        <v>773591</v>
      </c>
      <c r="I15" s="79">
        <v>650128</v>
      </c>
      <c r="J15" s="79">
        <v>544152</v>
      </c>
      <c r="K15" s="79">
        <v>631384</v>
      </c>
      <c r="L15" s="79">
        <v>622610</v>
      </c>
      <c r="M15" s="79">
        <v>659476</v>
      </c>
      <c r="N15" s="79">
        <v>695736</v>
      </c>
      <c r="O15" s="79">
        <v>675221</v>
      </c>
      <c r="P15" s="79">
        <v>531608</v>
      </c>
      <c r="Q15" s="79">
        <v>702079</v>
      </c>
      <c r="R15" s="79">
        <v>639597</v>
      </c>
      <c r="S15" s="79">
        <v>513096</v>
      </c>
      <c r="T15" s="79">
        <v>538557</v>
      </c>
      <c r="U15" s="79">
        <v>281328</v>
      </c>
      <c r="V15" s="79">
        <v>516964</v>
      </c>
      <c r="W15" s="79">
        <v>392937</v>
      </c>
      <c r="X15" s="79">
        <v>473622</v>
      </c>
      <c r="Y15" s="79">
        <v>485088</v>
      </c>
      <c r="Z15" s="79">
        <v>537002</v>
      </c>
      <c r="AA15" s="79">
        <v>579834</v>
      </c>
      <c r="AB15" s="79">
        <v>441517</v>
      </c>
      <c r="AC15" s="79">
        <v>200618</v>
      </c>
      <c r="AD15" s="79">
        <v>198379</v>
      </c>
      <c r="AE15" s="79">
        <v>123224</v>
      </c>
      <c r="AF15" s="79">
        <v>123463</v>
      </c>
      <c r="AG15" s="79">
        <v>118717</v>
      </c>
      <c r="AH15" s="79">
        <v>124316</v>
      </c>
      <c r="AI15" s="79">
        <v>119805</v>
      </c>
      <c r="AJ15" s="79">
        <v>120470</v>
      </c>
      <c r="AK15" s="79">
        <v>155243</v>
      </c>
      <c r="AL15" s="79">
        <v>234046</v>
      </c>
      <c r="AM15" s="79">
        <v>226176</v>
      </c>
    </row>
    <row r="16" spans="1:39" s="55" customFormat="1" x14ac:dyDescent="0.25">
      <c r="B16" s="83" t="s">
        <v>843</v>
      </c>
      <c r="C16" s="83" t="s">
        <v>19</v>
      </c>
      <c r="D16" s="79">
        <v>110016</v>
      </c>
      <c r="E16" s="79">
        <v>108577</v>
      </c>
      <c r="F16" s="79">
        <v>57042</v>
      </c>
      <c r="G16" s="79">
        <v>48838</v>
      </c>
      <c r="H16" s="79">
        <v>46827</v>
      </c>
      <c r="I16" s="79">
        <v>45688</v>
      </c>
      <c r="J16" s="79">
        <v>46605</v>
      </c>
      <c r="K16" s="79">
        <v>47359</v>
      </c>
      <c r="L16" s="79">
        <v>54757</v>
      </c>
      <c r="M16" s="79">
        <v>57065</v>
      </c>
      <c r="N16" s="79">
        <v>59034</v>
      </c>
      <c r="O16" s="79">
        <v>60648</v>
      </c>
      <c r="P16" s="79">
        <v>67727</v>
      </c>
      <c r="Q16" s="79">
        <v>83478</v>
      </c>
      <c r="R16" s="79">
        <v>76137</v>
      </c>
      <c r="S16" s="79">
        <v>77683</v>
      </c>
      <c r="T16" s="79">
        <v>72702</v>
      </c>
      <c r="U16" s="79">
        <v>72278</v>
      </c>
      <c r="V16" s="79">
        <v>55352</v>
      </c>
      <c r="W16" s="79">
        <v>6996</v>
      </c>
      <c r="X16" s="79">
        <v>950</v>
      </c>
      <c r="Y16" s="79">
        <v>626</v>
      </c>
      <c r="Z16" s="79">
        <v>626</v>
      </c>
      <c r="AA16" s="79">
        <v>626</v>
      </c>
      <c r="AB16" s="79">
        <v>625</v>
      </c>
      <c r="AC16" s="79">
        <v>626</v>
      </c>
      <c r="AD16" s="79">
        <v>626</v>
      </c>
      <c r="AE16" s="79">
        <v>626</v>
      </c>
      <c r="AF16" s="79">
        <v>626</v>
      </c>
      <c r="AG16" s="79">
        <v>626</v>
      </c>
      <c r="AH16" s="79">
        <v>626</v>
      </c>
      <c r="AI16" s="79">
        <v>626</v>
      </c>
      <c r="AJ16" s="79">
        <v>626</v>
      </c>
      <c r="AK16" s="79">
        <v>626</v>
      </c>
      <c r="AL16" s="79">
        <v>626</v>
      </c>
      <c r="AM16" s="79">
        <v>626</v>
      </c>
    </row>
    <row r="17" spans="1:40" s="55" customFormat="1" x14ac:dyDescent="0.25">
      <c r="B17" s="83" t="s">
        <v>715</v>
      </c>
      <c r="C17" s="83" t="s">
        <v>716</v>
      </c>
      <c r="D17" s="79">
        <v>9895</v>
      </c>
      <c r="E17" s="79">
        <v>9889</v>
      </c>
      <c r="F17" s="79">
        <v>9882</v>
      </c>
      <c r="G17" s="79">
        <v>9861</v>
      </c>
      <c r="H17" s="79">
        <v>9844</v>
      </c>
      <c r="I17" s="79">
        <v>10102</v>
      </c>
      <c r="J17" s="79">
        <v>10091</v>
      </c>
      <c r="K17" s="79">
        <v>10084</v>
      </c>
      <c r="L17" s="79">
        <v>10071</v>
      </c>
      <c r="M17" s="79">
        <v>10064</v>
      </c>
      <c r="N17" s="79">
        <v>10061</v>
      </c>
      <c r="O17" s="79">
        <v>10051</v>
      </c>
      <c r="P17" s="79">
        <v>10036</v>
      </c>
      <c r="Q17" s="79">
        <v>10444</v>
      </c>
      <c r="R17" s="79">
        <v>10000</v>
      </c>
      <c r="S17" s="84" t="s">
        <v>166</v>
      </c>
      <c r="T17" s="84" t="s">
        <v>166</v>
      </c>
      <c r="U17" s="84" t="s">
        <v>166</v>
      </c>
      <c r="V17" s="84" t="s">
        <v>166</v>
      </c>
      <c r="W17" s="84" t="s">
        <v>166</v>
      </c>
      <c r="X17" s="84" t="s">
        <v>166</v>
      </c>
      <c r="Y17" s="84" t="s">
        <v>166</v>
      </c>
      <c r="Z17" s="84" t="s">
        <v>166</v>
      </c>
      <c r="AA17" s="84" t="s">
        <v>166</v>
      </c>
      <c r="AB17" s="84" t="s">
        <v>166</v>
      </c>
      <c r="AC17" s="84" t="s">
        <v>166</v>
      </c>
      <c r="AD17" s="84" t="s">
        <v>166</v>
      </c>
      <c r="AE17" s="84" t="s">
        <v>166</v>
      </c>
      <c r="AF17" s="84" t="s">
        <v>166</v>
      </c>
      <c r="AG17" s="84" t="s">
        <v>166</v>
      </c>
      <c r="AH17" s="84" t="s">
        <v>166</v>
      </c>
      <c r="AI17" s="84" t="s">
        <v>166</v>
      </c>
      <c r="AJ17" s="84" t="s">
        <v>166</v>
      </c>
      <c r="AK17" s="84" t="s">
        <v>166</v>
      </c>
      <c r="AL17" s="84" t="s">
        <v>166</v>
      </c>
      <c r="AM17" s="84" t="s">
        <v>166</v>
      </c>
    </row>
    <row r="18" spans="1:40" x14ac:dyDescent="0.25">
      <c r="B18" s="53" t="s">
        <v>688</v>
      </c>
      <c r="C18" s="53" t="s">
        <v>689</v>
      </c>
      <c r="D18" s="44">
        <v>0</v>
      </c>
      <c r="E18" s="44">
        <v>0</v>
      </c>
      <c r="F18" s="44">
        <v>3926</v>
      </c>
      <c r="G18" s="44">
        <v>4383</v>
      </c>
      <c r="H18" s="44">
        <v>4350</v>
      </c>
      <c r="I18" s="44">
        <v>4629</v>
      </c>
      <c r="J18" s="44">
        <v>4250</v>
      </c>
      <c r="K18" s="44">
        <v>4479</v>
      </c>
      <c r="L18" s="44">
        <v>4080</v>
      </c>
      <c r="M18" s="44">
        <v>5169</v>
      </c>
      <c r="N18" s="44">
        <v>6258</v>
      </c>
      <c r="O18" s="44">
        <v>5521</v>
      </c>
      <c r="P18" s="44">
        <v>5001</v>
      </c>
      <c r="Q18" s="44">
        <v>4879</v>
      </c>
      <c r="R18" s="44">
        <v>4542</v>
      </c>
      <c r="S18" s="44">
        <v>1751</v>
      </c>
      <c r="T18" s="84" t="s">
        <v>166</v>
      </c>
      <c r="U18" s="84" t="s">
        <v>166</v>
      </c>
      <c r="V18" s="84" t="s">
        <v>166</v>
      </c>
      <c r="W18" s="84" t="s">
        <v>166</v>
      </c>
      <c r="X18" s="84" t="s">
        <v>166</v>
      </c>
      <c r="Y18" s="84" t="s">
        <v>166</v>
      </c>
      <c r="Z18" s="84" t="s">
        <v>166</v>
      </c>
      <c r="AA18" s="84" t="s">
        <v>166</v>
      </c>
      <c r="AB18" s="84" t="s">
        <v>166</v>
      </c>
      <c r="AC18" s="84" t="s">
        <v>166</v>
      </c>
      <c r="AD18" s="84" t="s">
        <v>166</v>
      </c>
      <c r="AE18" s="84" t="s">
        <v>166</v>
      </c>
      <c r="AF18" s="84" t="s">
        <v>166</v>
      </c>
      <c r="AG18" s="84" t="s">
        <v>166</v>
      </c>
      <c r="AH18" s="84" t="s">
        <v>166</v>
      </c>
      <c r="AI18" s="84" t="s">
        <v>166</v>
      </c>
      <c r="AJ18" s="84" t="s">
        <v>166</v>
      </c>
      <c r="AK18" s="84" t="s">
        <v>166</v>
      </c>
      <c r="AL18" s="84" t="s">
        <v>166</v>
      </c>
      <c r="AM18" s="84" t="s">
        <v>166</v>
      </c>
    </row>
    <row r="19" spans="1:40" x14ac:dyDescent="0.25">
      <c r="B19" s="53" t="s">
        <v>36</v>
      </c>
      <c r="C19" s="53" t="s">
        <v>37</v>
      </c>
      <c r="D19" s="44">
        <v>827356</v>
      </c>
      <c r="E19" s="44">
        <v>710390</v>
      </c>
      <c r="F19" s="44">
        <v>625845</v>
      </c>
      <c r="G19" s="44">
        <v>633801</v>
      </c>
      <c r="H19" s="44">
        <v>649918</v>
      </c>
      <c r="I19" s="44">
        <v>603191</v>
      </c>
      <c r="J19" s="44">
        <v>601486</v>
      </c>
      <c r="K19" s="44">
        <v>597456</v>
      </c>
      <c r="L19" s="44">
        <v>610429</v>
      </c>
      <c r="M19" s="44">
        <v>601626</v>
      </c>
      <c r="N19" s="44">
        <v>602429</v>
      </c>
      <c r="O19" s="44">
        <v>569011</v>
      </c>
      <c r="P19" s="44">
        <v>571951</v>
      </c>
      <c r="Q19" s="44">
        <v>473661</v>
      </c>
      <c r="R19" s="44">
        <v>459934</v>
      </c>
      <c r="S19" s="44">
        <v>435381</v>
      </c>
      <c r="T19" s="44">
        <v>430112</v>
      </c>
      <c r="U19" s="44">
        <v>548881</v>
      </c>
      <c r="V19" s="44">
        <v>549858</v>
      </c>
      <c r="W19" s="44">
        <v>525835</v>
      </c>
      <c r="X19" s="44">
        <v>296355</v>
      </c>
      <c r="Y19" s="44">
        <v>486628</v>
      </c>
      <c r="Z19" s="44">
        <v>473586</v>
      </c>
      <c r="AA19" s="44">
        <v>468406</v>
      </c>
      <c r="AB19" s="44">
        <v>452439</v>
      </c>
      <c r="AC19" s="44">
        <v>457986</v>
      </c>
      <c r="AD19" s="44">
        <v>440937</v>
      </c>
      <c r="AE19" s="44">
        <v>437787</v>
      </c>
      <c r="AF19" s="44">
        <v>448019</v>
      </c>
      <c r="AG19" s="44">
        <v>445559</v>
      </c>
      <c r="AH19" s="44">
        <v>455376</v>
      </c>
      <c r="AI19" s="44">
        <v>451172</v>
      </c>
      <c r="AJ19" s="44">
        <v>463430</v>
      </c>
      <c r="AK19" s="44">
        <v>469590</v>
      </c>
      <c r="AL19" s="44">
        <v>478637</v>
      </c>
      <c r="AM19" s="44">
        <v>490725</v>
      </c>
    </row>
    <row r="20" spans="1:40" x14ac:dyDescent="0.25">
      <c r="B20" s="53" t="s">
        <v>38</v>
      </c>
      <c r="C20" s="53" t="s">
        <v>39</v>
      </c>
      <c r="D20" s="44">
        <v>1761148</v>
      </c>
      <c r="E20" s="44">
        <v>1770141</v>
      </c>
      <c r="F20" s="44">
        <v>1925131</v>
      </c>
      <c r="G20" s="44">
        <v>1874229</v>
      </c>
      <c r="H20" s="44">
        <v>1888127</v>
      </c>
      <c r="I20" s="44">
        <v>1849816</v>
      </c>
      <c r="J20" s="44">
        <v>1880814</v>
      </c>
      <c r="K20" s="44">
        <v>1812865</v>
      </c>
      <c r="L20" s="44">
        <v>1868245</v>
      </c>
      <c r="M20" s="44">
        <v>1902969</v>
      </c>
      <c r="N20" s="44">
        <v>1933293</v>
      </c>
      <c r="O20" s="44">
        <v>1896594</v>
      </c>
      <c r="P20" s="44">
        <v>1915625</v>
      </c>
      <c r="Q20" s="44">
        <v>1896686</v>
      </c>
      <c r="R20" s="44">
        <v>1825023</v>
      </c>
      <c r="S20" s="44">
        <v>1842949</v>
      </c>
      <c r="T20" s="44">
        <v>1731672</v>
      </c>
      <c r="U20" s="44">
        <v>1753931</v>
      </c>
      <c r="V20" s="44">
        <v>1657328</v>
      </c>
      <c r="W20" s="44">
        <v>1578043</v>
      </c>
      <c r="X20" s="44">
        <v>1483397</v>
      </c>
      <c r="Y20" s="44">
        <v>1238432</v>
      </c>
      <c r="Z20" s="44">
        <v>1251669</v>
      </c>
      <c r="AA20" s="44">
        <v>1265512</v>
      </c>
      <c r="AB20" s="44">
        <v>1255388</v>
      </c>
      <c r="AC20" s="44">
        <v>1213019</v>
      </c>
      <c r="AD20" s="44">
        <v>1104443</v>
      </c>
      <c r="AE20" s="44">
        <v>1170681</v>
      </c>
      <c r="AF20" s="44">
        <v>104572</v>
      </c>
      <c r="AG20" s="44">
        <v>104331</v>
      </c>
      <c r="AH20" s="44">
        <v>98373</v>
      </c>
      <c r="AI20" s="44">
        <v>96296</v>
      </c>
      <c r="AJ20" s="44">
        <v>90696</v>
      </c>
      <c r="AK20" s="44">
        <v>81531</v>
      </c>
      <c r="AL20" s="44">
        <v>75608</v>
      </c>
      <c r="AM20" s="44">
        <v>72112</v>
      </c>
    </row>
    <row r="21" spans="1:40" x14ac:dyDescent="0.25">
      <c r="B21" s="104" t="s">
        <v>40</v>
      </c>
      <c r="C21" s="104" t="s">
        <v>41</v>
      </c>
      <c r="D21" s="105">
        <v>9522546</v>
      </c>
      <c r="E21" s="105">
        <v>9069847.9699999988</v>
      </c>
      <c r="F21" s="105">
        <v>8435538</v>
      </c>
      <c r="G21" s="105">
        <v>8449215</v>
      </c>
      <c r="H21" s="105">
        <v>8945967</v>
      </c>
      <c r="I21" s="105">
        <v>8440562.2138999999</v>
      </c>
      <c r="J21" s="105">
        <v>8328862</v>
      </c>
      <c r="K21" s="105">
        <v>7928283</v>
      </c>
      <c r="L21" s="105">
        <v>8614447</v>
      </c>
      <c r="M21" s="105">
        <v>8232827</v>
      </c>
      <c r="N21" s="105">
        <v>8124505</v>
      </c>
      <c r="O21" s="105">
        <v>8244964</v>
      </c>
      <c r="P21" s="105">
        <v>8470247</v>
      </c>
      <c r="Q21" s="105">
        <v>7612231</v>
      </c>
      <c r="R21" s="105">
        <v>7466035</v>
      </c>
      <c r="S21" s="105">
        <v>7048483</v>
      </c>
      <c r="T21" s="105">
        <v>7146492</v>
      </c>
      <c r="U21" s="105">
        <v>7118794</v>
      </c>
      <c r="V21" s="105">
        <v>6624795</v>
      </c>
      <c r="W21" s="105">
        <v>6234905</v>
      </c>
      <c r="X21" s="105">
        <v>5974397</v>
      </c>
      <c r="Y21" s="105">
        <v>5148820</v>
      </c>
      <c r="Z21" s="105">
        <v>4703859</v>
      </c>
      <c r="AA21" s="105">
        <v>3742918</v>
      </c>
      <c r="AB21" s="105">
        <v>3933727</v>
      </c>
      <c r="AC21" s="105">
        <v>3323218</v>
      </c>
      <c r="AD21" s="105">
        <v>3161540</v>
      </c>
      <c r="AE21" s="105">
        <v>2733022</v>
      </c>
      <c r="AF21" s="105">
        <v>1798300</v>
      </c>
      <c r="AG21" s="105">
        <v>1556151</v>
      </c>
      <c r="AH21" s="105">
        <v>1499489</v>
      </c>
      <c r="AI21" s="105">
        <v>1408626</v>
      </c>
      <c r="AJ21" s="105">
        <v>1625360</v>
      </c>
      <c r="AK21" s="105">
        <v>1428974</v>
      </c>
      <c r="AL21" s="105">
        <v>1309135</v>
      </c>
      <c r="AM21" s="105">
        <v>1261280</v>
      </c>
    </row>
    <row r="22" spans="1:40" ht="10.35" customHeight="1" x14ac:dyDescent="0.25">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71"/>
      <c r="AE22" s="71"/>
      <c r="AF22" s="71"/>
      <c r="AG22" s="71"/>
      <c r="AH22" s="71"/>
      <c r="AI22" s="71"/>
    </row>
    <row r="23" spans="1:40" ht="32.25" customHeight="1" x14ac:dyDescent="0.25">
      <c r="B23" s="96" t="s">
        <v>615</v>
      </c>
      <c r="C23" s="96" t="s">
        <v>614</v>
      </c>
      <c r="D23" s="88" t="s">
        <v>1091</v>
      </c>
      <c r="E23" s="88" t="s">
        <v>1009</v>
      </c>
      <c r="F23" s="96" t="s">
        <v>1006</v>
      </c>
      <c r="G23" s="97" t="s">
        <v>1004</v>
      </c>
      <c r="H23" s="97">
        <v>2024</v>
      </c>
      <c r="I23" s="97" t="s">
        <v>896</v>
      </c>
      <c r="J23" s="97" t="s">
        <v>895</v>
      </c>
      <c r="K23" s="97" t="s">
        <v>876</v>
      </c>
      <c r="L23" s="97">
        <v>2023</v>
      </c>
      <c r="M23" s="97" t="s">
        <v>837</v>
      </c>
      <c r="N23" s="97" t="s">
        <v>822</v>
      </c>
      <c r="O23" s="97" t="s">
        <v>762</v>
      </c>
      <c r="P23" s="97">
        <v>2022</v>
      </c>
      <c r="Q23" s="97" t="s">
        <v>717</v>
      </c>
      <c r="R23" s="97" t="s">
        <v>721</v>
      </c>
      <c r="S23" s="97" t="s">
        <v>685</v>
      </c>
      <c r="T23" s="97">
        <v>2021</v>
      </c>
      <c r="U23" s="97" t="s">
        <v>629</v>
      </c>
      <c r="V23" s="97" t="s">
        <v>722</v>
      </c>
      <c r="W23" s="97" t="s">
        <v>591</v>
      </c>
      <c r="X23" s="98">
        <v>2020</v>
      </c>
      <c r="Y23" s="99" t="s">
        <v>543</v>
      </c>
      <c r="Z23" s="100" t="s">
        <v>723</v>
      </c>
      <c r="AA23" s="100" t="s">
        <v>1</v>
      </c>
      <c r="AB23" s="97">
        <v>2019</v>
      </c>
      <c r="AC23" s="100" t="s">
        <v>544</v>
      </c>
      <c r="AD23" s="101" t="s">
        <v>724</v>
      </c>
      <c r="AE23" s="101" t="s">
        <v>5</v>
      </c>
      <c r="AF23" s="102">
        <v>2018</v>
      </c>
      <c r="AG23" s="103" t="s">
        <v>545</v>
      </c>
      <c r="AH23" s="103" t="s">
        <v>725</v>
      </c>
      <c r="AI23" s="103" t="s">
        <v>9</v>
      </c>
      <c r="AJ23" s="102">
        <v>2017</v>
      </c>
      <c r="AK23" s="103" t="s">
        <v>546</v>
      </c>
      <c r="AL23" s="103" t="s">
        <v>726</v>
      </c>
      <c r="AM23" s="103" t="s">
        <v>13</v>
      </c>
    </row>
    <row r="24" spans="1:40" x14ac:dyDescent="0.25">
      <c r="B24" s="104" t="s">
        <v>42</v>
      </c>
      <c r="C24" s="104" t="s">
        <v>43</v>
      </c>
      <c r="D24" s="105">
        <v>3739772</v>
      </c>
      <c r="E24" s="105">
        <v>3330493.95</v>
      </c>
      <c r="F24" s="105">
        <v>3188419</v>
      </c>
      <c r="G24" s="105">
        <v>2899519</v>
      </c>
      <c r="H24" s="105">
        <v>3222231</v>
      </c>
      <c r="I24" s="105">
        <v>2718944</v>
      </c>
      <c r="J24" s="105">
        <v>2633230</v>
      </c>
      <c r="K24" s="105">
        <v>2216969</v>
      </c>
      <c r="L24" s="105">
        <v>2841671</v>
      </c>
      <c r="M24" s="105">
        <v>2479608</v>
      </c>
      <c r="N24" s="105">
        <v>2657264</v>
      </c>
      <c r="O24" s="105">
        <v>2740677</v>
      </c>
      <c r="P24" s="105">
        <v>2948338</v>
      </c>
      <c r="Q24" s="105">
        <v>2024375</v>
      </c>
      <c r="R24" s="105">
        <v>1971334</v>
      </c>
      <c r="S24" s="105">
        <v>1892060</v>
      </c>
      <c r="T24" s="105">
        <v>2161217</v>
      </c>
      <c r="U24" s="105">
        <v>2246384</v>
      </c>
      <c r="V24" s="105">
        <v>2043708</v>
      </c>
      <c r="W24" s="105">
        <v>1829023</v>
      </c>
      <c r="X24" s="105">
        <v>1846599</v>
      </c>
      <c r="Y24" s="105">
        <v>1037796</v>
      </c>
      <c r="Z24" s="105">
        <v>771287</v>
      </c>
      <c r="AA24" s="105">
        <v>869912</v>
      </c>
      <c r="AB24" s="105">
        <v>1093629</v>
      </c>
      <c r="AC24" s="105">
        <v>917136</v>
      </c>
      <c r="AD24" s="105">
        <v>905207</v>
      </c>
      <c r="AE24" s="105">
        <v>905547</v>
      </c>
      <c r="AF24" s="105">
        <v>931553</v>
      </c>
      <c r="AG24" s="105">
        <v>773539</v>
      </c>
      <c r="AH24" s="105">
        <v>761722</v>
      </c>
      <c r="AI24" s="105">
        <v>653759</v>
      </c>
      <c r="AJ24" s="105">
        <v>868202</v>
      </c>
      <c r="AK24" s="105">
        <v>692669</v>
      </c>
      <c r="AL24" s="105">
        <v>670925</v>
      </c>
      <c r="AM24" s="105">
        <v>833115</v>
      </c>
    </row>
    <row r="25" spans="1:40" ht="15.75" customHeight="1" x14ac:dyDescent="0.25">
      <c r="B25" s="85" t="s">
        <v>44</v>
      </c>
      <c r="C25" s="85" t="s">
        <v>45</v>
      </c>
      <c r="D25" s="44">
        <v>71914</v>
      </c>
      <c r="E25" s="44">
        <v>71612</v>
      </c>
      <c r="F25" s="44">
        <v>48818</v>
      </c>
      <c r="G25" s="44">
        <v>49077</v>
      </c>
      <c r="H25" s="44">
        <v>49405</v>
      </c>
      <c r="I25" s="44">
        <v>49707</v>
      </c>
      <c r="J25" s="44">
        <v>50730</v>
      </c>
      <c r="K25" s="44">
        <v>39568</v>
      </c>
      <c r="L25" s="44">
        <v>28710</v>
      </c>
      <c r="M25" s="44">
        <v>97671</v>
      </c>
      <c r="N25" s="44">
        <v>84592</v>
      </c>
      <c r="O25" s="44">
        <v>91701</v>
      </c>
      <c r="P25" s="44">
        <v>86082</v>
      </c>
      <c r="Q25" s="44">
        <v>92541</v>
      </c>
      <c r="R25" s="44">
        <v>86391</v>
      </c>
      <c r="S25" s="44">
        <v>138791</v>
      </c>
      <c r="T25" s="44">
        <v>129733</v>
      </c>
      <c r="U25" s="44">
        <v>181104</v>
      </c>
      <c r="V25" s="44">
        <v>173794</v>
      </c>
      <c r="W25" s="44">
        <v>98925</v>
      </c>
      <c r="X25" s="44">
        <v>93275</v>
      </c>
      <c r="Y25" s="44">
        <v>54174</v>
      </c>
      <c r="Z25" s="44">
        <v>50551</v>
      </c>
      <c r="AA25" s="44">
        <v>7866</v>
      </c>
      <c r="AB25" s="44">
        <v>27037</v>
      </c>
      <c r="AC25" s="44">
        <v>26348</v>
      </c>
      <c r="AD25" s="44">
        <v>27197</v>
      </c>
      <c r="AE25" s="44">
        <v>122442</v>
      </c>
      <c r="AF25" s="44">
        <v>94658</v>
      </c>
      <c r="AG25" s="44">
        <v>79298</v>
      </c>
      <c r="AH25" s="44">
        <v>76285</v>
      </c>
      <c r="AI25" s="44">
        <v>28314</v>
      </c>
      <c r="AJ25" s="44">
        <v>23110</v>
      </c>
      <c r="AK25" s="44">
        <v>53418</v>
      </c>
      <c r="AL25" s="44">
        <v>54622</v>
      </c>
      <c r="AM25" s="44">
        <v>201147</v>
      </c>
    </row>
    <row r="26" spans="1:40" ht="15.75" customHeight="1" x14ac:dyDescent="0.25">
      <c r="B26" s="85" t="s">
        <v>539</v>
      </c>
      <c r="C26" s="85" t="s">
        <v>540</v>
      </c>
      <c r="D26" s="44">
        <v>359814</v>
      </c>
      <c r="E26" s="44">
        <v>366308</v>
      </c>
      <c r="F26" s="44">
        <v>451367</v>
      </c>
      <c r="G26" s="44">
        <v>438020</v>
      </c>
      <c r="H26" s="44">
        <v>409190</v>
      </c>
      <c r="I26" s="44">
        <v>432751</v>
      </c>
      <c r="J26" s="44">
        <v>489603</v>
      </c>
      <c r="K26" s="44">
        <v>328114</v>
      </c>
      <c r="L26" s="44">
        <v>595294</v>
      </c>
      <c r="M26" s="44">
        <v>591687</v>
      </c>
      <c r="N26" s="44">
        <v>451401</v>
      </c>
      <c r="O26" s="44">
        <v>546116</v>
      </c>
      <c r="P26" s="44">
        <v>191836</v>
      </c>
      <c r="Q26" s="44">
        <v>228191</v>
      </c>
      <c r="R26" s="44">
        <v>189474</v>
      </c>
      <c r="S26" s="44">
        <v>94289</v>
      </c>
      <c r="T26" s="44">
        <v>77743</v>
      </c>
      <c r="U26" s="44">
        <v>85863</v>
      </c>
      <c r="V26" s="44">
        <v>75626</v>
      </c>
      <c r="W26" s="44">
        <v>1822</v>
      </c>
      <c r="X26" s="44">
        <v>0</v>
      </c>
      <c r="Y26" s="44">
        <v>1716</v>
      </c>
      <c r="Z26" s="44">
        <v>0</v>
      </c>
      <c r="AA26" s="44">
        <v>0</v>
      </c>
      <c r="AB26" s="44">
        <v>0</v>
      </c>
      <c r="AC26" s="44">
        <v>0</v>
      </c>
      <c r="AD26" s="44">
        <v>0</v>
      </c>
      <c r="AE26" s="44">
        <v>0</v>
      </c>
      <c r="AF26" s="44">
        <v>0</v>
      </c>
      <c r="AG26" s="44">
        <v>0</v>
      </c>
      <c r="AH26" s="44">
        <v>0</v>
      </c>
      <c r="AI26" s="44">
        <v>0</v>
      </c>
      <c r="AJ26" s="44">
        <v>0</v>
      </c>
      <c r="AK26" s="44">
        <v>0</v>
      </c>
      <c r="AL26" s="44">
        <v>0</v>
      </c>
      <c r="AM26" s="44">
        <v>0</v>
      </c>
      <c r="AN26" s="44"/>
    </row>
    <row r="27" spans="1:40" s="86" customFormat="1" ht="15.75" customHeight="1" x14ac:dyDescent="0.25">
      <c r="A27" s="36"/>
      <c r="B27" s="85" t="s">
        <v>617</v>
      </c>
      <c r="C27" s="85" t="s">
        <v>616</v>
      </c>
      <c r="D27" s="44">
        <v>131878</v>
      </c>
      <c r="E27" s="44">
        <v>201097.95</v>
      </c>
      <c r="F27" s="44">
        <v>143669</v>
      </c>
      <c r="G27" s="44">
        <v>13446</v>
      </c>
      <c r="H27" s="44">
        <v>573</v>
      </c>
      <c r="I27" s="44">
        <v>0</v>
      </c>
      <c r="J27" s="44">
        <v>717</v>
      </c>
      <c r="K27" s="44">
        <v>25824</v>
      </c>
      <c r="L27" s="44">
        <v>87804</v>
      </c>
      <c r="M27" s="84">
        <v>66277</v>
      </c>
      <c r="N27" s="84">
        <v>108866</v>
      </c>
      <c r="O27" s="84">
        <v>79782</v>
      </c>
      <c r="P27" s="84">
        <v>39612</v>
      </c>
      <c r="Q27" s="84">
        <v>29283</v>
      </c>
      <c r="R27" s="84">
        <v>66578</v>
      </c>
      <c r="S27" s="84">
        <v>203216</v>
      </c>
      <c r="T27" s="84">
        <v>4617</v>
      </c>
      <c r="U27" s="84">
        <v>0</v>
      </c>
      <c r="V27" s="84">
        <v>60369</v>
      </c>
      <c r="W27" s="84" t="s">
        <v>166</v>
      </c>
      <c r="X27" s="84">
        <v>0</v>
      </c>
      <c r="Y27" s="84" t="s">
        <v>166</v>
      </c>
      <c r="Z27" s="84" t="s">
        <v>166</v>
      </c>
      <c r="AA27" s="84"/>
      <c r="AB27" s="84"/>
      <c r="AC27" s="84"/>
      <c r="AD27" s="84"/>
      <c r="AE27" s="84"/>
      <c r="AF27" s="84"/>
      <c r="AG27" s="84"/>
      <c r="AH27" s="84"/>
      <c r="AI27" s="84"/>
      <c r="AJ27" s="84"/>
      <c r="AK27" s="84"/>
      <c r="AL27" s="84"/>
      <c r="AM27" s="84"/>
      <c r="AN27" s="84"/>
    </row>
    <row r="28" spans="1:40" s="86" customFormat="1" ht="15.75" customHeight="1" x14ac:dyDescent="0.25">
      <c r="A28" s="36"/>
      <c r="B28" s="85" t="s">
        <v>673</v>
      </c>
      <c r="C28" s="85" t="s">
        <v>674</v>
      </c>
      <c r="D28" s="44">
        <v>77920</v>
      </c>
      <c r="E28" s="44">
        <v>5</v>
      </c>
      <c r="F28" s="44">
        <v>93</v>
      </c>
      <c r="G28" s="44">
        <v>127451</v>
      </c>
      <c r="H28" s="44">
        <v>127451</v>
      </c>
      <c r="I28" s="44">
        <v>2</v>
      </c>
      <c r="J28" s="44">
        <v>6</v>
      </c>
      <c r="K28" s="44">
        <v>35081</v>
      </c>
      <c r="L28" s="44">
        <v>35081</v>
      </c>
      <c r="M28" s="84">
        <v>16</v>
      </c>
      <c r="N28" s="84">
        <v>33085</v>
      </c>
      <c r="O28" s="84">
        <v>33085</v>
      </c>
      <c r="P28" s="84">
        <v>33085</v>
      </c>
      <c r="Q28" s="84">
        <v>0</v>
      </c>
      <c r="R28" s="84">
        <v>0</v>
      </c>
      <c r="S28" s="84">
        <v>28637</v>
      </c>
      <c r="T28" s="84">
        <v>28637</v>
      </c>
      <c r="U28" s="84">
        <v>0</v>
      </c>
      <c r="V28" s="84">
        <v>0</v>
      </c>
      <c r="W28" s="84">
        <v>0</v>
      </c>
      <c r="X28" s="84">
        <v>0</v>
      </c>
      <c r="Y28" s="84">
        <v>0</v>
      </c>
      <c r="Z28" s="84">
        <v>0</v>
      </c>
      <c r="AA28" s="84">
        <v>0</v>
      </c>
      <c r="AB28" s="84">
        <v>0</v>
      </c>
      <c r="AC28" s="84">
        <v>0</v>
      </c>
      <c r="AD28" s="84">
        <v>0</v>
      </c>
      <c r="AE28" s="84"/>
      <c r="AF28" s="84"/>
      <c r="AG28" s="84"/>
      <c r="AH28" s="84"/>
      <c r="AI28" s="84"/>
      <c r="AJ28" s="84"/>
      <c r="AK28" s="84"/>
      <c r="AL28" s="84"/>
      <c r="AM28" s="84"/>
      <c r="AN28" s="84"/>
    </row>
    <row r="29" spans="1:40" ht="15.75" customHeight="1" x14ac:dyDescent="0.25">
      <c r="B29" s="85" t="s">
        <v>46</v>
      </c>
      <c r="C29" s="85" t="s">
        <v>47</v>
      </c>
      <c r="D29" s="44">
        <v>248736</v>
      </c>
      <c r="E29" s="44">
        <v>233999</v>
      </c>
      <c r="F29" s="44">
        <v>248262</v>
      </c>
      <c r="G29" s="44">
        <v>240568</v>
      </c>
      <c r="H29" s="44">
        <v>244853</v>
      </c>
      <c r="I29" s="44">
        <v>223592</v>
      </c>
      <c r="J29" s="44">
        <v>219741</v>
      </c>
      <c r="K29" s="44">
        <v>160038</v>
      </c>
      <c r="L29" s="44">
        <v>182918</v>
      </c>
      <c r="M29" s="44">
        <v>194776</v>
      </c>
      <c r="N29" s="44">
        <v>198396</v>
      </c>
      <c r="O29" s="44">
        <v>212459</v>
      </c>
      <c r="P29" s="44">
        <v>278072</v>
      </c>
      <c r="Q29" s="44">
        <v>205217</v>
      </c>
      <c r="R29" s="44">
        <v>188342</v>
      </c>
      <c r="S29" s="44">
        <v>189584</v>
      </c>
      <c r="T29" s="44">
        <v>195561</v>
      </c>
      <c r="U29" s="44">
        <v>186982</v>
      </c>
      <c r="V29" s="44">
        <v>177415</v>
      </c>
      <c r="W29" s="44">
        <v>154146</v>
      </c>
      <c r="X29" s="44">
        <v>119928</v>
      </c>
      <c r="Y29" s="44">
        <v>105672</v>
      </c>
      <c r="Z29" s="44">
        <v>100677</v>
      </c>
      <c r="AA29" s="44">
        <v>88638</v>
      </c>
      <c r="AB29" s="44">
        <v>94573</v>
      </c>
      <c r="AC29" s="44">
        <v>116041</v>
      </c>
      <c r="AD29" s="44">
        <v>115040</v>
      </c>
      <c r="AE29" s="44">
        <v>121681</v>
      </c>
      <c r="AF29" s="44">
        <v>0</v>
      </c>
      <c r="AG29" s="44">
        <v>0</v>
      </c>
      <c r="AH29" s="44">
        <v>0</v>
      </c>
      <c r="AI29" s="44">
        <v>0</v>
      </c>
      <c r="AJ29" s="44">
        <v>0</v>
      </c>
      <c r="AK29" s="44">
        <v>0</v>
      </c>
      <c r="AL29" s="44">
        <v>0</v>
      </c>
      <c r="AM29" s="44">
        <v>0</v>
      </c>
    </row>
    <row r="30" spans="1:40" ht="15.75" customHeight="1" x14ac:dyDescent="0.25">
      <c r="B30" s="85" t="s">
        <v>48</v>
      </c>
      <c r="C30" s="85" t="s">
        <v>49</v>
      </c>
      <c r="D30" s="44">
        <v>1412887</v>
      </c>
      <c r="E30" s="44">
        <v>1233198</v>
      </c>
      <c r="F30" s="44">
        <v>1151501</v>
      </c>
      <c r="G30" s="44">
        <v>969298</v>
      </c>
      <c r="H30" s="44">
        <v>1147769</v>
      </c>
      <c r="I30" s="44">
        <v>1042815</v>
      </c>
      <c r="J30" s="44">
        <v>992013</v>
      </c>
      <c r="K30" s="44">
        <v>902346</v>
      </c>
      <c r="L30" s="44">
        <v>1154277</v>
      </c>
      <c r="M30" s="44">
        <v>811701</v>
      </c>
      <c r="N30" s="44">
        <v>1104435</v>
      </c>
      <c r="O30" s="44">
        <v>1023366</v>
      </c>
      <c r="P30" s="44">
        <v>1561547</v>
      </c>
      <c r="Q30" s="44">
        <v>919548</v>
      </c>
      <c r="R30" s="44">
        <v>1011981</v>
      </c>
      <c r="S30" s="44">
        <v>791271</v>
      </c>
      <c r="T30" s="44">
        <v>914294</v>
      </c>
      <c r="U30" s="44">
        <v>848444</v>
      </c>
      <c r="V30" s="44">
        <v>745432</v>
      </c>
      <c r="W30" s="44">
        <v>697107</v>
      </c>
      <c r="X30" s="44">
        <v>654813</v>
      </c>
      <c r="Y30" s="44">
        <v>611881</v>
      </c>
      <c r="Z30" s="44">
        <v>367394</v>
      </c>
      <c r="AA30" s="44">
        <v>383414</v>
      </c>
      <c r="AB30" s="44">
        <v>661010</v>
      </c>
      <c r="AC30" s="44">
        <v>492862</v>
      </c>
      <c r="AD30" s="44">
        <v>442864</v>
      </c>
      <c r="AE30" s="44">
        <v>397318</v>
      </c>
      <c r="AF30" s="44">
        <v>544440</v>
      </c>
      <c r="AG30" s="44">
        <v>429311</v>
      </c>
      <c r="AH30" s="44">
        <v>400149</v>
      </c>
      <c r="AI30" s="44">
        <v>347792</v>
      </c>
      <c r="AJ30" s="44">
        <v>530382</v>
      </c>
      <c r="AK30" s="44">
        <v>370748</v>
      </c>
      <c r="AL30" s="44">
        <v>371430</v>
      </c>
      <c r="AM30" s="44">
        <v>334953</v>
      </c>
    </row>
    <row r="31" spans="1:40" ht="15.75" customHeight="1" x14ac:dyDescent="0.25">
      <c r="B31" s="85" t="s">
        <v>50</v>
      </c>
      <c r="C31" s="85" t="s">
        <v>51</v>
      </c>
      <c r="D31" s="44">
        <v>392246</v>
      </c>
      <c r="E31" s="44">
        <v>276575</v>
      </c>
      <c r="F31" s="44">
        <v>271954</v>
      </c>
      <c r="G31" s="44">
        <v>251546</v>
      </c>
      <c r="H31" s="44">
        <v>313862</v>
      </c>
      <c r="I31" s="44">
        <v>261031</v>
      </c>
      <c r="J31" s="44">
        <v>245722</v>
      </c>
      <c r="K31" s="44">
        <v>165894</v>
      </c>
      <c r="L31" s="44">
        <v>192151</v>
      </c>
      <c r="M31" s="44">
        <v>258180</v>
      </c>
      <c r="N31" s="44">
        <v>259461</v>
      </c>
      <c r="O31" s="44">
        <v>314260</v>
      </c>
      <c r="P31" s="44">
        <v>293595</v>
      </c>
      <c r="Q31" s="44">
        <v>162561</v>
      </c>
      <c r="R31" s="44">
        <v>119370</v>
      </c>
      <c r="S31" s="44">
        <v>152811</v>
      </c>
      <c r="T31" s="44">
        <v>458008</v>
      </c>
      <c r="U31" s="44">
        <v>549669</v>
      </c>
      <c r="V31" s="44">
        <v>512672</v>
      </c>
      <c r="W31" s="44">
        <v>624689</v>
      </c>
      <c r="X31" s="44">
        <v>612029</v>
      </c>
      <c r="Y31" s="44">
        <v>178037</v>
      </c>
      <c r="Z31" s="44">
        <v>172829</v>
      </c>
      <c r="AA31" s="44">
        <v>192344</v>
      </c>
      <c r="AB31" s="44">
        <v>184361</v>
      </c>
      <c r="AC31" s="44">
        <v>166972</v>
      </c>
      <c r="AD31" s="44">
        <v>158177</v>
      </c>
      <c r="AE31" s="44">
        <v>144116</v>
      </c>
      <c r="AF31" s="44">
        <v>168092</v>
      </c>
      <c r="AG31" s="44">
        <v>159970</v>
      </c>
      <c r="AH31" s="44">
        <v>179930</v>
      </c>
      <c r="AI31" s="44">
        <v>169514</v>
      </c>
      <c r="AJ31" s="44">
        <v>179268</v>
      </c>
      <c r="AK31" s="44">
        <v>139247</v>
      </c>
      <c r="AL31" s="44">
        <v>123183</v>
      </c>
      <c r="AM31" s="44">
        <v>153937</v>
      </c>
    </row>
    <row r="32" spans="1:40" ht="15.75" customHeight="1" x14ac:dyDescent="0.25">
      <c r="B32" s="85" t="s">
        <v>52</v>
      </c>
      <c r="C32" s="85" t="s">
        <v>53</v>
      </c>
      <c r="D32" s="44">
        <v>71718</v>
      </c>
      <c r="E32" s="44">
        <v>62908</v>
      </c>
      <c r="F32" s="44">
        <v>55873</v>
      </c>
      <c r="G32" s="44">
        <v>51459</v>
      </c>
      <c r="H32" s="44">
        <v>44078</v>
      </c>
      <c r="I32" s="44">
        <v>47186</v>
      </c>
      <c r="J32" s="44">
        <v>48071</v>
      </c>
      <c r="K32" s="44">
        <v>29015</v>
      </c>
      <c r="L32" s="44">
        <v>31677</v>
      </c>
      <c r="M32" s="44">
        <v>36073</v>
      </c>
      <c r="N32" s="44">
        <v>41174</v>
      </c>
      <c r="O32" s="44">
        <v>43259</v>
      </c>
      <c r="P32" s="44">
        <v>47030</v>
      </c>
      <c r="Q32" s="44">
        <v>51784</v>
      </c>
      <c r="R32" s="44">
        <v>54627</v>
      </c>
      <c r="S32" s="44">
        <v>58680</v>
      </c>
      <c r="T32" s="44">
        <v>61056</v>
      </c>
      <c r="U32" s="44">
        <v>61836</v>
      </c>
      <c r="V32" s="44">
        <v>63321</v>
      </c>
      <c r="W32" s="44">
        <v>52695</v>
      </c>
      <c r="X32" s="44">
        <v>54775</v>
      </c>
      <c r="Y32" s="44">
        <v>57095</v>
      </c>
      <c r="Z32" s="44">
        <v>60777</v>
      </c>
      <c r="AA32" s="44">
        <v>58200</v>
      </c>
      <c r="AB32" s="44">
        <v>60420</v>
      </c>
      <c r="AC32" s="44">
        <v>63336</v>
      </c>
      <c r="AD32" s="44">
        <v>62415</v>
      </c>
      <c r="AE32" s="44">
        <v>65586</v>
      </c>
      <c r="AF32" s="44">
        <v>62679</v>
      </c>
      <c r="AG32" s="44">
        <v>65776</v>
      </c>
      <c r="AH32" s="44">
        <v>60621</v>
      </c>
      <c r="AI32" s="44">
        <v>51256</v>
      </c>
      <c r="AJ32" s="44">
        <v>71464</v>
      </c>
      <c r="AK32" s="44">
        <v>85836</v>
      </c>
      <c r="AL32" s="44">
        <v>85797</v>
      </c>
      <c r="AM32" s="44">
        <v>69177</v>
      </c>
    </row>
    <row r="33" spans="2:39" ht="15.75" customHeight="1" x14ac:dyDescent="0.25">
      <c r="B33" s="85" t="s">
        <v>54</v>
      </c>
      <c r="C33" s="85" t="s">
        <v>55</v>
      </c>
      <c r="D33" s="44">
        <v>920874</v>
      </c>
      <c r="E33" s="44">
        <v>870601</v>
      </c>
      <c r="F33" s="44">
        <v>815383</v>
      </c>
      <c r="G33" s="44">
        <v>758654</v>
      </c>
      <c r="H33" s="44">
        <v>879853</v>
      </c>
      <c r="I33" s="44">
        <v>660533</v>
      </c>
      <c r="J33" s="44">
        <v>585586</v>
      </c>
      <c r="K33" s="44">
        <v>524138</v>
      </c>
      <c r="L33" s="44">
        <v>533253</v>
      </c>
      <c r="M33" s="44">
        <v>411464</v>
      </c>
      <c r="N33" s="44">
        <v>370461</v>
      </c>
      <c r="O33" s="44">
        <v>393954</v>
      </c>
      <c r="P33" s="44">
        <v>384535</v>
      </c>
      <c r="Q33" s="44">
        <v>309653</v>
      </c>
      <c r="R33" s="44">
        <v>225044</v>
      </c>
      <c r="S33" s="44">
        <v>200087</v>
      </c>
      <c r="T33" s="44">
        <v>240217</v>
      </c>
      <c r="U33" s="44">
        <v>332486</v>
      </c>
      <c r="V33" s="44">
        <v>235079</v>
      </c>
      <c r="W33" s="44">
        <v>199639</v>
      </c>
      <c r="X33" s="44">
        <v>252112</v>
      </c>
      <c r="Y33" s="44">
        <v>29221</v>
      </c>
      <c r="Z33" s="44">
        <v>19059</v>
      </c>
      <c r="AA33" s="44">
        <v>139450</v>
      </c>
      <c r="AB33" s="44">
        <v>66228</v>
      </c>
      <c r="AC33" s="44">
        <v>51577</v>
      </c>
      <c r="AD33" s="44">
        <v>99514</v>
      </c>
      <c r="AE33" s="44">
        <v>54404</v>
      </c>
      <c r="AF33" s="44">
        <v>61684</v>
      </c>
      <c r="AG33" s="44">
        <v>39184</v>
      </c>
      <c r="AH33" s="44">
        <v>44737</v>
      </c>
      <c r="AI33" s="44">
        <v>56883</v>
      </c>
      <c r="AJ33" s="44">
        <v>63978</v>
      </c>
      <c r="AK33" s="44">
        <v>43420</v>
      </c>
      <c r="AL33" s="44">
        <v>35893</v>
      </c>
      <c r="AM33" s="44">
        <v>73901</v>
      </c>
    </row>
    <row r="34" spans="2:39" ht="15.75" customHeight="1" x14ac:dyDescent="0.25">
      <c r="B34" s="85" t="s">
        <v>675</v>
      </c>
      <c r="C34" s="85" t="s">
        <v>676</v>
      </c>
      <c r="D34" s="44">
        <v>51785</v>
      </c>
      <c r="E34" s="44">
        <v>14190</v>
      </c>
      <c r="F34" s="44">
        <v>1499</v>
      </c>
      <c r="G34" s="44">
        <v>0</v>
      </c>
      <c r="H34" s="44">
        <v>5197</v>
      </c>
      <c r="I34" s="44">
        <v>1327</v>
      </c>
      <c r="J34" s="44">
        <v>1041</v>
      </c>
      <c r="K34" s="44">
        <v>6951</v>
      </c>
      <c r="L34" s="44">
        <v>506</v>
      </c>
      <c r="M34" s="44">
        <v>11763</v>
      </c>
      <c r="N34" s="44">
        <v>5393</v>
      </c>
      <c r="O34" s="44">
        <v>2695</v>
      </c>
      <c r="P34" s="44">
        <v>32944</v>
      </c>
      <c r="Q34" s="44">
        <v>25597</v>
      </c>
      <c r="R34" s="44">
        <v>29527</v>
      </c>
      <c r="S34" s="44">
        <v>34694</v>
      </c>
      <c r="T34" s="44">
        <v>51351</v>
      </c>
      <c r="U34" s="44"/>
      <c r="V34" s="44"/>
      <c r="W34" s="44"/>
      <c r="X34" s="44">
        <v>59667</v>
      </c>
      <c r="Y34" s="44"/>
      <c r="Z34" s="44"/>
      <c r="AA34" s="44"/>
      <c r="AB34" s="44"/>
      <c r="AC34" s="44"/>
      <c r="AD34" s="44"/>
      <c r="AE34" s="44"/>
      <c r="AF34" s="44"/>
      <c r="AG34" s="44"/>
      <c r="AH34" s="44"/>
      <c r="AI34" s="44"/>
      <c r="AJ34" s="44"/>
      <c r="AK34" s="44"/>
      <c r="AL34" s="44"/>
      <c r="AM34" s="44"/>
    </row>
    <row r="35" spans="2:39" ht="15.75" customHeight="1" x14ac:dyDescent="0.25">
      <c r="B35" s="104" t="s">
        <v>836</v>
      </c>
      <c r="C35" s="104" t="s">
        <v>57</v>
      </c>
      <c r="D35" s="105">
        <v>2722980</v>
      </c>
      <c r="E35" s="105">
        <v>2760679</v>
      </c>
      <c r="F35" s="105">
        <v>2336619</v>
      </c>
      <c r="G35" s="105">
        <v>2642707</v>
      </c>
      <c r="H35" s="105">
        <v>2711392</v>
      </c>
      <c r="I35" s="105">
        <v>2730837</v>
      </c>
      <c r="J35" s="105">
        <v>2814670</v>
      </c>
      <c r="K35" s="105">
        <v>3105970</v>
      </c>
      <c r="L35" s="105">
        <v>3231190</v>
      </c>
      <c r="M35" s="105">
        <v>3291171</v>
      </c>
      <c r="N35" s="105">
        <v>3164409</v>
      </c>
      <c r="O35" s="105">
        <v>3129110</v>
      </c>
      <c r="P35" s="105">
        <v>3112055</v>
      </c>
      <c r="Q35" s="105">
        <v>3269142</v>
      </c>
      <c r="R35" s="105">
        <v>3220309</v>
      </c>
      <c r="S35" s="105">
        <v>3041473</v>
      </c>
      <c r="T35" s="105">
        <v>2760640</v>
      </c>
      <c r="U35" s="105">
        <v>2682058</v>
      </c>
      <c r="V35" s="105">
        <v>2681319</v>
      </c>
      <c r="W35" s="105">
        <v>2439832</v>
      </c>
      <c r="X35" s="105">
        <v>2415726</v>
      </c>
      <c r="Y35" s="105">
        <v>2189283</v>
      </c>
      <c r="Z35" s="105">
        <v>1979197</v>
      </c>
      <c r="AA35" s="105">
        <v>1690013</v>
      </c>
      <c r="AB35" s="105">
        <v>1671434</v>
      </c>
      <c r="AC35" s="105">
        <v>1414931</v>
      </c>
      <c r="AD35" s="105">
        <v>1303098</v>
      </c>
      <c r="AE35" s="105">
        <v>1639778</v>
      </c>
      <c r="AF35" s="105">
        <v>675283</v>
      </c>
      <c r="AG35" s="105">
        <v>713922</v>
      </c>
      <c r="AH35" s="105">
        <v>707490</v>
      </c>
      <c r="AI35" s="105">
        <v>724924</v>
      </c>
      <c r="AJ35" s="105">
        <v>717150</v>
      </c>
      <c r="AK35" s="105">
        <v>706181</v>
      </c>
      <c r="AL35" s="105">
        <v>700431</v>
      </c>
      <c r="AM35" s="105">
        <v>576859</v>
      </c>
    </row>
    <row r="36" spans="2:39" ht="15.75" customHeight="1" x14ac:dyDescent="0.25">
      <c r="B36" s="85" t="s">
        <v>44</v>
      </c>
      <c r="C36" s="85" t="s">
        <v>45</v>
      </c>
      <c r="D36" s="44">
        <v>112408</v>
      </c>
      <c r="E36" s="44">
        <v>130399</v>
      </c>
      <c r="F36" s="44">
        <v>98961</v>
      </c>
      <c r="G36" s="44">
        <v>111187</v>
      </c>
      <c r="H36" s="44">
        <v>123385</v>
      </c>
      <c r="I36" s="44">
        <v>135551</v>
      </c>
      <c r="J36" s="44">
        <v>147686</v>
      </c>
      <c r="K36" s="44">
        <v>159912</v>
      </c>
      <c r="L36" s="44">
        <v>172444</v>
      </c>
      <c r="M36" s="46">
        <v>185008</v>
      </c>
      <c r="N36" s="44">
        <v>2230</v>
      </c>
      <c r="O36" s="44">
        <v>80309</v>
      </c>
      <c r="P36" s="44">
        <v>81997</v>
      </c>
      <c r="Q36" s="44">
        <v>84465</v>
      </c>
      <c r="R36" s="44">
        <v>86559</v>
      </c>
      <c r="S36" s="44">
        <v>163087</v>
      </c>
      <c r="T36" s="44">
        <v>165260</v>
      </c>
      <c r="U36" s="44">
        <v>167466</v>
      </c>
      <c r="V36" s="44">
        <v>164951</v>
      </c>
      <c r="W36" s="44">
        <v>283052</v>
      </c>
      <c r="X36" s="44">
        <v>278850</v>
      </c>
      <c r="Y36" s="44">
        <v>320918</v>
      </c>
      <c r="Z36" s="44">
        <v>321679</v>
      </c>
      <c r="AA36" s="44">
        <v>8778</v>
      </c>
      <c r="AB36" s="44">
        <v>7553</v>
      </c>
      <c r="AC36" s="44">
        <v>8691</v>
      </c>
      <c r="AD36" s="44">
        <v>9547</v>
      </c>
      <c r="AE36" s="44">
        <v>267499</v>
      </c>
      <c r="AF36" s="44">
        <v>263967</v>
      </c>
      <c r="AG36" s="44">
        <v>306607</v>
      </c>
      <c r="AH36" s="44">
        <v>306041</v>
      </c>
      <c r="AI36" s="44">
        <v>350656</v>
      </c>
      <c r="AJ36" s="44">
        <v>349555</v>
      </c>
      <c r="AK36" s="44">
        <v>333135</v>
      </c>
      <c r="AL36" s="44">
        <v>334646</v>
      </c>
      <c r="AM36" s="44">
        <v>174743</v>
      </c>
    </row>
    <row r="37" spans="2:39" ht="15.75" customHeight="1" x14ac:dyDescent="0.25">
      <c r="B37" s="85" t="s">
        <v>539</v>
      </c>
      <c r="C37" s="85" t="s">
        <v>540</v>
      </c>
      <c r="D37" s="44">
        <v>813809</v>
      </c>
      <c r="E37" s="44">
        <v>813386</v>
      </c>
      <c r="F37" s="44">
        <v>336009</v>
      </c>
      <c r="G37" s="44">
        <v>669582</v>
      </c>
      <c r="H37" s="44">
        <v>710388</v>
      </c>
      <c r="I37" s="44">
        <v>731139</v>
      </c>
      <c r="J37" s="44">
        <v>771841</v>
      </c>
      <c r="K37" s="44">
        <v>760419</v>
      </c>
      <c r="L37" s="44">
        <v>801052</v>
      </c>
      <c r="M37" s="46">
        <v>821630</v>
      </c>
      <c r="N37" s="44">
        <v>839430</v>
      </c>
      <c r="O37" s="44">
        <v>774156</v>
      </c>
      <c r="P37" s="44">
        <v>773647</v>
      </c>
      <c r="Q37" s="44">
        <v>773139</v>
      </c>
      <c r="R37" s="44">
        <v>772593</v>
      </c>
      <c r="S37" s="44">
        <v>451506</v>
      </c>
      <c r="T37" s="44">
        <v>451042</v>
      </c>
      <c r="U37" s="44">
        <v>450578</v>
      </c>
      <c r="V37" s="44">
        <v>450050</v>
      </c>
      <c r="W37" s="44">
        <v>228239</v>
      </c>
      <c r="X37" s="44">
        <v>226762</v>
      </c>
      <c r="Y37" s="44">
        <v>227564</v>
      </c>
      <c r="Z37" s="44"/>
      <c r="AA37" s="44"/>
      <c r="AB37" s="44"/>
      <c r="AC37" s="44"/>
      <c r="AD37" s="44"/>
      <c r="AE37" s="44"/>
      <c r="AF37" s="44"/>
      <c r="AG37" s="44"/>
      <c r="AH37" s="44"/>
      <c r="AI37" s="44"/>
      <c r="AJ37" s="44"/>
      <c r="AK37" s="44"/>
      <c r="AL37" s="44"/>
      <c r="AM37" s="44"/>
    </row>
    <row r="38" spans="2:39" ht="15.75" customHeight="1" x14ac:dyDescent="0.25">
      <c r="B38" s="85" t="s">
        <v>58</v>
      </c>
      <c r="C38" s="85" t="s">
        <v>59</v>
      </c>
      <c r="D38" s="44">
        <v>0</v>
      </c>
      <c r="E38" s="44">
        <v>0</v>
      </c>
      <c r="F38" s="44">
        <v>0</v>
      </c>
      <c r="G38" s="44">
        <v>0</v>
      </c>
      <c r="H38" s="44">
        <v>0</v>
      </c>
      <c r="I38" s="44">
        <v>0</v>
      </c>
      <c r="J38" s="44">
        <v>0</v>
      </c>
      <c r="K38" s="44">
        <v>0</v>
      </c>
      <c r="L38" s="44">
        <v>0</v>
      </c>
      <c r="M38" s="87">
        <v>0</v>
      </c>
      <c r="N38" s="84">
        <v>0</v>
      </c>
      <c r="O38" s="84">
        <v>0</v>
      </c>
      <c r="P38" s="84">
        <v>0</v>
      </c>
      <c r="Q38" s="84">
        <v>0</v>
      </c>
      <c r="R38" s="84">
        <v>0</v>
      </c>
      <c r="S38" s="84">
        <v>0</v>
      </c>
      <c r="T38" s="84">
        <v>0</v>
      </c>
      <c r="U38" s="84">
        <v>0</v>
      </c>
      <c r="V38" s="84">
        <v>0</v>
      </c>
      <c r="W38" s="84" t="s">
        <v>166</v>
      </c>
      <c r="X38" s="84">
        <v>0</v>
      </c>
      <c r="Y38" s="44">
        <v>0</v>
      </c>
      <c r="Z38" s="44">
        <v>0</v>
      </c>
      <c r="AA38" s="44">
        <v>0</v>
      </c>
      <c r="AB38" s="44">
        <v>0</v>
      </c>
      <c r="AC38" s="44">
        <v>0</v>
      </c>
      <c r="AD38" s="44">
        <v>0</v>
      </c>
      <c r="AE38" s="44">
        <v>10131</v>
      </c>
      <c r="AF38" s="44">
        <v>9981</v>
      </c>
      <c r="AG38" s="44">
        <v>9830</v>
      </c>
      <c r="AH38" s="44">
        <v>9677</v>
      </c>
      <c r="AI38" s="44">
        <v>9529</v>
      </c>
      <c r="AJ38" s="44">
        <v>9217</v>
      </c>
      <c r="AK38" s="44">
        <v>27</v>
      </c>
      <c r="AL38" s="44">
        <v>0</v>
      </c>
      <c r="AM38" s="44">
        <v>0</v>
      </c>
    </row>
    <row r="39" spans="2:39" ht="15.75" customHeight="1" x14ac:dyDescent="0.25">
      <c r="B39" s="85" t="s">
        <v>60</v>
      </c>
      <c r="C39" s="85" t="s">
        <v>61</v>
      </c>
      <c r="D39" s="44">
        <v>0</v>
      </c>
      <c r="E39" s="44">
        <v>0</v>
      </c>
      <c r="F39" s="44">
        <v>0</v>
      </c>
      <c r="G39" s="44">
        <v>0</v>
      </c>
      <c r="H39" s="44">
        <v>0</v>
      </c>
      <c r="I39" s="44">
        <v>0</v>
      </c>
      <c r="J39" s="44">
        <v>0</v>
      </c>
      <c r="K39" s="44">
        <v>0</v>
      </c>
      <c r="L39" s="44">
        <v>0</v>
      </c>
      <c r="M39" s="46">
        <v>0</v>
      </c>
      <c r="N39" s="44">
        <v>0</v>
      </c>
      <c r="O39" s="44">
        <v>0</v>
      </c>
      <c r="P39" s="44">
        <v>0</v>
      </c>
      <c r="Q39" s="44">
        <v>0</v>
      </c>
      <c r="R39" s="44">
        <v>0</v>
      </c>
      <c r="S39" s="44">
        <v>0</v>
      </c>
      <c r="T39" s="44">
        <v>0</v>
      </c>
      <c r="U39" s="44">
        <v>0</v>
      </c>
      <c r="V39" s="44">
        <v>0</v>
      </c>
      <c r="W39" s="44">
        <v>293</v>
      </c>
      <c r="X39" s="84">
        <v>0</v>
      </c>
      <c r="Y39" s="44">
        <v>1137</v>
      </c>
      <c r="Z39" s="44">
        <v>0</v>
      </c>
      <c r="AA39" s="44">
        <v>499</v>
      </c>
      <c r="AB39" s="44">
        <v>499</v>
      </c>
      <c r="AC39" s="44">
        <v>0</v>
      </c>
      <c r="AD39" s="44">
        <v>0</v>
      </c>
      <c r="AE39" s="44">
        <v>0</v>
      </c>
      <c r="AF39" s="44">
        <v>0</v>
      </c>
      <c r="AG39" s="44">
        <v>0</v>
      </c>
      <c r="AH39" s="44">
        <v>0</v>
      </c>
      <c r="AI39" s="44">
        <v>0</v>
      </c>
      <c r="AJ39" s="44">
        <v>0</v>
      </c>
      <c r="AK39" s="44">
        <v>0</v>
      </c>
      <c r="AL39" s="44">
        <v>0</v>
      </c>
      <c r="AM39" s="44">
        <v>0</v>
      </c>
    </row>
    <row r="40" spans="2:39" ht="15.75" customHeight="1" x14ac:dyDescent="0.25">
      <c r="B40" s="85" t="s">
        <v>690</v>
      </c>
      <c r="C40" s="85" t="s">
        <v>691</v>
      </c>
      <c r="D40" s="44">
        <v>0</v>
      </c>
      <c r="E40" s="44">
        <v>0</v>
      </c>
      <c r="F40" s="44">
        <v>0</v>
      </c>
      <c r="G40" s="44">
        <v>0</v>
      </c>
      <c r="H40" s="44">
        <v>0</v>
      </c>
      <c r="I40" s="44">
        <v>0</v>
      </c>
      <c r="J40" s="44">
        <v>0</v>
      </c>
      <c r="K40" s="44">
        <v>0</v>
      </c>
      <c r="L40" s="44">
        <v>0</v>
      </c>
      <c r="M40" s="46">
        <v>0</v>
      </c>
      <c r="N40" s="44">
        <v>0</v>
      </c>
      <c r="O40" s="44">
        <v>0</v>
      </c>
      <c r="P40" s="44">
        <v>0</v>
      </c>
      <c r="Q40" s="44">
        <v>9245</v>
      </c>
      <c r="R40" s="44">
        <v>6986</v>
      </c>
      <c r="S40" s="44">
        <v>6986</v>
      </c>
      <c r="T40" s="44">
        <v>0</v>
      </c>
      <c r="U40" s="44">
        <v>0</v>
      </c>
      <c r="V40" s="44">
        <v>0</v>
      </c>
      <c r="W40" s="44">
        <v>0</v>
      </c>
      <c r="X40" s="44">
        <v>0</v>
      </c>
      <c r="Y40" s="44">
        <v>0</v>
      </c>
      <c r="Z40" s="44">
        <v>0</v>
      </c>
      <c r="AA40" s="44">
        <v>0</v>
      </c>
      <c r="AB40" s="44">
        <v>0</v>
      </c>
      <c r="AC40" s="44">
        <v>0</v>
      </c>
      <c r="AD40" s="44">
        <v>0</v>
      </c>
      <c r="AE40" s="44">
        <v>0</v>
      </c>
      <c r="AF40" s="44">
        <v>0</v>
      </c>
      <c r="AG40" s="44">
        <v>0</v>
      </c>
      <c r="AH40" s="44">
        <v>0</v>
      </c>
      <c r="AI40" s="44">
        <v>0</v>
      </c>
      <c r="AJ40" s="44">
        <v>0</v>
      </c>
      <c r="AK40" s="44">
        <v>0</v>
      </c>
      <c r="AL40" s="44">
        <v>0</v>
      </c>
      <c r="AM40" s="44">
        <v>0</v>
      </c>
    </row>
    <row r="41" spans="2:39" ht="15.75" customHeight="1" x14ac:dyDescent="0.25">
      <c r="B41" s="85" t="s">
        <v>844</v>
      </c>
      <c r="C41" s="85" t="s">
        <v>62</v>
      </c>
      <c r="D41" s="44">
        <v>173269</v>
      </c>
      <c r="E41" s="44">
        <v>179095</v>
      </c>
      <c r="F41" s="44">
        <v>184639</v>
      </c>
      <c r="G41" s="44">
        <v>189791</v>
      </c>
      <c r="H41" s="44">
        <v>197885</v>
      </c>
      <c r="I41" s="44">
        <v>194488</v>
      </c>
      <c r="J41" s="44">
        <v>195631</v>
      </c>
      <c r="K41" s="44">
        <v>64156</v>
      </c>
      <c r="L41" s="44">
        <v>64396</v>
      </c>
      <c r="M41" s="46">
        <v>64563</v>
      </c>
      <c r="N41" s="44">
        <v>65309</v>
      </c>
      <c r="O41" s="44">
        <v>62453</v>
      </c>
      <c r="P41" s="44">
        <v>65359</v>
      </c>
      <c r="Q41" s="44">
        <v>68627</v>
      </c>
      <c r="R41" s="44">
        <v>74057</v>
      </c>
      <c r="S41" s="44">
        <v>83215</v>
      </c>
      <c r="T41" s="44">
        <v>90690</v>
      </c>
      <c r="U41" s="44">
        <v>100198</v>
      </c>
      <c r="V41" s="44">
        <v>108614</v>
      </c>
      <c r="W41" s="44">
        <v>91090</v>
      </c>
      <c r="X41" s="44">
        <v>101776</v>
      </c>
      <c r="Y41" s="44">
        <v>105137</v>
      </c>
      <c r="Z41" s="44">
        <v>115584</v>
      </c>
      <c r="AA41" s="44">
        <v>124121</v>
      </c>
      <c r="AB41" s="44">
        <v>135771</v>
      </c>
      <c r="AC41" s="44">
        <v>146522</v>
      </c>
      <c r="AD41" s="44">
        <v>137654</v>
      </c>
      <c r="AE41" s="44">
        <v>149552</v>
      </c>
      <c r="AF41" s="44">
        <v>146875</v>
      </c>
      <c r="AG41" s="44">
        <v>145875</v>
      </c>
      <c r="AH41" s="44">
        <v>141306</v>
      </c>
      <c r="AI41" s="44">
        <v>113507</v>
      </c>
      <c r="AJ41" s="44">
        <v>106282</v>
      </c>
      <c r="AK41" s="44">
        <v>127092</v>
      </c>
      <c r="AL41" s="44">
        <v>136803</v>
      </c>
      <c r="AM41" s="44">
        <v>176495</v>
      </c>
    </row>
    <row r="42" spans="2:39" ht="15.75" customHeight="1" x14ac:dyDescent="0.25">
      <c r="B42" s="85" t="s">
        <v>50</v>
      </c>
      <c r="C42" s="85" t="s">
        <v>51</v>
      </c>
      <c r="D42" s="44">
        <v>72110</v>
      </c>
      <c r="E42" s="44">
        <v>77653</v>
      </c>
      <c r="F42" s="44">
        <v>83197</v>
      </c>
      <c r="G42" s="44">
        <v>89292</v>
      </c>
      <c r="H42" s="44">
        <v>86227</v>
      </c>
      <c r="I42" s="44">
        <v>90101</v>
      </c>
      <c r="J42" s="44">
        <v>93976</v>
      </c>
      <c r="K42" s="44">
        <v>117036</v>
      </c>
      <c r="L42" s="44">
        <v>166106</v>
      </c>
      <c r="M42" s="46">
        <v>201296</v>
      </c>
      <c r="N42" s="44">
        <v>224611</v>
      </c>
      <c r="O42" s="44">
        <v>238697</v>
      </c>
      <c r="P42" s="44">
        <v>263445</v>
      </c>
      <c r="Q42" s="44">
        <v>267640</v>
      </c>
      <c r="R42" s="44">
        <v>274090</v>
      </c>
      <c r="S42" s="44">
        <v>316137</v>
      </c>
      <c r="T42" s="44">
        <v>139117</v>
      </c>
      <c r="U42" s="44">
        <v>143035</v>
      </c>
      <c r="V42" s="44">
        <v>211405</v>
      </c>
      <c r="W42" s="44">
        <v>150394</v>
      </c>
      <c r="X42" s="44">
        <v>154732</v>
      </c>
      <c r="Y42" s="44">
        <v>0</v>
      </c>
      <c r="Z42" s="44">
        <v>0</v>
      </c>
      <c r="AA42" s="44">
        <v>0</v>
      </c>
      <c r="AB42" s="44">
        <v>0</v>
      </c>
      <c r="AC42" s="44">
        <v>0</v>
      </c>
      <c r="AD42" s="44">
        <v>0</v>
      </c>
      <c r="AE42" s="44">
        <v>2787</v>
      </c>
      <c r="AF42" s="44">
        <v>0</v>
      </c>
      <c r="AG42" s="44">
        <v>0</v>
      </c>
      <c r="AH42" s="44">
        <v>0</v>
      </c>
      <c r="AI42" s="44">
        <v>0</v>
      </c>
      <c r="AJ42" s="44">
        <v>0</v>
      </c>
      <c r="AK42" s="44">
        <v>4115</v>
      </c>
      <c r="AL42" s="44">
        <v>4115</v>
      </c>
      <c r="AM42" s="44">
        <v>4115</v>
      </c>
    </row>
    <row r="43" spans="2:39" ht="15.75" customHeight="1" x14ac:dyDescent="0.25">
      <c r="B43" s="85" t="s">
        <v>46</v>
      </c>
      <c r="C43" s="85" t="s">
        <v>47</v>
      </c>
      <c r="D43" s="44">
        <v>1331156</v>
      </c>
      <c r="E43" s="44">
        <v>1348750</v>
      </c>
      <c r="F43" s="44">
        <v>1422259</v>
      </c>
      <c r="G43" s="44">
        <v>1365841</v>
      </c>
      <c r="H43" s="44">
        <v>1380089</v>
      </c>
      <c r="I43" s="44">
        <v>1361627</v>
      </c>
      <c r="J43" s="44">
        <v>1387711</v>
      </c>
      <c r="K43" s="44">
        <v>1380120</v>
      </c>
      <c r="L43" s="44">
        <v>1410966</v>
      </c>
      <c r="M43" s="46">
        <v>1428012</v>
      </c>
      <c r="N43" s="44">
        <v>1447747</v>
      </c>
      <c r="O43" s="44">
        <v>1396468</v>
      </c>
      <c r="P43" s="44">
        <v>1358170</v>
      </c>
      <c r="Q43" s="44">
        <v>1431349</v>
      </c>
      <c r="R43" s="44">
        <v>1380201</v>
      </c>
      <c r="S43" s="44">
        <v>1404830</v>
      </c>
      <c r="T43" s="44">
        <v>1295100</v>
      </c>
      <c r="U43" s="44">
        <v>1272589</v>
      </c>
      <c r="V43" s="44">
        <v>1203738</v>
      </c>
      <c r="W43" s="44">
        <v>1143754</v>
      </c>
      <c r="X43" s="44">
        <v>1106471</v>
      </c>
      <c r="Y43" s="44">
        <v>1057982</v>
      </c>
      <c r="Z43" s="44">
        <v>1065441</v>
      </c>
      <c r="AA43" s="44">
        <v>1082318</v>
      </c>
      <c r="AB43" s="44">
        <v>1055247</v>
      </c>
      <c r="AC43" s="44">
        <v>1010436</v>
      </c>
      <c r="AD43" s="44">
        <v>897459</v>
      </c>
      <c r="AE43" s="44">
        <v>954007</v>
      </c>
      <c r="AF43" s="44">
        <v>0</v>
      </c>
      <c r="AG43" s="44">
        <v>0</v>
      </c>
      <c r="AH43" s="44">
        <v>0</v>
      </c>
      <c r="AI43" s="44">
        <v>0</v>
      </c>
      <c r="AJ43" s="44">
        <v>0</v>
      </c>
      <c r="AK43" s="44">
        <v>0</v>
      </c>
      <c r="AL43" s="44">
        <v>0</v>
      </c>
      <c r="AM43" s="44">
        <v>0</v>
      </c>
    </row>
    <row r="44" spans="2:39" ht="15.75" customHeight="1" x14ac:dyDescent="0.25">
      <c r="B44" s="85" t="s">
        <v>63</v>
      </c>
      <c r="C44" s="85" t="s">
        <v>64</v>
      </c>
      <c r="D44" s="44">
        <v>206767</v>
      </c>
      <c r="E44" s="44">
        <v>198291</v>
      </c>
      <c r="F44" s="44">
        <v>198849</v>
      </c>
      <c r="G44" s="44">
        <v>204661</v>
      </c>
      <c r="H44" s="44">
        <v>201372</v>
      </c>
      <c r="I44" s="44">
        <v>206147</v>
      </c>
      <c r="J44" s="44">
        <v>206303</v>
      </c>
      <c r="K44" s="44">
        <v>613049</v>
      </c>
      <c r="L44" s="44">
        <v>605207</v>
      </c>
      <c r="M44" s="46">
        <v>579952</v>
      </c>
      <c r="N44" s="44">
        <v>574689</v>
      </c>
      <c r="O44" s="44">
        <v>566962</v>
      </c>
      <c r="P44" s="44">
        <v>559713</v>
      </c>
      <c r="Q44" s="44">
        <v>633910</v>
      </c>
      <c r="R44" s="44">
        <v>625823</v>
      </c>
      <c r="S44" s="44">
        <v>615712</v>
      </c>
      <c r="T44" s="44">
        <v>619431</v>
      </c>
      <c r="U44" s="44">
        <v>548192</v>
      </c>
      <c r="V44" s="44">
        <v>542561</v>
      </c>
      <c r="W44" s="44">
        <v>543010</v>
      </c>
      <c r="X44" s="44">
        <v>547135</v>
      </c>
      <c r="Y44" s="44">
        <v>476545</v>
      </c>
      <c r="Z44" s="44">
        <v>476493</v>
      </c>
      <c r="AA44" s="44">
        <v>474297</v>
      </c>
      <c r="AB44" s="44">
        <v>472364</v>
      </c>
      <c r="AC44" s="44">
        <v>249282</v>
      </c>
      <c r="AD44" s="44">
        <v>258438</v>
      </c>
      <c r="AE44" s="44">
        <v>255802</v>
      </c>
      <c r="AF44" s="44">
        <v>254460</v>
      </c>
      <c r="AG44" s="44">
        <v>251610</v>
      </c>
      <c r="AH44" s="44">
        <v>250466</v>
      </c>
      <c r="AI44" s="44">
        <v>251232</v>
      </c>
      <c r="AJ44" s="44">
        <v>252096</v>
      </c>
      <c r="AK44" s="44">
        <v>241812</v>
      </c>
      <c r="AL44" s="44">
        <v>224867</v>
      </c>
      <c r="AM44" s="44">
        <v>221506</v>
      </c>
    </row>
    <row r="45" spans="2:39" ht="15.75" customHeight="1" x14ac:dyDescent="0.25">
      <c r="B45" s="85" t="s">
        <v>759</v>
      </c>
      <c r="C45" s="85" t="s">
        <v>760</v>
      </c>
      <c r="D45" s="44">
        <v>13461</v>
      </c>
      <c r="E45" s="44">
        <v>13105</v>
      </c>
      <c r="F45" s="44">
        <v>12705</v>
      </c>
      <c r="G45" s="44">
        <v>12353</v>
      </c>
      <c r="H45" s="44">
        <v>12046</v>
      </c>
      <c r="I45" s="44">
        <v>11784</v>
      </c>
      <c r="J45" s="44">
        <v>11522</v>
      </c>
      <c r="K45" s="44">
        <v>11278</v>
      </c>
      <c r="L45" s="44">
        <v>11019</v>
      </c>
      <c r="M45" s="46">
        <v>10710</v>
      </c>
      <c r="N45" s="44">
        <v>10393</v>
      </c>
      <c r="O45" s="44">
        <v>10065</v>
      </c>
      <c r="P45" s="44">
        <v>9724</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4">
        <v>0</v>
      </c>
      <c r="AH45" s="44">
        <v>0</v>
      </c>
      <c r="AI45" s="44">
        <v>0</v>
      </c>
      <c r="AJ45" s="44">
        <v>0</v>
      </c>
      <c r="AK45" s="44">
        <v>0</v>
      </c>
      <c r="AL45" s="44">
        <v>0</v>
      </c>
      <c r="AM45" s="44">
        <v>0</v>
      </c>
    </row>
    <row r="46" spans="2:39" ht="15.75" customHeight="1" x14ac:dyDescent="0.25">
      <c r="B46" s="85" t="s">
        <v>729</v>
      </c>
      <c r="C46" s="85" t="s">
        <v>730</v>
      </c>
      <c r="D46" s="44">
        <v>0</v>
      </c>
      <c r="E46" s="44">
        <v>0</v>
      </c>
      <c r="F46" s="44">
        <v>0</v>
      </c>
      <c r="G46" s="44">
        <v>0</v>
      </c>
      <c r="H46" s="44">
        <v>0</v>
      </c>
      <c r="I46" s="44">
        <v>0</v>
      </c>
      <c r="J46" s="44">
        <v>0</v>
      </c>
      <c r="K46" s="44">
        <v>0</v>
      </c>
      <c r="L46" s="44">
        <v>0</v>
      </c>
      <c r="M46" s="46">
        <v>0</v>
      </c>
      <c r="N46" s="44">
        <v>0</v>
      </c>
      <c r="O46" s="44">
        <v>0</v>
      </c>
      <c r="P46" s="44">
        <v>0</v>
      </c>
      <c r="Q46" s="44">
        <v>767</v>
      </c>
      <c r="R46" s="84">
        <v>0</v>
      </c>
      <c r="S46" s="84">
        <v>0</v>
      </c>
      <c r="T46" s="84">
        <v>0</v>
      </c>
      <c r="U46" s="84">
        <v>0</v>
      </c>
      <c r="V46" s="84">
        <v>0</v>
      </c>
      <c r="W46" s="84" t="s">
        <v>166</v>
      </c>
      <c r="X46" s="84">
        <v>0</v>
      </c>
      <c r="Y46" s="44">
        <v>0</v>
      </c>
      <c r="Z46" s="44">
        <v>0</v>
      </c>
      <c r="AA46" s="44">
        <v>0</v>
      </c>
      <c r="AB46" s="44">
        <v>0</v>
      </c>
      <c r="AC46" s="44">
        <v>0</v>
      </c>
      <c r="AD46" s="44">
        <v>0</v>
      </c>
      <c r="AE46" s="44">
        <v>0</v>
      </c>
      <c r="AF46" s="44">
        <v>0</v>
      </c>
      <c r="AG46" s="44">
        <v>0</v>
      </c>
      <c r="AH46" s="44">
        <v>0</v>
      </c>
      <c r="AI46" s="44">
        <v>0</v>
      </c>
      <c r="AJ46" s="44">
        <v>0</v>
      </c>
      <c r="AK46" s="44">
        <v>0</v>
      </c>
      <c r="AL46" s="44">
        <v>0</v>
      </c>
      <c r="AM46" s="44">
        <v>0</v>
      </c>
    </row>
    <row r="47" spans="2:39" ht="15.75" customHeight="1" x14ac:dyDescent="0.25">
      <c r="B47" s="104" t="s">
        <v>65</v>
      </c>
      <c r="C47" s="104" t="s">
        <v>66</v>
      </c>
      <c r="D47" s="105">
        <v>3059794</v>
      </c>
      <c r="E47" s="105">
        <v>2978675</v>
      </c>
      <c r="F47" s="105">
        <v>2910500</v>
      </c>
      <c r="G47" s="105">
        <v>2906988.6889999998</v>
      </c>
      <c r="H47" s="105">
        <v>3012343.6817596001</v>
      </c>
      <c r="I47" s="105">
        <v>2990781</v>
      </c>
      <c r="J47" s="105">
        <v>2880959</v>
      </c>
      <c r="K47" s="105">
        <v>2605344</v>
      </c>
      <c r="L47" s="105">
        <v>2541586</v>
      </c>
      <c r="M47" s="105">
        <v>2462048</v>
      </c>
      <c r="N47" s="105">
        <v>2302832</v>
      </c>
      <c r="O47" s="105">
        <v>2375177</v>
      </c>
      <c r="P47" s="105">
        <v>2409854</v>
      </c>
      <c r="Q47" s="105">
        <v>2318713.8847999997</v>
      </c>
      <c r="R47" s="105">
        <v>2274392</v>
      </c>
      <c r="S47" s="105">
        <v>2114950</v>
      </c>
      <c r="T47" s="105">
        <v>2224635</v>
      </c>
      <c r="U47" s="105">
        <v>2190352</v>
      </c>
      <c r="V47" s="105">
        <v>1899768</v>
      </c>
      <c r="W47" s="105">
        <v>1966050</v>
      </c>
      <c r="X47" s="105">
        <v>1712072</v>
      </c>
      <c r="Y47" s="105">
        <v>1921741</v>
      </c>
      <c r="Z47" s="105">
        <v>1953375</v>
      </c>
      <c r="AA47" s="105">
        <v>1182993</v>
      </c>
      <c r="AB47" s="105">
        <v>1168664</v>
      </c>
      <c r="AC47" s="105">
        <v>991151</v>
      </c>
      <c r="AD47" s="105">
        <v>953235</v>
      </c>
      <c r="AE47" s="105">
        <v>187697</v>
      </c>
      <c r="AF47" s="105">
        <v>191464</v>
      </c>
      <c r="AG47" s="105">
        <v>68690</v>
      </c>
      <c r="AH47" s="105">
        <v>30277</v>
      </c>
      <c r="AI47" s="105">
        <v>29943</v>
      </c>
      <c r="AJ47" s="105">
        <v>40008</v>
      </c>
      <c r="AK47" s="105">
        <v>30124</v>
      </c>
      <c r="AL47" s="105">
        <v>-62221</v>
      </c>
      <c r="AM47" s="105">
        <v>-148694</v>
      </c>
    </row>
    <row r="48" spans="2:39" ht="15.75" customHeight="1" x14ac:dyDescent="0.25">
      <c r="B48" s="85" t="s">
        <v>67</v>
      </c>
      <c r="C48" s="85" t="s">
        <v>68</v>
      </c>
      <c r="D48" s="44">
        <v>1836548</v>
      </c>
      <c r="E48" s="44">
        <v>1836549</v>
      </c>
      <c r="F48" s="44">
        <v>1832326</v>
      </c>
      <c r="G48" s="44">
        <v>1832326</v>
      </c>
      <c r="H48" s="44">
        <v>1832326</v>
      </c>
      <c r="I48" s="44">
        <v>1831554</v>
      </c>
      <c r="J48" s="44">
        <v>1831045</v>
      </c>
      <c r="K48" s="44">
        <v>1830872</v>
      </c>
      <c r="L48" s="44">
        <v>1830872</v>
      </c>
      <c r="M48" s="44">
        <v>1830872</v>
      </c>
      <c r="N48" s="44">
        <v>1830524</v>
      </c>
      <c r="O48" s="44">
        <v>1830524</v>
      </c>
      <c r="P48" s="44">
        <v>1830524</v>
      </c>
      <c r="Q48" s="44">
        <v>1830524</v>
      </c>
      <c r="R48" s="44">
        <v>1830441</v>
      </c>
      <c r="S48" s="44">
        <v>1823527</v>
      </c>
      <c r="T48" s="44">
        <v>1823527</v>
      </c>
      <c r="U48" s="44">
        <v>1823343</v>
      </c>
      <c r="V48" s="44">
        <v>1822797</v>
      </c>
      <c r="W48" s="44">
        <v>1815485</v>
      </c>
      <c r="X48" s="44">
        <v>1815485</v>
      </c>
      <c r="Y48" s="44">
        <v>1817078</v>
      </c>
      <c r="Z48" s="44">
        <v>1821807</v>
      </c>
      <c r="AA48" s="44">
        <v>955277</v>
      </c>
      <c r="AB48" s="44">
        <v>955277</v>
      </c>
      <c r="AC48" s="44">
        <v>955277</v>
      </c>
      <c r="AD48" s="44">
        <v>956143</v>
      </c>
      <c r="AE48" s="44">
        <v>302781</v>
      </c>
      <c r="AF48" s="44">
        <v>302781</v>
      </c>
      <c r="AG48" s="44">
        <v>300033</v>
      </c>
      <c r="AH48" s="44">
        <v>300033</v>
      </c>
      <c r="AI48" s="44">
        <v>300033</v>
      </c>
      <c r="AJ48" s="44">
        <v>300033</v>
      </c>
      <c r="AK48" s="44">
        <v>300033</v>
      </c>
      <c r="AL48" s="44">
        <v>300033</v>
      </c>
      <c r="AM48" s="44">
        <v>297455</v>
      </c>
    </row>
    <row r="49" spans="2:39" ht="15.75" customHeight="1" x14ac:dyDescent="0.25">
      <c r="B49" s="85" t="s">
        <v>845</v>
      </c>
      <c r="C49" s="85" t="s">
        <v>70</v>
      </c>
      <c r="D49" s="44">
        <v>287062</v>
      </c>
      <c r="E49" s="44">
        <v>286667</v>
      </c>
      <c r="F49" s="44">
        <v>290395</v>
      </c>
      <c r="G49" s="44">
        <v>288494</v>
      </c>
      <c r="H49" s="44">
        <v>283003</v>
      </c>
      <c r="I49" s="44">
        <v>280375</v>
      </c>
      <c r="J49" s="44">
        <v>272079</v>
      </c>
      <c r="K49" s="44">
        <v>274766</v>
      </c>
      <c r="L49" s="44">
        <v>271263</v>
      </c>
      <c r="M49" s="44">
        <v>272083</v>
      </c>
      <c r="N49" s="44">
        <v>267068</v>
      </c>
      <c r="O49" s="44">
        <v>262331</v>
      </c>
      <c r="P49" s="44">
        <v>261528</v>
      </c>
      <c r="Q49" s="44">
        <v>253973</v>
      </c>
      <c r="R49" s="44">
        <v>244744</v>
      </c>
      <c r="S49" s="44">
        <v>239609</v>
      </c>
      <c r="T49" s="44">
        <v>224967</v>
      </c>
      <c r="U49" s="44">
        <v>210082</v>
      </c>
      <c r="V49" s="44">
        <v>205053</v>
      </c>
      <c r="W49" s="44">
        <v>185200</v>
      </c>
      <c r="X49" s="44">
        <v>194460</v>
      </c>
      <c r="Y49" s="44">
        <v>190095</v>
      </c>
      <c r="Z49" s="44">
        <v>183749</v>
      </c>
      <c r="AA49" s="44">
        <v>177633</v>
      </c>
      <c r="AB49" s="44">
        <v>171444</v>
      </c>
      <c r="AC49" s="44">
        <v>157559</v>
      </c>
      <c r="AD49" s="44">
        <v>157190</v>
      </c>
      <c r="AE49" s="44">
        <v>156814</v>
      </c>
      <c r="AF49" s="44">
        <v>157647</v>
      </c>
      <c r="AG49" s="44">
        <v>159311</v>
      </c>
      <c r="AH49" s="44">
        <v>159285</v>
      </c>
      <c r="AI49" s="44">
        <v>156512</v>
      </c>
      <c r="AJ49" s="44">
        <v>156485</v>
      </c>
      <c r="AK49" s="44">
        <v>156404</v>
      </c>
      <c r="AL49" s="44">
        <v>88563</v>
      </c>
      <c r="AM49" s="44">
        <v>88480</v>
      </c>
    </row>
    <row r="50" spans="2:39" ht="15.75" customHeight="1" x14ac:dyDescent="0.25">
      <c r="B50" s="85" t="s">
        <v>991</v>
      </c>
      <c r="C50" s="85" t="s">
        <v>72</v>
      </c>
      <c r="D50" s="44">
        <v>1113430</v>
      </c>
      <c r="E50" s="44">
        <v>867456</v>
      </c>
      <c r="F50" s="44">
        <v>867456</v>
      </c>
      <c r="G50" s="44">
        <v>867456</v>
      </c>
      <c r="H50" s="44">
        <v>867456</v>
      </c>
      <c r="I50" s="44">
        <v>458561</v>
      </c>
      <c r="J50" s="44">
        <v>458561</v>
      </c>
      <c r="K50" s="44">
        <v>458561</v>
      </c>
      <c r="L50" s="44">
        <v>458561</v>
      </c>
      <c r="M50" s="44">
        <v>331702</v>
      </c>
      <c r="N50" s="44">
        <v>331702</v>
      </c>
      <c r="O50" s="44">
        <v>331702</v>
      </c>
      <c r="P50" s="44">
        <v>331702</v>
      </c>
      <c r="Q50" s="44">
        <v>159770</v>
      </c>
      <c r="R50" s="44">
        <v>159770</v>
      </c>
      <c r="S50" s="44">
        <v>159770</v>
      </c>
      <c r="T50" s="44">
        <v>159770</v>
      </c>
      <c r="U50" s="44">
        <v>15509</v>
      </c>
      <c r="V50" s="44">
        <v>15509</v>
      </c>
      <c r="W50" s="44">
        <v>15509</v>
      </c>
      <c r="X50" s="44">
        <v>0</v>
      </c>
      <c r="Y50" s="44">
        <v>0</v>
      </c>
      <c r="Z50" s="44">
        <v>0</v>
      </c>
      <c r="AA50" s="44">
        <v>48879</v>
      </c>
      <c r="AB50" s="44">
        <v>43079</v>
      </c>
      <c r="AC50" s="44">
        <v>0</v>
      </c>
      <c r="AD50" s="44">
        <v>0</v>
      </c>
      <c r="AE50" s="44">
        <v>0</v>
      </c>
      <c r="AF50" s="44">
        <v>0</v>
      </c>
      <c r="AG50" s="44">
        <v>0</v>
      </c>
      <c r="AH50" s="44">
        <v>0</v>
      </c>
      <c r="AI50" s="44">
        <v>0</v>
      </c>
      <c r="AJ50" s="44">
        <v>0</v>
      </c>
      <c r="AK50" s="44">
        <v>0</v>
      </c>
      <c r="AL50" s="44">
        <v>0</v>
      </c>
      <c r="AM50" s="44">
        <v>0</v>
      </c>
    </row>
    <row r="51" spans="2:39" ht="15.75" customHeight="1" x14ac:dyDescent="0.25">
      <c r="B51" s="53" t="s">
        <v>73</v>
      </c>
      <c r="C51" s="53" t="s">
        <v>74</v>
      </c>
      <c r="D51" s="44">
        <v>0</v>
      </c>
      <c r="E51" s="44">
        <v>195808</v>
      </c>
      <c r="F51" s="44">
        <v>109743</v>
      </c>
      <c r="G51" s="44">
        <v>63274.688999999998</v>
      </c>
      <c r="H51" s="44">
        <v>132.68175959999985</v>
      </c>
      <c r="I51" s="44">
        <v>401181</v>
      </c>
      <c r="J51" s="44">
        <v>267448</v>
      </c>
      <c r="K51" s="44">
        <v>38531</v>
      </c>
      <c r="L51" s="44">
        <v>643</v>
      </c>
      <c r="M51" s="44">
        <v>42596</v>
      </c>
      <c r="N51" s="44">
        <v>-30112</v>
      </c>
      <c r="O51" s="44">
        <v>2769</v>
      </c>
      <c r="P51" s="44">
        <v>1257</v>
      </c>
      <c r="Q51" s="44">
        <v>65582.884799999825</v>
      </c>
      <c r="R51" s="44">
        <v>49225</v>
      </c>
      <c r="S51" s="44">
        <v>17920</v>
      </c>
      <c r="T51" s="44">
        <v>645</v>
      </c>
      <c r="U51" s="44">
        <v>141418</v>
      </c>
      <c r="V51" s="44">
        <v>-143591</v>
      </c>
      <c r="W51" s="44">
        <v>-50144</v>
      </c>
      <c r="X51" s="44">
        <v>-309453</v>
      </c>
      <c r="Y51" s="44">
        <v>-85432</v>
      </c>
      <c r="Z51" s="44">
        <v>-52181</v>
      </c>
      <c r="AA51" s="44">
        <v>1204</v>
      </c>
      <c r="AB51" s="44">
        <v>-1136</v>
      </c>
      <c r="AC51" s="44">
        <v>-121685</v>
      </c>
      <c r="AD51" s="44">
        <v>-160098</v>
      </c>
      <c r="AE51" s="44">
        <v>-271898</v>
      </c>
      <c r="AF51" s="44">
        <v>-268964</v>
      </c>
      <c r="AG51" s="44">
        <v>-390654</v>
      </c>
      <c r="AH51" s="44">
        <v>-429041</v>
      </c>
      <c r="AI51" s="44">
        <v>-426602</v>
      </c>
      <c r="AJ51" s="44">
        <v>-416510</v>
      </c>
      <c r="AK51" s="44">
        <v>-426313</v>
      </c>
      <c r="AL51" s="44">
        <v>-450817</v>
      </c>
      <c r="AM51" s="44">
        <v>-534629</v>
      </c>
    </row>
    <row r="52" spans="2:39" ht="15.75" customHeight="1" x14ac:dyDescent="0.25">
      <c r="B52" s="53" t="s">
        <v>677</v>
      </c>
      <c r="C52" s="53" t="s">
        <v>678</v>
      </c>
      <c r="D52" s="44">
        <v>-24188</v>
      </c>
      <c r="E52" s="44">
        <v>-54747</v>
      </c>
      <c r="F52" s="44">
        <v>-62890</v>
      </c>
      <c r="G52" s="44">
        <v>-18032</v>
      </c>
      <c r="H52" s="44">
        <v>68599</v>
      </c>
      <c r="I52" s="44">
        <v>19110</v>
      </c>
      <c r="J52" s="44">
        <v>51826</v>
      </c>
      <c r="K52" s="44">
        <v>-4591</v>
      </c>
      <c r="L52" s="44">
        <v>-26958</v>
      </c>
      <c r="M52" s="44">
        <v>-15205</v>
      </c>
      <c r="N52" s="44">
        <v>-96350</v>
      </c>
      <c r="O52" s="44">
        <v>-52149</v>
      </c>
      <c r="P52" s="44">
        <v>-15157</v>
      </c>
      <c r="Q52" s="44">
        <v>8864</v>
      </c>
      <c r="R52" s="44">
        <v>-9788</v>
      </c>
      <c r="S52" s="44">
        <v>-125876</v>
      </c>
      <c r="T52" s="44">
        <v>15726</v>
      </c>
      <c r="U52" s="84">
        <v>0</v>
      </c>
      <c r="V52" s="84">
        <v>0</v>
      </c>
      <c r="W52" s="84">
        <v>0</v>
      </c>
      <c r="X52" s="84">
        <v>11580</v>
      </c>
      <c r="Y52" s="84">
        <v>0</v>
      </c>
      <c r="Z52" s="84">
        <v>0</v>
      </c>
      <c r="AA52" s="84">
        <v>0</v>
      </c>
      <c r="AB52" s="84">
        <v>0</v>
      </c>
      <c r="AC52" s="84">
        <v>0</v>
      </c>
      <c r="AD52" s="84">
        <v>0</v>
      </c>
      <c r="AE52" s="44"/>
      <c r="AF52" s="44"/>
      <c r="AG52" s="44"/>
      <c r="AH52" s="44"/>
      <c r="AI52" s="44"/>
      <c r="AJ52" s="44"/>
      <c r="AK52" s="44"/>
      <c r="AL52" s="44"/>
      <c r="AM52" s="44"/>
    </row>
    <row r="53" spans="2:39" ht="15.75" customHeight="1" x14ac:dyDescent="0.25">
      <c r="B53" s="53" t="s">
        <v>874</v>
      </c>
      <c r="C53" s="53" t="s">
        <v>875</v>
      </c>
      <c r="D53" s="44">
        <v>0</v>
      </c>
      <c r="E53" s="44">
        <v>0</v>
      </c>
      <c r="F53" s="44">
        <v>0</v>
      </c>
      <c r="G53" s="44">
        <v>0</v>
      </c>
      <c r="H53" s="44">
        <v>0</v>
      </c>
      <c r="I53" s="44">
        <v>0</v>
      </c>
      <c r="J53" s="44">
        <v>0</v>
      </c>
      <c r="K53" s="44">
        <v>7205</v>
      </c>
      <c r="L53" s="44">
        <v>7205</v>
      </c>
      <c r="M53" s="44"/>
      <c r="N53" s="44"/>
      <c r="O53" s="44"/>
      <c r="P53" s="44"/>
      <c r="Q53" s="44"/>
      <c r="R53" s="44"/>
      <c r="S53" s="44"/>
      <c r="T53" s="44"/>
      <c r="U53" s="84"/>
      <c r="V53" s="84"/>
      <c r="W53" s="84"/>
      <c r="X53" s="84"/>
      <c r="Y53" s="84"/>
      <c r="Z53" s="84"/>
      <c r="AA53" s="84"/>
      <c r="AB53" s="84"/>
      <c r="AC53" s="84"/>
      <c r="AD53" s="84"/>
      <c r="AE53" s="44"/>
      <c r="AF53" s="44"/>
      <c r="AG53" s="44"/>
      <c r="AH53" s="44"/>
      <c r="AI53" s="44"/>
      <c r="AJ53" s="44"/>
      <c r="AK53" s="44"/>
      <c r="AL53" s="44"/>
      <c r="AM53" s="44"/>
    </row>
    <row r="54" spans="2:39" ht="15.75" customHeight="1" x14ac:dyDescent="0.25">
      <c r="B54" s="53" t="s">
        <v>990</v>
      </c>
      <c r="C54" s="53" t="s">
        <v>1056</v>
      </c>
      <c r="D54" s="44">
        <v>-153058</v>
      </c>
      <c r="E54" s="44">
        <v>-153058</v>
      </c>
      <c r="F54" s="44">
        <v>-126530</v>
      </c>
      <c r="G54" s="44">
        <v>-126530</v>
      </c>
      <c r="H54" s="44">
        <v>-39173</v>
      </c>
      <c r="I54" s="44"/>
      <c r="J54" s="44"/>
      <c r="K54" s="44"/>
      <c r="L54" s="44"/>
      <c r="M54" s="44"/>
      <c r="N54" s="44"/>
      <c r="O54" s="44"/>
      <c r="P54" s="44"/>
      <c r="Q54" s="44"/>
      <c r="R54" s="44"/>
      <c r="S54" s="44"/>
      <c r="T54" s="44"/>
      <c r="U54" s="84"/>
      <c r="V54" s="84"/>
      <c r="W54" s="84"/>
      <c r="X54" s="84"/>
      <c r="Y54" s="84"/>
      <c r="Z54" s="84"/>
      <c r="AA54" s="84"/>
      <c r="AB54" s="84"/>
      <c r="AC54" s="84"/>
      <c r="AD54" s="84"/>
      <c r="AE54" s="44"/>
      <c r="AF54" s="44"/>
      <c r="AG54" s="44"/>
      <c r="AH54" s="44"/>
      <c r="AI54" s="44"/>
      <c r="AJ54" s="44"/>
      <c r="AK54" s="44"/>
      <c r="AL54" s="44"/>
      <c r="AM54" s="44"/>
    </row>
    <row r="55" spans="2:39" ht="15.75" customHeight="1" x14ac:dyDescent="0.25">
      <c r="B55" s="104" t="s">
        <v>75</v>
      </c>
      <c r="C55" s="104" t="s">
        <v>76</v>
      </c>
      <c r="D55" s="105">
        <v>9522546</v>
      </c>
      <c r="E55" s="105">
        <v>9069847.9499999993</v>
      </c>
      <c r="F55" s="105">
        <v>8435538</v>
      </c>
      <c r="G55" s="105">
        <v>8449214.6889999993</v>
      </c>
      <c r="H55" s="105">
        <v>8945966.6817595996</v>
      </c>
      <c r="I55" s="105">
        <v>8440562</v>
      </c>
      <c r="J55" s="105">
        <v>8328859</v>
      </c>
      <c r="K55" s="105">
        <v>7928283</v>
      </c>
      <c r="L55" s="105">
        <v>8614447</v>
      </c>
      <c r="M55" s="105">
        <v>8232827</v>
      </c>
      <c r="N55" s="105">
        <v>8124505</v>
      </c>
      <c r="O55" s="105">
        <v>8244964</v>
      </c>
      <c r="P55" s="105">
        <v>8470247</v>
      </c>
      <c r="Q55" s="105">
        <v>7612230.8848000001</v>
      </c>
      <c r="R55" s="105">
        <v>7466035</v>
      </c>
      <c r="S55" s="105">
        <v>7048483</v>
      </c>
      <c r="T55" s="105">
        <v>7146492</v>
      </c>
      <c r="U55" s="105">
        <v>7118794</v>
      </c>
      <c r="V55" s="105">
        <v>6624795</v>
      </c>
      <c r="W55" s="105">
        <v>6234905</v>
      </c>
      <c r="X55" s="105">
        <v>5974397</v>
      </c>
      <c r="Y55" s="105">
        <v>5148820</v>
      </c>
      <c r="Z55" s="105">
        <v>4703859</v>
      </c>
      <c r="AA55" s="105">
        <v>3742918</v>
      </c>
      <c r="AB55" s="105">
        <v>3933727</v>
      </c>
      <c r="AC55" s="105">
        <v>3323218</v>
      </c>
      <c r="AD55" s="105">
        <v>3161540</v>
      </c>
      <c r="AE55" s="105">
        <v>2733022</v>
      </c>
      <c r="AF55" s="105">
        <v>1798300</v>
      </c>
      <c r="AG55" s="105">
        <v>1556151</v>
      </c>
      <c r="AH55" s="105">
        <v>1499489</v>
      </c>
      <c r="AI55" s="105">
        <v>1408626</v>
      </c>
      <c r="AJ55" s="105">
        <v>1625360</v>
      </c>
      <c r="AK55" s="105">
        <v>1428974</v>
      </c>
      <c r="AL55" s="105">
        <v>1309135</v>
      </c>
      <c r="AM55" s="105">
        <v>1261280</v>
      </c>
    </row>
    <row r="56" spans="2:39" ht="15.75" customHeight="1" x14ac:dyDescent="0.25"/>
    <row r="57" spans="2:39" ht="15.75" customHeight="1" x14ac:dyDescent="0.25">
      <c r="J57" s="40"/>
      <c r="M57" s="40"/>
    </row>
    <row r="58" spans="2:39" ht="21" customHeight="1" x14ac:dyDescent="0.25">
      <c r="X58" s="259"/>
    </row>
    <row r="59" spans="2:39" ht="15.75" customHeight="1" x14ac:dyDescent="0.25">
      <c r="X59" s="260"/>
    </row>
    <row r="60" spans="2:39" ht="15.75" customHeight="1" x14ac:dyDescent="0.25">
      <c r="X60" s="261"/>
    </row>
    <row r="61" spans="2:39" ht="15.75" customHeight="1" x14ac:dyDescent="0.25">
      <c r="X61" s="261"/>
    </row>
    <row r="62" spans="2:39" ht="15.75" customHeight="1" x14ac:dyDescent="0.25">
      <c r="X62" s="261"/>
    </row>
    <row r="63" spans="2:39" ht="15.75" customHeight="1" x14ac:dyDescent="0.25">
      <c r="X63" s="261"/>
    </row>
    <row r="64" spans="2:39" ht="15.75" customHeight="1" x14ac:dyDescent="0.25">
      <c r="X64" s="261"/>
    </row>
    <row r="65" spans="24:24" ht="15.75" customHeight="1" x14ac:dyDescent="0.25">
      <c r="X65" s="260"/>
    </row>
    <row r="66" spans="24:24" ht="15.75" customHeight="1" x14ac:dyDescent="0.25">
      <c r="X66" s="262"/>
    </row>
    <row r="67" spans="24:24" ht="15.75" customHeight="1" x14ac:dyDescent="0.25">
      <c r="X67" s="263"/>
    </row>
    <row r="68" spans="24:24" ht="15.75" customHeight="1" x14ac:dyDescent="0.25">
      <c r="X68" s="263"/>
    </row>
    <row r="69" spans="24:24" ht="15.75" customHeight="1" x14ac:dyDescent="0.25">
      <c r="X69" s="263"/>
    </row>
    <row r="70" spans="24:24" ht="15.75" customHeight="1" x14ac:dyDescent="0.25">
      <c r="X70" s="263"/>
    </row>
    <row r="71" spans="24:24" ht="15.75" customHeight="1" x14ac:dyDescent="0.25">
      <c r="X71" s="261"/>
    </row>
    <row r="72" spans="24:24" ht="15.75" customHeight="1" x14ac:dyDescent="0.25">
      <c r="X72" s="261"/>
    </row>
    <row r="73" spans="24:24" ht="15.75" customHeight="1" x14ac:dyDescent="0.25">
      <c r="X73" s="260"/>
    </row>
    <row r="74" spans="24:24" ht="15.75" customHeight="1" x14ac:dyDescent="0.25">
      <c r="X74" s="264"/>
    </row>
    <row r="75" spans="24:24" ht="20.100000000000001" customHeight="1" x14ac:dyDescent="0.25">
      <c r="X75" s="259"/>
    </row>
    <row r="76" spans="24:24" ht="20.100000000000001" customHeight="1" x14ac:dyDescent="0.25">
      <c r="X76" s="260"/>
    </row>
    <row r="77" spans="24:24" ht="15.75" customHeight="1" x14ac:dyDescent="0.25">
      <c r="X77" s="261"/>
    </row>
    <row r="78" spans="24:24" ht="15.75" customHeight="1" x14ac:dyDescent="0.25">
      <c r="X78" s="261"/>
    </row>
    <row r="79" spans="24:24" ht="15.75" customHeight="1" x14ac:dyDescent="0.25">
      <c r="X79" s="265"/>
    </row>
    <row r="80" spans="24:24" ht="15.75" customHeight="1" x14ac:dyDescent="0.25">
      <c r="X80" s="265"/>
    </row>
    <row r="81" spans="24:24" ht="15.75" customHeight="1" x14ac:dyDescent="0.25">
      <c r="X81" s="261"/>
    </row>
    <row r="82" spans="24:24" ht="15.75" customHeight="1" x14ac:dyDescent="0.25">
      <c r="X82" s="261"/>
    </row>
    <row r="83" spans="24:24" ht="15.75" customHeight="1" x14ac:dyDescent="0.25">
      <c r="X83" s="261"/>
    </row>
    <row r="84" spans="24:24" ht="15.75" customHeight="1" x14ac:dyDescent="0.25">
      <c r="X84" s="261"/>
    </row>
    <row r="85" spans="24:24" ht="15.75" customHeight="1" x14ac:dyDescent="0.25">
      <c r="X85" s="261"/>
    </row>
    <row r="86" spans="24:24" ht="15.75" customHeight="1" x14ac:dyDescent="0.25">
      <c r="X86" s="261"/>
    </row>
    <row r="87" spans="24:24" ht="15.75" customHeight="1" x14ac:dyDescent="0.25">
      <c r="X87" s="260"/>
    </row>
    <row r="88" spans="24:24" ht="15.75" customHeight="1" x14ac:dyDescent="0.25">
      <c r="X88" s="261"/>
    </row>
    <row r="89" spans="24:24" ht="15.75" customHeight="1" x14ac:dyDescent="0.25">
      <c r="X89" s="261"/>
    </row>
    <row r="90" spans="24:24" ht="15.75" customHeight="1" x14ac:dyDescent="0.25">
      <c r="X90" s="265"/>
    </row>
    <row r="91" spans="24:24" ht="15.75" customHeight="1" x14ac:dyDescent="0.25">
      <c r="X91" s="265"/>
    </row>
    <row r="92" spans="24:24" ht="15.75" customHeight="1" x14ac:dyDescent="0.25">
      <c r="X92" s="261"/>
    </row>
    <row r="93" spans="24:24" ht="15.75" customHeight="1" x14ac:dyDescent="0.25">
      <c r="X93" s="261"/>
    </row>
    <row r="94" spans="24:24" ht="15.75" customHeight="1" x14ac:dyDescent="0.25">
      <c r="X94" s="261"/>
    </row>
    <row r="95" spans="24:24" ht="15.75" customHeight="1" x14ac:dyDescent="0.25">
      <c r="X95" s="261"/>
    </row>
    <row r="96" spans="24:24" ht="15.75" customHeight="1" x14ac:dyDescent="0.25">
      <c r="X96" s="260"/>
    </row>
    <row r="97" spans="24:24" ht="15.75" customHeight="1" x14ac:dyDescent="0.25">
      <c r="X97" s="261"/>
    </row>
    <row r="98" spans="24:24" ht="15.75" customHeight="1" x14ac:dyDescent="0.25">
      <c r="X98" s="261"/>
    </row>
    <row r="99" spans="24:24" ht="15.75" customHeight="1" x14ac:dyDescent="0.25">
      <c r="X99" s="261"/>
    </row>
    <row r="100" spans="24:24" ht="15.75" customHeight="1" x14ac:dyDescent="0.25">
      <c r="X100" s="261"/>
    </row>
    <row r="101" spans="24:24" ht="15.75" customHeight="1" x14ac:dyDescent="0.25">
      <c r="X101" s="265"/>
    </row>
    <row r="102" spans="24:24" ht="15.75" customHeight="1" x14ac:dyDescent="0.25">
      <c r="X102" s="260"/>
    </row>
    <row r="103" spans="24:24" ht="15.75" customHeight="1" x14ac:dyDescent="0.25"/>
    <row r="104" spans="24:24" ht="15.75" customHeight="1" x14ac:dyDescent="0.25"/>
    <row r="105" spans="24:24" ht="15.75" customHeight="1" x14ac:dyDescent="0.25"/>
    <row r="106" spans="24:24" ht="15.75" customHeight="1" x14ac:dyDescent="0.25"/>
    <row r="107" spans="24:24" ht="15.75" customHeight="1" x14ac:dyDescent="0.25"/>
    <row r="108" spans="24:24" ht="15.75" customHeight="1" x14ac:dyDescent="0.25"/>
    <row r="109" spans="24:24" ht="15.75" customHeight="1" x14ac:dyDescent="0.25"/>
    <row r="110" spans="24:24" ht="15.75" customHeight="1" x14ac:dyDescent="0.25"/>
    <row r="111" spans="24:24" ht="15.75" customHeight="1" x14ac:dyDescent="0.25"/>
    <row r="112" spans="24:24"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sheetData>
  <mergeCells count="1">
    <mergeCell ref="B1:C1"/>
  </mergeCells>
  <pageMargins left="0.511811024" right="0.511811024" top="0.78740157499999996" bottom="0.78740157499999996" header="0" footer="0"/>
  <pageSetup orientation="landscape" r:id="rId1"/>
  <ignoredErrors>
    <ignoredError sqref="D2 D23"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09"/>
  <sheetViews>
    <sheetView showGridLines="0" zoomScale="80" zoomScaleNormal="80" workbookViewId="0">
      <pane ySplit="2" topLeftCell="A3" activePane="bottomLeft" state="frozen"/>
      <selection activeCell="H1" sqref="H1"/>
      <selection pane="bottomLeft"/>
    </sheetView>
  </sheetViews>
  <sheetFormatPr defaultColWidth="13.125" defaultRowHeight="15" customHeight="1" x14ac:dyDescent="0.25"/>
  <cols>
    <col min="1" max="2" width="3.625" style="223" customWidth="1"/>
    <col min="3" max="3" width="43.875" style="223" bestFit="1" customWidth="1"/>
    <col min="4" max="4" width="50.875" style="223" customWidth="1"/>
    <col min="5" max="10" width="13.5" style="223" customWidth="1"/>
    <col min="11" max="20" width="11.875" style="223" customWidth="1"/>
    <col min="21" max="29" width="11.875" style="224" customWidth="1"/>
    <col min="30" max="32" width="8" style="224" customWidth="1"/>
    <col min="33" max="33" width="8" style="223" customWidth="1"/>
    <col min="34" max="16384" width="13.125" style="223"/>
  </cols>
  <sheetData>
    <row r="1" spans="3:24" ht="37.5" customHeight="1" x14ac:dyDescent="0.25">
      <c r="E1" s="249"/>
      <c r="F1" s="249"/>
      <c r="G1" s="249"/>
      <c r="H1" s="249"/>
      <c r="I1" s="249"/>
      <c r="J1" s="249"/>
      <c r="K1" s="225"/>
      <c r="L1" s="225"/>
      <c r="M1" s="225"/>
      <c r="N1" s="225"/>
      <c r="O1" s="226"/>
      <c r="P1" s="225"/>
      <c r="Q1" s="225"/>
      <c r="R1" s="225"/>
      <c r="S1" s="226"/>
      <c r="T1" s="225"/>
      <c r="U1"/>
      <c r="V1"/>
      <c r="W1"/>
      <c r="X1"/>
    </row>
    <row r="2" spans="3:24" ht="33.75" customHeight="1" x14ac:dyDescent="0.25">
      <c r="C2" s="227" t="s">
        <v>897</v>
      </c>
      <c r="D2" s="227" t="s">
        <v>1003</v>
      </c>
      <c r="E2" s="89" t="s">
        <v>1091</v>
      </c>
      <c r="F2" s="89" t="s">
        <v>1009</v>
      </c>
      <c r="G2" s="89" t="s">
        <v>1006</v>
      </c>
      <c r="H2" s="89" t="s">
        <v>1004</v>
      </c>
      <c r="I2" s="89">
        <v>2024</v>
      </c>
      <c r="J2" s="89" t="s">
        <v>896</v>
      </c>
      <c r="K2" s="89" t="s">
        <v>895</v>
      </c>
      <c r="L2" s="89" t="s">
        <v>876</v>
      </c>
      <c r="M2" s="89">
        <v>2023</v>
      </c>
      <c r="N2" s="89" t="s">
        <v>837</v>
      </c>
      <c r="O2" s="89" t="s">
        <v>822</v>
      </c>
      <c r="P2" s="89" t="s">
        <v>762</v>
      </c>
      <c r="Q2" s="89">
        <v>2022</v>
      </c>
      <c r="R2" s="89" t="s">
        <v>717</v>
      </c>
      <c r="S2" s="89" t="s">
        <v>721</v>
      </c>
      <c r="T2" s="89" t="s">
        <v>685</v>
      </c>
      <c r="U2"/>
      <c r="V2"/>
      <c r="W2"/>
      <c r="X2"/>
    </row>
    <row r="3" spans="3:24" x14ac:dyDescent="0.25">
      <c r="C3" s="228" t="s">
        <v>898</v>
      </c>
      <c r="D3" s="228" t="s">
        <v>899</v>
      </c>
      <c r="E3" s="291">
        <v>291181</v>
      </c>
      <c r="F3" s="291">
        <v>177416</v>
      </c>
      <c r="G3" s="291">
        <v>111170</v>
      </c>
      <c r="H3" s="291">
        <v>69136</v>
      </c>
      <c r="I3" s="291">
        <v>548069</v>
      </c>
      <c r="J3" s="291">
        <v>427728</v>
      </c>
      <c r="K3" s="291">
        <v>301809</v>
      </c>
      <c r="L3" s="291">
        <v>52189</v>
      </c>
      <c r="M3" s="291">
        <v>189829</v>
      </c>
      <c r="N3" s="291">
        <v>64193</v>
      </c>
      <c r="O3" s="291">
        <v>-15715</v>
      </c>
      <c r="P3" s="291">
        <v>18509</v>
      </c>
      <c r="Q3" s="291">
        <v>218213</v>
      </c>
      <c r="R3" s="291">
        <v>44810</v>
      </c>
      <c r="S3" s="291">
        <v>64163</v>
      </c>
      <c r="T3" s="291">
        <v>47001.306460000036</v>
      </c>
      <c r="U3"/>
      <c r="V3"/>
      <c r="W3"/>
      <c r="X3"/>
    </row>
    <row r="4" spans="3:24" ht="18.95" customHeight="1" x14ac:dyDescent="0.25">
      <c r="C4" s="230" t="s">
        <v>900</v>
      </c>
      <c r="D4" s="230" t="s">
        <v>899</v>
      </c>
      <c r="E4" s="230"/>
      <c r="F4" s="230"/>
      <c r="G4" s="230"/>
      <c r="H4" s="230"/>
      <c r="I4" s="230"/>
      <c r="J4" s="230"/>
      <c r="K4" s="231"/>
      <c r="L4" s="231"/>
      <c r="M4" s="231"/>
      <c r="N4" s="231"/>
      <c r="O4" s="231"/>
      <c r="P4" s="231"/>
      <c r="Q4" s="231"/>
      <c r="R4" s="231"/>
      <c r="S4" s="231"/>
      <c r="T4" s="231"/>
      <c r="U4"/>
      <c r="V4"/>
      <c r="W4"/>
      <c r="X4"/>
    </row>
    <row r="5" spans="3:24" x14ac:dyDescent="0.25">
      <c r="C5" s="232" t="s">
        <v>133</v>
      </c>
      <c r="D5" s="232" t="s">
        <v>134</v>
      </c>
      <c r="E5" s="233">
        <v>463646</v>
      </c>
      <c r="F5" s="233">
        <v>344762</v>
      </c>
      <c r="G5" s="233">
        <v>229491</v>
      </c>
      <c r="H5" s="233">
        <v>113460</v>
      </c>
      <c r="I5" s="233">
        <v>428000</v>
      </c>
      <c r="J5" s="233">
        <v>319543</v>
      </c>
      <c r="K5" s="233">
        <v>214087</v>
      </c>
      <c r="L5" s="233">
        <v>112708</v>
      </c>
      <c r="M5" s="233">
        <v>415282</v>
      </c>
      <c r="N5" s="233">
        <v>309695</v>
      </c>
      <c r="O5" s="233">
        <v>212182</v>
      </c>
      <c r="P5" s="233">
        <v>105933</v>
      </c>
      <c r="Q5" s="233">
        <v>353780</v>
      </c>
      <c r="R5" s="233">
        <v>253261</v>
      </c>
      <c r="S5" s="233">
        <v>152370</v>
      </c>
      <c r="T5" s="233">
        <v>91013</v>
      </c>
    </row>
    <row r="6" spans="3:24" x14ac:dyDescent="0.25">
      <c r="C6" s="232" t="s">
        <v>901</v>
      </c>
      <c r="D6" s="232" t="s">
        <v>902</v>
      </c>
      <c r="E6" s="233">
        <v>376340</v>
      </c>
      <c r="F6" s="233">
        <v>266159</v>
      </c>
      <c r="G6" s="233">
        <v>169342</v>
      </c>
      <c r="H6" s="233">
        <v>85900</v>
      </c>
      <c r="I6" s="233">
        <v>328726</v>
      </c>
      <c r="J6" s="233">
        <v>240586</v>
      </c>
      <c r="K6" s="233">
        <v>158969</v>
      </c>
      <c r="L6" s="233">
        <v>87363</v>
      </c>
      <c r="M6" s="233">
        <v>369129.11</v>
      </c>
      <c r="N6" s="233">
        <v>279183</v>
      </c>
      <c r="O6" s="233">
        <v>178827</v>
      </c>
      <c r="P6" s="233">
        <v>83028</v>
      </c>
      <c r="Q6" s="233">
        <v>303459</v>
      </c>
      <c r="R6" s="233">
        <v>212168</v>
      </c>
      <c r="S6" s="233">
        <v>131303</v>
      </c>
      <c r="T6" s="233">
        <v>59571</v>
      </c>
    </row>
    <row r="7" spans="3:24" x14ac:dyDescent="0.25">
      <c r="C7" s="232" t="s">
        <v>989</v>
      </c>
      <c r="D7" s="232" t="s">
        <v>903</v>
      </c>
      <c r="E7" s="233">
        <v>1662</v>
      </c>
      <c r="F7" s="233">
        <v>2751</v>
      </c>
      <c r="G7" s="233">
        <v>3127</v>
      </c>
      <c r="H7" s="233">
        <v>975</v>
      </c>
      <c r="I7" s="233">
        <v>-735</v>
      </c>
      <c r="J7" s="233">
        <v>-705</v>
      </c>
      <c r="K7" s="233">
        <v>-490</v>
      </c>
      <c r="L7" s="233">
        <v>-458</v>
      </c>
      <c r="M7" s="233">
        <v>-380</v>
      </c>
      <c r="N7" s="233">
        <v>1469</v>
      </c>
      <c r="O7" s="233">
        <v>3413</v>
      </c>
      <c r="P7" s="233">
        <v>1211</v>
      </c>
      <c r="Q7" s="233">
        <v>1994</v>
      </c>
      <c r="R7" s="233">
        <v>1441</v>
      </c>
      <c r="S7" s="233">
        <v>-82</v>
      </c>
      <c r="T7" s="233">
        <v>-1261</v>
      </c>
    </row>
    <row r="8" spans="3:24" x14ac:dyDescent="0.25">
      <c r="C8" s="232" t="s">
        <v>904</v>
      </c>
      <c r="D8" s="232" t="s">
        <v>905</v>
      </c>
      <c r="E8" s="233">
        <v>958</v>
      </c>
      <c r="F8" s="233">
        <v>958</v>
      </c>
      <c r="G8" s="233">
        <v>424</v>
      </c>
      <c r="H8" s="233">
        <v>-33</v>
      </c>
      <c r="I8" s="233">
        <v>-515</v>
      </c>
      <c r="J8" s="233">
        <v>-549</v>
      </c>
      <c r="K8" s="233">
        <v>-170</v>
      </c>
      <c r="L8" s="233">
        <v>-399</v>
      </c>
      <c r="M8" s="233">
        <v>922</v>
      </c>
      <c r="N8" s="233">
        <v>-168</v>
      </c>
      <c r="O8" s="233">
        <v>-1257</v>
      </c>
      <c r="P8" s="233">
        <v>-519</v>
      </c>
      <c r="Q8" s="233">
        <v>-210</v>
      </c>
      <c r="R8" s="233">
        <v>-87</v>
      </c>
      <c r="S8" s="233">
        <v>249</v>
      </c>
      <c r="T8" s="233">
        <v>226</v>
      </c>
    </row>
    <row r="9" spans="3:24" x14ac:dyDescent="0.25">
      <c r="C9" s="232" t="s">
        <v>906</v>
      </c>
      <c r="D9" s="232" t="s">
        <v>907</v>
      </c>
      <c r="E9" s="233">
        <v>-114</v>
      </c>
      <c r="F9" s="233">
        <v>-509</v>
      </c>
      <c r="G9" s="233">
        <v>-905</v>
      </c>
      <c r="H9" s="233">
        <v>1318</v>
      </c>
      <c r="I9" s="233">
        <v>11740</v>
      </c>
      <c r="J9" s="233">
        <v>8340</v>
      </c>
      <c r="K9" s="233">
        <v>714</v>
      </c>
      <c r="L9" s="233">
        <v>3503</v>
      </c>
      <c r="M9" s="233">
        <v>9735</v>
      </c>
      <c r="N9" s="233">
        <v>10555</v>
      </c>
      <c r="O9" s="233">
        <v>5540</v>
      </c>
      <c r="P9" s="233">
        <v>803.39044999999999</v>
      </c>
      <c r="Q9" s="233">
        <v>36561</v>
      </c>
      <c r="R9" s="233">
        <v>29005.4</v>
      </c>
      <c r="S9" s="233">
        <v>19777</v>
      </c>
      <c r="T9" s="233">
        <v>14642</v>
      </c>
    </row>
    <row r="10" spans="3:24" x14ac:dyDescent="0.25">
      <c r="C10" s="232" t="s">
        <v>908</v>
      </c>
      <c r="D10" s="232" t="s">
        <v>909</v>
      </c>
      <c r="E10" s="233">
        <v>13312</v>
      </c>
      <c r="F10" s="233">
        <v>6148</v>
      </c>
      <c r="G10" s="233">
        <v>2783</v>
      </c>
      <c r="H10" s="233">
        <v>155</v>
      </c>
      <c r="I10" s="233">
        <v>11001</v>
      </c>
      <c r="J10" s="233">
        <v>4768</v>
      </c>
      <c r="K10" s="233">
        <v>4772</v>
      </c>
      <c r="L10" s="233">
        <v>2398</v>
      </c>
      <c r="M10" s="233">
        <v>2155</v>
      </c>
      <c r="N10" s="233">
        <v>34254</v>
      </c>
      <c r="O10" s="233">
        <v>1897</v>
      </c>
      <c r="P10" s="233">
        <v>2112</v>
      </c>
      <c r="Q10" s="233">
        <v>-1927</v>
      </c>
      <c r="R10" s="233">
        <v>3835</v>
      </c>
      <c r="S10" s="233">
        <v>23599</v>
      </c>
      <c r="T10" s="233">
        <v>520</v>
      </c>
    </row>
    <row r="11" spans="3:24" x14ac:dyDescent="0.25">
      <c r="C11" s="232" t="s">
        <v>984</v>
      </c>
      <c r="D11" s="232" t="s">
        <v>985</v>
      </c>
      <c r="E11" s="233">
        <v>-7318</v>
      </c>
      <c r="F11" s="233">
        <v>-7318</v>
      </c>
      <c r="G11" s="233">
        <v>-4649</v>
      </c>
      <c r="H11" s="233">
        <v>-4587</v>
      </c>
      <c r="I11" s="233">
        <v>-3778</v>
      </c>
      <c r="J11" s="233">
        <v>-3779</v>
      </c>
      <c r="K11" s="233">
        <v>-3760</v>
      </c>
      <c r="L11" s="233">
        <v>-3846</v>
      </c>
      <c r="M11" s="233">
        <v>-7438</v>
      </c>
      <c r="N11" s="233">
        <v>-7438</v>
      </c>
      <c r="O11" s="233">
        <v>-7438</v>
      </c>
      <c r="P11" s="233">
        <v>-6707</v>
      </c>
      <c r="Q11" s="233">
        <v>-30</v>
      </c>
      <c r="R11" s="233">
        <v>0</v>
      </c>
      <c r="S11" s="233">
        <v>-1</v>
      </c>
      <c r="T11" s="233">
        <v>506</v>
      </c>
    </row>
    <row r="12" spans="3:24" x14ac:dyDescent="0.25">
      <c r="C12" s="232" t="s">
        <v>1100</v>
      </c>
      <c r="D12" s="232" t="s">
        <v>1101</v>
      </c>
      <c r="E12" s="233">
        <v>39990</v>
      </c>
      <c r="F12" s="233">
        <v>0</v>
      </c>
      <c r="G12" s="233">
        <v>0</v>
      </c>
      <c r="H12" s="233">
        <v>0</v>
      </c>
      <c r="I12" s="233">
        <v>0</v>
      </c>
      <c r="J12" s="233">
        <v>0</v>
      </c>
      <c r="K12" s="233">
        <v>0</v>
      </c>
      <c r="L12" s="233">
        <v>0</v>
      </c>
      <c r="M12" s="233">
        <v>0</v>
      </c>
      <c r="N12" s="233">
        <v>0</v>
      </c>
      <c r="O12" s="233">
        <v>0</v>
      </c>
      <c r="P12" s="233">
        <v>0</v>
      </c>
      <c r="Q12" s="233">
        <v>0</v>
      </c>
      <c r="R12" s="233">
        <v>0</v>
      </c>
      <c r="S12" s="233">
        <v>0</v>
      </c>
      <c r="T12" s="233">
        <v>0</v>
      </c>
    </row>
    <row r="13" spans="3:24" x14ac:dyDescent="0.25">
      <c r="C13" s="232" t="s">
        <v>910</v>
      </c>
      <c r="D13" s="232" t="s">
        <v>911</v>
      </c>
      <c r="E13" s="233">
        <v>39376</v>
      </c>
      <c r="F13" s="233">
        <v>29306</v>
      </c>
      <c r="G13" s="233">
        <v>18664</v>
      </c>
      <c r="H13" s="233">
        <v>8824</v>
      </c>
      <c r="I13" s="233">
        <v>51953</v>
      </c>
      <c r="J13" s="233">
        <v>41194</v>
      </c>
      <c r="K13" s="233">
        <v>31958</v>
      </c>
      <c r="L13" s="233">
        <v>20958</v>
      </c>
      <c r="M13" s="233">
        <v>68602</v>
      </c>
      <c r="N13" s="233">
        <v>53347</v>
      </c>
      <c r="O13" s="233">
        <v>38430</v>
      </c>
      <c r="P13" s="233">
        <v>19403</v>
      </c>
      <c r="Q13" s="233">
        <v>46948</v>
      </c>
      <c r="R13" s="233">
        <v>28008</v>
      </c>
      <c r="S13" s="233">
        <v>9883</v>
      </c>
      <c r="T13" s="233">
        <v>24725</v>
      </c>
    </row>
    <row r="14" spans="3:24" x14ac:dyDescent="0.25">
      <c r="C14" s="232" t="s">
        <v>912</v>
      </c>
      <c r="D14" s="232" t="s">
        <v>913</v>
      </c>
      <c r="E14" s="233">
        <v>38294</v>
      </c>
      <c r="F14" s="233">
        <v>17164</v>
      </c>
      <c r="G14" s="233">
        <v>6644</v>
      </c>
      <c r="H14" s="233">
        <v>8168</v>
      </c>
      <c r="I14" s="233">
        <v>-338810</v>
      </c>
      <c r="J14" s="233">
        <v>-378766</v>
      </c>
      <c r="K14" s="233">
        <v>-390154</v>
      </c>
      <c r="L14" s="233">
        <v>12336</v>
      </c>
      <c r="M14" s="233">
        <v>69822</v>
      </c>
      <c r="N14" s="233">
        <v>38437.570999999996</v>
      </c>
      <c r="O14" s="233">
        <v>25985</v>
      </c>
      <c r="P14" s="233">
        <v>10841</v>
      </c>
      <c r="Q14" s="233">
        <v>-18161</v>
      </c>
      <c r="R14" s="233">
        <v>27256</v>
      </c>
      <c r="S14" s="233">
        <v>13652</v>
      </c>
      <c r="T14" s="233">
        <v>924.8732799999998</v>
      </c>
    </row>
    <row r="15" spans="3:24" x14ac:dyDescent="0.25">
      <c r="C15" s="232" t="s">
        <v>914</v>
      </c>
      <c r="D15" s="232" t="s">
        <v>915</v>
      </c>
      <c r="E15" s="233">
        <v>0</v>
      </c>
      <c r="F15" s="233">
        <v>0</v>
      </c>
      <c r="G15" s="233">
        <v>0</v>
      </c>
      <c r="H15" s="233">
        <v>0</v>
      </c>
      <c r="I15" s="233">
        <v>-1719</v>
      </c>
      <c r="J15" s="233">
        <v>-1719</v>
      </c>
      <c r="K15" s="233">
        <v>-1719</v>
      </c>
      <c r="L15" s="233">
        <v>-846</v>
      </c>
      <c r="M15" s="233">
        <v>-2259</v>
      </c>
      <c r="N15" s="233">
        <v>-1133</v>
      </c>
      <c r="O15" s="233">
        <v>-272</v>
      </c>
      <c r="P15" s="233">
        <v>0</v>
      </c>
      <c r="Q15" s="233">
        <v>-10108</v>
      </c>
      <c r="R15" s="233">
        <v>-10199</v>
      </c>
      <c r="S15" s="233">
        <v>-6036</v>
      </c>
      <c r="T15" s="233">
        <v>-6111</v>
      </c>
    </row>
    <row r="16" spans="3:24" x14ac:dyDescent="0.25">
      <c r="C16" s="234"/>
      <c r="D16" s="234"/>
      <c r="E16" s="235">
        <v>1257327</v>
      </c>
      <c r="F16" s="235">
        <v>836837</v>
      </c>
      <c r="G16" s="235">
        <v>536091</v>
      </c>
      <c r="H16" s="235">
        <v>283316</v>
      </c>
      <c r="I16" s="235">
        <v>1033932</v>
      </c>
      <c r="J16" s="235">
        <v>656641</v>
      </c>
      <c r="K16" s="235">
        <v>316016</v>
      </c>
      <c r="L16" s="235">
        <v>285906</v>
      </c>
      <c r="M16" s="235">
        <v>1115399.1099999999</v>
      </c>
      <c r="N16" s="235">
        <v>782394.571</v>
      </c>
      <c r="O16" s="235">
        <v>441592</v>
      </c>
      <c r="P16" s="235">
        <v>234614.39045000001</v>
      </c>
      <c r="Q16" s="235">
        <v>930519</v>
      </c>
      <c r="R16" s="235">
        <v>589498.4</v>
      </c>
      <c r="S16" s="235">
        <v>408877</v>
      </c>
      <c r="T16" s="235">
        <v>231757.17974000005</v>
      </c>
    </row>
    <row r="17" spans="1:23" x14ac:dyDescent="0.25">
      <c r="C17" s="232"/>
      <c r="D17" s="232"/>
      <c r="E17" s="232"/>
      <c r="F17" s="232"/>
      <c r="G17" s="232"/>
      <c r="H17" s="232"/>
      <c r="I17" s="232"/>
      <c r="J17" s="232"/>
      <c r="K17" s="236"/>
      <c r="L17" s="236"/>
      <c r="M17" s="236"/>
      <c r="N17" s="236"/>
      <c r="O17" s="236"/>
      <c r="P17" s="236"/>
      <c r="Q17" s="236"/>
      <c r="R17" s="236"/>
      <c r="S17" s="236"/>
      <c r="T17" s="236"/>
    </row>
    <row r="18" spans="1:23" x14ac:dyDescent="0.25">
      <c r="C18" s="237" t="s">
        <v>916</v>
      </c>
      <c r="D18" s="236"/>
      <c r="E18" s="236"/>
      <c r="F18" s="236"/>
      <c r="G18" s="236"/>
      <c r="H18" s="236"/>
      <c r="I18" s="236"/>
      <c r="J18" s="236"/>
      <c r="K18" s="236"/>
      <c r="L18" s="236"/>
      <c r="M18" s="236"/>
      <c r="N18" s="236"/>
      <c r="O18" s="236"/>
      <c r="P18" s="236"/>
      <c r="Q18" s="236"/>
      <c r="R18" s="236"/>
      <c r="S18" s="236"/>
      <c r="T18" s="236"/>
      <c r="U18" s="236"/>
      <c r="V18" s="236"/>
      <c r="W18" s="236"/>
    </row>
    <row r="19" spans="1:23" x14ac:dyDescent="0.25">
      <c r="C19" s="237" t="s">
        <v>917</v>
      </c>
      <c r="D19" s="237" t="s">
        <v>918</v>
      </c>
      <c r="E19" s="237"/>
      <c r="F19" s="237"/>
      <c r="G19" s="237"/>
      <c r="H19" s="237"/>
      <c r="I19" s="237"/>
      <c r="J19" s="237"/>
      <c r="K19" s="231"/>
      <c r="L19" s="231"/>
      <c r="M19" s="231"/>
      <c r="N19" s="231"/>
      <c r="O19" s="231"/>
      <c r="P19" s="231"/>
      <c r="Q19" s="231"/>
      <c r="R19" s="231"/>
      <c r="S19" s="231"/>
      <c r="T19" s="231"/>
    </row>
    <row r="20" spans="1:23" x14ac:dyDescent="0.25">
      <c r="C20" s="232" t="s">
        <v>18</v>
      </c>
      <c r="D20" s="232" t="s">
        <v>919</v>
      </c>
      <c r="E20" s="233">
        <v>-214219</v>
      </c>
      <c r="F20" s="233">
        <v>119420</v>
      </c>
      <c r="G20" s="233">
        <v>174264</v>
      </c>
      <c r="H20" s="233">
        <v>325976</v>
      </c>
      <c r="I20" s="233">
        <v>-7324</v>
      </c>
      <c r="J20" s="233">
        <v>268910</v>
      </c>
      <c r="K20" s="233">
        <v>265268</v>
      </c>
      <c r="L20" s="233">
        <v>270631</v>
      </c>
      <c r="M20" s="233">
        <v>113969</v>
      </c>
      <c r="N20" s="233">
        <v>154367</v>
      </c>
      <c r="O20" s="233">
        <v>451362</v>
      </c>
      <c r="P20" s="233">
        <v>388607</v>
      </c>
      <c r="Q20" s="233">
        <v>-411908</v>
      </c>
      <c r="R20" s="233">
        <v>9791</v>
      </c>
      <c r="S20" s="233">
        <v>12363</v>
      </c>
      <c r="T20" s="233">
        <v>88331</v>
      </c>
    </row>
    <row r="21" spans="1:23" x14ac:dyDescent="0.25">
      <c r="C21" s="232" t="s">
        <v>20</v>
      </c>
      <c r="D21" s="232" t="s">
        <v>21</v>
      </c>
      <c r="E21" s="233">
        <v>-404427</v>
      </c>
      <c r="F21" s="233">
        <v>-430872</v>
      </c>
      <c r="G21" s="233">
        <v>-246808</v>
      </c>
      <c r="H21" s="233">
        <v>-127774</v>
      </c>
      <c r="I21" s="233">
        <v>-18550</v>
      </c>
      <c r="J21" s="233">
        <v>-230558</v>
      </c>
      <c r="K21" s="233">
        <v>-147878</v>
      </c>
      <c r="L21" s="233">
        <v>-121090</v>
      </c>
      <c r="M21" s="233">
        <v>-30939</v>
      </c>
      <c r="N21" s="233">
        <v>-276257</v>
      </c>
      <c r="O21" s="233">
        <v>-382287</v>
      </c>
      <c r="P21" s="233">
        <v>-290794</v>
      </c>
      <c r="Q21" s="233">
        <v>-741317</v>
      </c>
      <c r="R21" s="233">
        <v>-475007</v>
      </c>
      <c r="S21" s="233">
        <v>-355869</v>
      </c>
      <c r="T21" s="233">
        <v>-151345</v>
      </c>
    </row>
    <row r="22" spans="1:23" x14ac:dyDescent="0.25">
      <c r="C22" s="232" t="s">
        <v>983</v>
      </c>
      <c r="D22" s="232" t="s">
        <v>920</v>
      </c>
      <c r="E22" s="233">
        <v>23835</v>
      </c>
      <c r="F22" s="233">
        <v>-30353.97</v>
      </c>
      <c r="G22" s="233">
        <v>-50641</v>
      </c>
      <c r="H22" s="233">
        <v>8625</v>
      </c>
      <c r="I22" s="233">
        <v>-21031.881639999978</v>
      </c>
      <c r="J22" s="233">
        <v>1661</v>
      </c>
      <c r="K22" s="233">
        <v>20634.233630000002</v>
      </c>
      <c r="L22" s="233">
        <v>-1249</v>
      </c>
      <c r="M22" s="233">
        <v>4169</v>
      </c>
      <c r="N22" s="233">
        <v>3639</v>
      </c>
      <c r="O22" s="233">
        <v>4169</v>
      </c>
      <c r="P22" s="233">
        <v>4169</v>
      </c>
      <c r="Q22" s="233">
        <v>-5793</v>
      </c>
      <c r="R22" s="233">
        <v>12210</v>
      </c>
      <c r="S22" s="233">
        <v>3745</v>
      </c>
      <c r="T22" s="233">
        <v>-136482</v>
      </c>
    </row>
    <row r="23" spans="1:23" x14ac:dyDescent="0.25">
      <c r="A23" s="238"/>
      <c r="B23" s="238"/>
      <c r="C23" s="232" t="s">
        <v>921</v>
      </c>
      <c r="D23" s="232" t="s">
        <v>922</v>
      </c>
      <c r="E23" s="233">
        <v>-129810.31672</v>
      </c>
      <c r="F23" s="233">
        <v>11071</v>
      </c>
      <c r="G23" s="233">
        <v>54931</v>
      </c>
      <c r="H23" s="233">
        <v>42916</v>
      </c>
      <c r="I23" s="233">
        <v>230749</v>
      </c>
      <c r="J23" s="233">
        <v>137606</v>
      </c>
      <c r="K23" s="233">
        <v>109901</v>
      </c>
      <c r="L23" s="233">
        <v>77409</v>
      </c>
      <c r="M23" s="233">
        <v>264232</v>
      </c>
      <c r="N23" s="233">
        <v>174629</v>
      </c>
      <c r="O23" s="233">
        <v>107418</v>
      </c>
      <c r="P23" s="233">
        <v>46853</v>
      </c>
      <c r="Q23" s="233">
        <v>190891</v>
      </c>
      <c r="R23" s="233">
        <v>73668</v>
      </c>
      <c r="S23" s="233">
        <v>47709</v>
      </c>
      <c r="T23" s="233">
        <v>76114</v>
      </c>
    </row>
    <row r="24" spans="1:23" x14ac:dyDescent="0.25">
      <c r="C24" s="232" t="s">
        <v>871</v>
      </c>
      <c r="D24" s="232" t="s">
        <v>923</v>
      </c>
      <c r="E24" s="233">
        <v>-33859</v>
      </c>
      <c r="F24" s="233">
        <v>-116046</v>
      </c>
      <c r="G24" s="233">
        <v>-80232</v>
      </c>
      <c r="H24" s="233">
        <v>-50478</v>
      </c>
      <c r="I24" s="233">
        <v>-208068</v>
      </c>
      <c r="J24" s="233">
        <v>-95756</v>
      </c>
      <c r="K24" s="233">
        <v>-49135</v>
      </c>
      <c r="L24" s="233">
        <v>-50156</v>
      </c>
      <c r="M24" s="233">
        <v>-119639</v>
      </c>
      <c r="N24" s="233">
        <v>-97074</v>
      </c>
      <c r="O24" s="233">
        <v>-51892</v>
      </c>
      <c r="P24" s="233">
        <v>-27098</v>
      </c>
      <c r="Q24" s="233">
        <v>-143221</v>
      </c>
      <c r="R24" s="233">
        <v>-84782</v>
      </c>
      <c r="S24" s="233">
        <v>-19299</v>
      </c>
      <c r="T24" s="233">
        <v>-2954</v>
      </c>
    </row>
    <row r="25" spans="1:23" x14ac:dyDescent="0.25">
      <c r="C25" s="232" t="s">
        <v>1049</v>
      </c>
      <c r="D25" s="232" t="s">
        <v>1054</v>
      </c>
      <c r="E25" s="233">
        <v>-766</v>
      </c>
      <c r="F25" s="233">
        <v>-769</v>
      </c>
      <c r="G25" s="233" t="s">
        <v>166</v>
      </c>
      <c r="H25" s="233" t="s">
        <v>166</v>
      </c>
      <c r="I25" s="233" t="s">
        <v>166</v>
      </c>
      <c r="J25" s="233" t="s">
        <v>166</v>
      </c>
      <c r="K25" s="233" t="s">
        <v>166</v>
      </c>
      <c r="L25" s="233" t="s">
        <v>166</v>
      </c>
      <c r="M25" s="233" t="s">
        <v>166</v>
      </c>
      <c r="N25" s="233" t="s">
        <v>166</v>
      </c>
      <c r="O25" s="233" t="s">
        <v>166</v>
      </c>
      <c r="P25" s="233" t="s">
        <v>166</v>
      </c>
      <c r="Q25" s="233" t="s">
        <v>166</v>
      </c>
      <c r="R25" s="233" t="s">
        <v>166</v>
      </c>
      <c r="S25" s="233" t="s">
        <v>166</v>
      </c>
      <c r="T25" s="233" t="s">
        <v>166</v>
      </c>
    </row>
    <row r="26" spans="1:23" x14ac:dyDescent="0.25">
      <c r="C26" s="232" t="s">
        <v>841</v>
      </c>
      <c r="D26" s="232" t="s">
        <v>924</v>
      </c>
      <c r="E26" s="233">
        <v>-103349</v>
      </c>
      <c r="F26" s="233">
        <v>-87682</v>
      </c>
      <c r="G26" s="233">
        <v>-39607</v>
      </c>
      <c r="H26" s="233">
        <v>-23838</v>
      </c>
      <c r="I26" s="233">
        <v>-45801</v>
      </c>
      <c r="J26" s="233">
        <v>-62417</v>
      </c>
      <c r="K26" s="233">
        <v>-68678</v>
      </c>
      <c r="L26" s="233">
        <v>-27649</v>
      </c>
      <c r="M26" s="233">
        <v>8226</v>
      </c>
      <c r="N26" s="233">
        <v>-17035</v>
      </c>
      <c r="O26" s="233">
        <v>-30045</v>
      </c>
      <c r="P26" s="233">
        <v>-31768</v>
      </c>
      <c r="Q26" s="233">
        <v>9866</v>
      </c>
      <c r="R26" s="233">
        <v>-5520</v>
      </c>
      <c r="S26" s="233">
        <v>10435</v>
      </c>
      <c r="T26" s="233">
        <v>3290</v>
      </c>
    </row>
    <row r="27" spans="1:23" x14ac:dyDescent="0.25">
      <c r="C27" s="232" t="s">
        <v>48</v>
      </c>
      <c r="D27" s="232" t="s">
        <v>49</v>
      </c>
      <c r="E27" s="233">
        <v>261062</v>
      </c>
      <c r="F27" s="233">
        <v>82022</v>
      </c>
      <c r="G27" s="233">
        <v>709</v>
      </c>
      <c r="H27" s="233">
        <v>-179451</v>
      </c>
      <c r="I27" s="233">
        <v>-14399</v>
      </c>
      <c r="J27" s="233">
        <v>-113655</v>
      </c>
      <c r="K27" s="233">
        <v>-164293</v>
      </c>
      <c r="L27" s="233">
        <v>-250598</v>
      </c>
      <c r="M27" s="233">
        <v>-403489</v>
      </c>
      <c r="N27" s="233">
        <v>-751949</v>
      </c>
      <c r="O27" s="233">
        <v>-456338</v>
      </c>
      <c r="P27" s="233">
        <v>-536182</v>
      </c>
      <c r="Q27" s="233">
        <v>645265</v>
      </c>
      <c r="R27" s="233">
        <v>3509</v>
      </c>
      <c r="S27" s="233">
        <v>95281</v>
      </c>
      <c r="T27" s="233">
        <v>-123937</v>
      </c>
    </row>
    <row r="28" spans="1:23" x14ac:dyDescent="0.25">
      <c r="C28" s="232" t="s">
        <v>54</v>
      </c>
      <c r="D28" s="232" t="s">
        <v>55</v>
      </c>
      <c r="E28" s="233">
        <v>-70764</v>
      </c>
      <c r="F28" s="233">
        <v>32443</v>
      </c>
      <c r="G28" s="233">
        <v>17882</v>
      </c>
      <c r="H28" s="233">
        <v>-6901</v>
      </c>
      <c r="I28" s="233">
        <v>259557</v>
      </c>
      <c r="J28" s="233">
        <v>68998</v>
      </c>
      <c r="K28" s="233">
        <v>41206</v>
      </c>
      <c r="L28" s="233">
        <v>-10433</v>
      </c>
      <c r="M28" s="233">
        <v>163309</v>
      </c>
      <c r="N28" s="233">
        <v>52642</v>
      </c>
      <c r="O28" s="233">
        <v>20749</v>
      </c>
      <c r="P28" s="233">
        <v>9132</v>
      </c>
      <c r="Q28" s="233">
        <v>99174</v>
      </c>
      <c r="R28" s="233">
        <v>34885</v>
      </c>
      <c r="S28" s="233">
        <v>-14034</v>
      </c>
      <c r="T28" s="233">
        <v>-38352</v>
      </c>
    </row>
    <row r="29" spans="1:23" x14ac:dyDescent="0.25">
      <c r="C29" s="232" t="s">
        <v>925</v>
      </c>
      <c r="D29" s="232" t="s">
        <v>53</v>
      </c>
      <c r="E29" s="233">
        <v>-23969</v>
      </c>
      <c r="F29" s="233">
        <v>-18079</v>
      </c>
      <c r="G29" s="233">
        <v>-12264</v>
      </c>
      <c r="H29" s="233">
        <v>-5788</v>
      </c>
      <c r="I29" s="233">
        <v>131987</v>
      </c>
      <c r="J29" s="233">
        <v>137544</v>
      </c>
      <c r="K29" s="233">
        <v>142453</v>
      </c>
      <c r="L29" s="233">
        <v>-4124</v>
      </c>
      <c r="M29" s="233">
        <v>-24421</v>
      </c>
      <c r="N29" s="233">
        <v>-18419</v>
      </c>
      <c r="O29" s="233">
        <v>-10821</v>
      </c>
      <c r="P29" s="233">
        <v>-8641</v>
      </c>
      <c r="Q29" s="233">
        <v>-44490</v>
      </c>
      <c r="R29" s="233">
        <v>-34281</v>
      </c>
      <c r="S29" s="233">
        <v>-23206</v>
      </c>
      <c r="T29" s="233">
        <v>-12332</v>
      </c>
    </row>
    <row r="30" spans="1:23" x14ac:dyDescent="0.25">
      <c r="C30" s="232" t="s">
        <v>982</v>
      </c>
      <c r="D30" s="232" t="s">
        <v>920</v>
      </c>
      <c r="E30" s="233">
        <v>131305</v>
      </c>
      <c r="F30" s="233">
        <v>200524.95</v>
      </c>
      <c r="G30" s="233">
        <v>143096</v>
      </c>
      <c r="H30" s="233">
        <v>12873</v>
      </c>
      <c r="I30" s="233">
        <v>-87231</v>
      </c>
      <c r="J30" s="233">
        <v>-87804</v>
      </c>
      <c r="K30" s="233">
        <v>-87087</v>
      </c>
      <c r="L30" s="233">
        <v>-28090</v>
      </c>
      <c r="M30" s="233">
        <v>22503</v>
      </c>
      <c r="N30" s="233">
        <v>18784</v>
      </c>
      <c r="O30" s="233">
        <v>-11939</v>
      </c>
      <c r="P30" s="233">
        <v>3178</v>
      </c>
      <c r="Q30" s="233">
        <v>34995</v>
      </c>
      <c r="R30" s="233">
        <v>24666</v>
      </c>
      <c r="S30" s="233">
        <v>61961</v>
      </c>
      <c r="T30" s="233">
        <v>198599</v>
      </c>
    </row>
    <row r="31" spans="1:23" x14ac:dyDescent="0.25">
      <c r="C31" s="232" t="s">
        <v>926</v>
      </c>
      <c r="D31" s="232" t="s">
        <v>927</v>
      </c>
      <c r="E31" s="233">
        <v>-32899</v>
      </c>
      <c r="F31" s="233">
        <v>-20245</v>
      </c>
      <c r="G31" s="233">
        <v>-9167</v>
      </c>
      <c r="H31" s="233">
        <v>-4879</v>
      </c>
      <c r="I31" s="233">
        <v>-65025</v>
      </c>
      <c r="J31" s="233">
        <v>-20294</v>
      </c>
      <c r="K31" s="233">
        <v>-8750</v>
      </c>
      <c r="L31" s="233">
        <v>-4494</v>
      </c>
      <c r="M31" s="233">
        <v>-24328</v>
      </c>
      <c r="N31" s="233">
        <v>-18199</v>
      </c>
      <c r="O31" s="233">
        <v>-11009</v>
      </c>
      <c r="P31" s="233">
        <v>-3592</v>
      </c>
      <c r="Q31" s="233">
        <v>-41557</v>
      </c>
      <c r="R31" s="233">
        <v>-12777</v>
      </c>
      <c r="S31" s="233">
        <v>-7260</v>
      </c>
      <c r="T31" s="233">
        <v>-4644</v>
      </c>
    </row>
    <row r="32" spans="1:23" x14ac:dyDescent="0.25">
      <c r="C32" s="232" t="s">
        <v>928</v>
      </c>
      <c r="D32" s="232" t="s">
        <v>929</v>
      </c>
      <c r="E32" s="233">
        <v>93993</v>
      </c>
      <c r="F32" s="233">
        <v>-41772</v>
      </c>
      <c r="G32" s="233">
        <v>-83007</v>
      </c>
      <c r="H32" s="233">
        <v>-114800</v>
      </c>
      <c r="I32" s="233">
        <v>85017</v>
      </c>
      <c r="J32" s="233">
        <v>57997</v>
      </c>
      <c r="K32" s="233">
        <v>11031</v>
      </c>
      <c r="L32" s="233">
        <v>1000</v>
      </c>
      <c r="M32" s="233">
        <v>-17561</v>
      </c>
      <c r="N32" s="233">
        <v>-27397</v>
      </c>
      <c r="O32" s="233">
        <v>-35109</v>
      </c>
      <c r="P32" s="233">
        <v>202</v>
      </c>
      <c r="Q32" s="233">
        <v>34156</v>
      </c>
      <c r="R32" s="233">
        <v>33851</v>
      </c>
      <c r="S32" s="233">
        <v>-1761</v>
      </c>
      <c r="T32" s="233">
        <v>12560</v>
      </c>
    </row>
    <row r="33" spans="3:20" x14ac:dyDescent="0.25">
      <c r="C33" s="232" t="s">
        <v>872</v>
      </c>
      <c r="D33" s="232" t="s">
        <v>930</v>
      </c>
      <c r="E33" s="233">
        <v>74408</v>
      </c>
      <c r="F33" s="233">
        <v>-14738</v>
      </c>
      <c r="G33" s="233">
        <v>-16920</v>
      </c>
      <c r="H33" s="233">
        <v>-27171</v>
      </c>
      <c r="I33" s="233">
        <v>7528</v>
      </c>
      <c r="J33" s="233">
        <v>-24630</v>
      </c>
      <c r="K33" s="233">
        <v>-19069</v>
      </c>
      <c r="L33" s="233">
        <v>-64477</v>
      </c>
      <c r="M33" s="233">
        <v>-79994</v>
      </c>
      <c r="N33" s="233">
        <v>-15556</v>
      </c>
      <c r="O33" s="233">
        <v>7084</v>
      </c>
      <c r="P33" s="233">
        <v>13306</v>
      </c>
      <c r="Q33" s="233">
        <v>-175319</v>
      </c>
      <c r="R33" s="233">
        <v>-189029</v>
      </c>
      <c r="S33" s="233">
        <v>-202425</v>
      </c>
      <c r="T33" s="233">
        <v>-131164</v>
      </c>
    </row>
    <row r="34" spans="3:20" x14ac:dyDescent="0.25">
      <c r="C34" s="232" t="s">
        <v>873</v>
      </c>
      <c r="D34" s="232" t="s">
        <v>931</v>
      </c>
      <c r="E34" s="233">
        <v>5175</v>
      </c>
      <c r="F34" s="233">
        <v>-15838</v>
      </c>
      <c r="G34" s="233">
        <v>-15931</v>
      </c>
      <c r="H34" s="233">
        <v>-19993</v>
      </c>
      <c r="I34" s="233">
        <v>22217</v>
      </c>
      <c r="J34" s="233">
        <v>17505</v>
      </c>
      <c r="K34" s="233">
        <v>511</v>
      </c>
      <c r="L34" s="233">
        <v>-10850</v>
      </c>
      <c r="M34" s="233">
        <v>-118789</v>
      </c>
      <c r="N34" s="233">
        <v>-82008</v>
      </c>
      <c r="O34" s="233">
        <v>-80052</v>
      </c>
      <c r="P34" s="233">
        <v>-17389</v>
      </c>
      <c r="Q34" s="233">
        <v>133663</v>
      </c>
      <c r="R34" s="233">
        <v>21276</v>
      </c>
      <c r="S34" s="233">
        <v>-2909</v>
      </c>
      <c r="T34" s="233">
        <v>2987</v>
      </c>
    </row>
    <row r="35" spans="3:20" x14ac:dyDescent="0.25">
      <c r="C35" s="239" t="s">
        <v>932</v>
      </c>
      <c r="D35" s="239" t="s">
        <v>933</v>
      </c>
      <c r="E35" s="235">
        <v>-424284.31672</v>
      </c>
      <c r="F35" s="235">
        <v>-330914.01999999996</v>
      </c>
      <c r="G35" s="235">
        <v>-163695</v>
      </c>
      <c r="H35" s="235">
        <v>-170683</v>
      </c>
      <c r="I35" s="235">
        <v>269625.11836000002</v>
      </c>
      <c r="J35" s="235">
        <v>55107</v>
      </c>
      <c r="K35" s="235">
        <v>46114.233630000002</v>
      </c>
      <c r="L35" s="235">
        <v>-224170</v>
      </c>
      <c r="M35" s="235">
        <v>-242752</v>
      </c>
      <c r="N35" s="235">
        <v>-899833</v>
      </c>
      <c r="O35" s="235">
        <v>-478710</v>
      </c>
      <c r="P35" s="235">
        <v>-450017</v>
      </c>
      <c r="Q35" s="235">
        <v>-415595</v>
      </c>
      <c r="R35" s="235">
        <v>-587540</v>
      </c>
      <c r="S35" s="235">
        <v>-395269</v>
      </c>
      <c r="T35" s="235">
        <v>-219329</v>
      </c>
    </row>
    <row r="36" spans="3:20" x14ac:dyDescent="0.25">
      <c r="C36" s="237"/>
      <c r="D36" s="237"/>
      <c r="E36" s="237"/>
      <c r="F36" s="237"/>
      <c r="G36" s="237"/>
      <c r="H36" s="237"/>
      <c r="I36" s="237"/>
      <c r="J36" s="237"/>
      <c r="K36" s="236"/>
      <c r="L36" s="236"/>
      <c r="M36" s="236"/>
      <c r="N36" s="236"/>
      <c r="O36" s="236"/>
      <c r="P36" s="236"/>
      <c r="Q36" s="236"/>
      <c r="R36" s="236"/>
      <c r="S36" s="236"/>
      <c r="T36" s="236"/>
    </row>
    <row r="37" spans="3:20" x14ac:dyDescent="0.25">
      <c r="C37" s="232" t="s">
        <v>934</v>
      </c>
      <c r="D37" s="232" t="s">
        <v>935</v>
      </c>
      <c r="E37" s="233">
        <v>-23998</v>
      </c>
      <c r="F37" s="233">
        <v>-18336</v>
      </c>
      <c r="G37" s="233">
        <v>-12226</v>
      </c>
      <c r="H37" s="233">
        <v>-6173</v>
      </c>
      <c r="I37" s="233">
        <v>-25463</v>
      </c>
      <c r="J37" s="233">
        <v>-19634</v>
      </c>
      <c r="K37" s="233">
        <v>-13213</v>
      </c>
      <c r="L37" s="233">
        <v>-6804</v>
      </c>
      <c r="M37" s="233">
        <v>-34051</v>
      </c>
      <c r="N37" s="233">
        <v>-20112</v>
      </c>
      <c r="O37" s="233">
        <v>-14677</v>
      </c>
      <c r="P37" s="233">
        <v>-913</v>
      </c>
      <c r="Q37" s="233">
        <v>-34597</v>
      </c>
      <c r="R37" s="233">
        <v>-22102</v>
      </c>
      <c r="S37" s="233">
        <v>-21187</v>
      </c>
      <c r="T37" s="233">
        <v>-1954</v>
      </c>
    </row>
    <row r="38" spans="3:20" x14ac:dyDescent="0.25">
      <c r="C38" s="232" t="s">
        <v>936</v>
      </c>
      <c r="D38" s="232" t="s">
        <v>937</v>
      </c>
      <c r="E38" s="233">
        <v>-136894</v>
      </c>
      <c r="F38" s="233">
        <v>-84248</v>
      </c>
      <c r="G38" s="233">
        <v>-76688</v>
      </c>
      <c r="H38" s="233">
        <v>-9437</v>
      </c>
      <c r="I38" s="233">
        <v>-161938</v>
      </c>
      <c r="J38" s="233">
        <v>-101625.5</v>
      </c>
      <c r="K38" s="233">
        <v>-84624</v>
      </c>
      <c r="L38" s="233">
        <v>-33596</v>
      </c>
      <c r="M38" s="233">
        <v>-170014</v>
      </c>
      <c r="N38" s="233">
        <v>-104736</v>
      </c>
      <c r="O38" s="233">
        <v>-74961</v>
      </c>
      <c r="P38" s="233">
        <v>0</v>
      </c>
      <c r="Q38" s="233">
        <v>-106820</v>
      </c>
      <c r="R38" s="233">
        <v>-35220</v>
      </c>
      <c r="S38" s="233">
        <v>-35220</v>
      </c>
      <c r="T38" s="233">
        <v>0</v>
      </c>
    </row>
    <row r="39" spans="3:20" x14ac:dyDescent="0.25">
      <c r="C39" s="240" t="s">
        <v>938</v>
      </c>
      <c r="D39" s="232" t="s">
        <v>939</v>
      </c>
      <c r="E39" s="233">
        <v>0</v>
      </c>
      <c r="F39" s="233">
        <v>0</v>
      </c>
      <c r="G39" s="233">
        <v>0</v>
      </c>
      <c r="H39" s="233">
        <v>0</v>
      </c>
      <c r="I39" s="233">
        <v>0</v>
      </c>
      <c r="J39" s="233">
        <v>0</v>
      </c>
      <c r="K39" s="233">
        <v>0</v>
      </c>
      <c r="L39" s="233">
        <v>0</v>
      </c>
      <c r="M39" s="233">
        <v>0</v>
      </c>
      <c r="N39" s="233">
        <v>0</v>
      </c>
      <c r="O39" s="233">
        <v>0</v>
      </c>
      <c r="P39" s="233">
        <v>0</v>
      </c>
      <c r="Q39" s="233">
        <v>0</v>
      </c>
      <c r="R39" s="233">
        <v>0</v>
      </c>
      <c r="S39" s="233">
        <v>0</v>
      </c>
      <c r="T39" s="233">
        <v>-29802</v>
      </c>
    </row>
    <row r="40" spans="3:20" x14ac:dyDescent="0.25">
      <c r="C40" s="232" t="s">
        <v>940</v>
      </c>
      <c r="D40" s="232" t="s">
        <v>941</v>
      </c>
      <c r="E40" s="233">
        <v>-30444.683280000001</v>
      </c>
      <c r="F40" s="233">
        <v>-4957</v>
      </c>
      <c r="G40" s="233">
        <v>-10146</v>
      </c>
      <c r="H40" s="233">
        <v>-5199</v>
      </c>
      <c r="I40" s="233">
        <v>-46221</v>
      </c>
      <c r="J40" s="233">
        <v>-2473</v>
      </c>
      <c r="K40" s="233">
        <v>-1432</v>
      </c>
      <c r="L40" s="233">
        <v>-506</v>
      </c>
      <c r="M40" s="233">
        <v>-43172</v>
      </c>
      <c r="N40" s="233">
        <v>-33078</v>
      </c>
      <c r="O40" s="233">
        <v>-33012</v>
      </c>
      <c r="P40" s="233">
        <v>-33015</v>
      </c>
      <c r="Q40" s="233">
        <v>-108002</v>
      </c>
      <c r="R40" s="233">
        <v>-92067</v>
      </c>
      <c r="S40" s="233">
        <v>-81866</v>
      </c>
      <c r="T40" s="233">
        <v>-65406</v>
      </c>
    </row>
    <row r="41" spans="3:20" x14ac:dyDescent="0.25">
      <c r="C41" s="239" t="s">
        <v>942</v>
      </c>
      <c r="D41" s="239" t="s">
        <v>943</v>
      </c>
      <c r="E41" s="235">
        <v>641706</v>
      </c>
      <c r="F41" s="235">
        <v>398381.98000000004</v>
      </c>
      <c r="G41" s="235">
        <v>273336</v>
      </c>
      <c r="H41" s="235">
        <v>91824</v>
      </c>
      <c r="I41" s="235">
        <v>1069935.11836</v>
      </c>
      <c r="J41" s="235">
        <v>588015.5</v>
      </c>
      <c r="K41" s="235">
        <v>262861.23363000003</v>
      </c>
      <c r="L41" s="235">
        <v>20830</v>
      </c>
      <c r="M41" s="235">
        <v>625410.10999999987</v>
      </c>
      <c r="N41" s="235">
        <v>-275364.429</v>
      </c>
      <c r="O41" s="235">
        <v>-159768</v>
      </c>
      <c r="P41" s="235">
        <v>-249330.60954999999</v>
      </c>
      <c r="Q41" s="235">
        <v>265505</v>
      </c>
      <c r="R41" s="235">
        <v>-147430.59999999998</v>
      </c>
      <c r="S41" s="235">
        <v>-124665</v>
      </c>
      <c r="T41" s="235">
        <v>-84733.820259999949</v>
      </c>
    </row>
    <row r="42" spans="3:20" x14ac:dyDescent="0.25">
      <c r="C42" s="237"/>
      <c r="D42" s="237"/>
      <c r="E42" s="237"/>
      <c r="F42" s="237"/>
      <c r="G42" s="237"/>
      <c r="H42" s="237"/>
      <c r="I42" s="237"/>
      <c r="J42" s="237"/>
      <c r="K42" s="237"/>
      <c r="L42" s="237"/>
      <c r="M42" s="237"/>
      <c r="N42" s="237"/>
      <c r="O42" s="237"/>
      <c r="P42" s="237"/>
      <c r="Q42" s="237"/>
      <c r="R42" s="237"/>
      <c r="S42" s="241"/>
      <c r="T42" s="237"/>
    </row>
    <row r="43" spans="3:20" x14ac:dyDescent="0.25">
      <c r="C43" s="237" t="s">
        <v>944</v>
      </c>
      <c r="D43" s="237" t="s">
        <v>945</v>
      </c>
      <c r="E43" s="237"/>
      <c r="F43" s="237"/>
      <c r="G43" s="237"/>
      <c r="H43" s="237"/>
      <c r="I43" s="237"/>
      <c r="J43" s="237"/>
      <c r="K43" s="233"/>
      <c r="L43" s="233"/>
      <c r="M43" s="233"/>
      <c r="N43" s="233"/>
      <c r="O43" s="233"/>
      <c r="P43" s="233"/>
      <c r="Q43" s="233"/>
      <c r="R43" s="233"/>
      <c r="S43" s="233"/>
      <c r="T43" s="233"/>
    </row>
    <row r="44" spans="3:20" x14ac:dyDescent="0.25">
      <c r="C44" s="232" t="s">
        <v>946</v>
      </c>
      <c r="D44" s="232" t="s">
        <v>947</v>
      </c>
      <c r="E44" s="233">
        <v>-290149</v>
      </c>
      <c r="F44" s="233">
        <v>-137908</v>
      </c>
      <c r="G44" s="233">
        <v>-27092</v>
      </c>
      <c r="H44" s="233">
        <v>-8566</v>
      </c>
      <c r="I44" s="233">
        <v>-138662</v>
      </c>
      <c r="J44" s="233">
        <v>-66052</v>
      </c>
      <c r="K44" s="233">
        <v>-40599</v>
      </c>
      <c r="L44" s="233">
        <v>-13493</v>
      </c>
      <c r="M44" s="233">
        <v>-126465</v>
      </c>
      <c r="N44" s="233">
        <v>-110104</v>
      </c>
      <c r="O44" s="233">
        <v>-85072</v>
      </c>
      <c r="P44" s="233">
        <v>-26566</v>
      </c>
      <c r="Q44" s="233">
        <v>-230266</v>
      </c>
      <c r="R44" s="233">
        <v>-111373</v>
      </c>
      <c r="S44" s="233">
        <v>-72313</v>
      </c>
      <c r="T44" s="233">
        <v>-26847</v>
      </c>
    </row>
    <row r="45" spans="3:20" x14ac:dyDescent="0.25">
      <c r="C45" s="232" t="s">
        <v>948</v>
      </c>
      <c r="D45" s="232" t="s">
        <v>949</v>
      </c>
      <c r="E45" s="233">
        <v>-130539</v>
      </c>
      <c r="F45" s="233">
        <v>-92905</v>
      </c>
      <c r="G45" s="233">
        <v>-60334</v>
      </c>
      <c r="H45" s="233">
        <v>-29685</v>
      </c>
      <c r="I45" s="233">
        <v>-121446</v>
      </c>
      <c r="J45" s="233">
        <v>-85010</v>
      </c>
      <c r="K45" s="233">
        <v>-53623</v>
      </c>
      <c r="L45" s="233">
        <v>-26473</v>
      </c>
      <c r="M45" s="233">
        <v>-133162</v>
      </c>
      <c r="N45" s="233">
        <v>-120312</v>
      </c>
      <c r="O45" s="233">
        <v>-68402</v>
      </c>
      <c r="P45" s="233">
        <v>-31527</v>
      </c>
      <c r="Q45" s="233">
        <v>-141455</v>
      </c>
      <c r="R45" s="233">
        <v>-87583</v>
      </c>
      <c r="S45" s="233">
        <v>-58295.517489999998</v>
      </c>
      <c r="T45" s="233">
        <v>-27642</v>
      </c>
    </row>
    <row r="46" spans="3:20" hidden="1" x14ac:dyDescent="0.25">
      <c r="C46" s="232" t="s">
        <v>950</v>
      </c>
      <c r="D46" s="232" t="s">
        <v>992</v>
      </c>
      <c r="E46" s="233">
        <v>0</v>
      </c>
      <c r="F46" s="233">
        <v>0</v>
      </c>
      <c r="G46" s="233">
        <v>0</v>
      </c>
      <c r="H46" s="233">
        <v>0</v>
      </c>
      <c r="I46" s="233">
        <v>0</v>
      </c>
      <c r="J46" s="233">
        <v>0</v>
      </c>
      <c r="K46" s="233">
        <v>0</v>
      </c>
      <c r="L46" s="233">
        <v>0</v>
      </c>
      <c r="M46" s="233">
        <v>0</v>
      </c>
      <c r="N46" s="233">
        <v>0</v>
      </c>
      <c r="O46" s="233">
        <v>0</v>
      </c>
      <c r="P46" s="233">
        <v>0</v>
      </c>
      <c r="Q46" s="233">
        <v>-22160</v>
      </c>
      <c r="R46" s="233">
        <v>0</v>
      </c>
      <c r="S46" s="233">
        <v>0</v>
      </c>
      <c r="T46" s="233">
        <v>0</v>
      </c>
    </row>
    <row r="47" spans="3:20" hidden="1" x14ac:dyDescent="0.25">
      <c r="C47" s="232" t="s">
        <v>951</v>
      </c>
      <c r="D47" s="232" t="s">
        <v>993</v>
      </c>
      <c r="E47" s="233">
        <v>0</v>
      </c>
      <c r="F47" s="233">
        <v>0</v>
      </c>
      <c r="G47" s="233">
        <v>0</v>
      </c>
      <c r="H47" s="233">
        <v>0</v>
      </c>
      <c r="I47" s="233">
        <v>0</v>
      </c>
      <c r="J47" s="233">
        <v>0</v>
      </c>
      <c r="K47" s="233">
        <v>0</v>
      </c>
      <c r="L47" s="233">
        <v>0</v>
      </c>
      <c r="M47" s="233">
        <v>0</v>
      </c>
      <c r="N47" s="233">
        <v>0</v>
      </c>
      <c r="O47" s="233">
        <v>0</v>
      </c>
      <c r="P47" s="233">
        <v>0</v>
      </c>
      <c r="Q47" s="233">
        <v>0</v>
      </c>
      <c r="R47" s="233">
        <v>-7617</v>
      </c>
      <c r="S47" s="233">
        <v>0</v>
      </c>
      <c r="T47" s="233">
        <v>0</v>
      </c>
    </row>
    <row r="48" spans="3:20" hidden="1" x14ac:dyDescent="0.25">
      <c r="C48" s="232" t="s">
        <v>952</v>
      </c>
      <c r="D48" s="232" t="s">
        <v>994</v>
      </c>
      <c r="E48" s="233">
        <v>0</v>
      </c>
      <c r="F48" s="233">
        <v>0</v>
      </c>
      <c r="G48" s="233">
        <v>0</v>
      </c>
      <c r="H48" s="233">
        <v>0</v>
      </c>
      <c r="I48" s="233">
        <v>0</v>
      </c>
      <c r="J48" s="233">
        <v>0</v>
      </c>
      <c r="K48" s="233">
        <v>0</v>
      </c>
      <c r="L48" s="233">
        <v>0</v>
      </c>
      <c r="M48" s="233">
        <v>0</v>
      </c>
      <c r="N48" s="233">
        <v>0</v>
      </c>
      <c r="O48" s="233">
        <v>0</v>
      </c>
      <c r="P48" s="233">
        <v>0</v>
      </c>
      <c r="Q48" s="233">
        <v>0</v>
      </c>
      <c r="R48" s="233">
        <v>-9636</v>
      </c>
      <c r="S48" s="233">
        <v>-9635.4825099999998</v>
      </c>
      <c r="T48" s="233">
        <v>0</v>
      </c>
    </row>
    <row r="49" spans="3:20" hidden="1" x14ac:dyDescent="0.25">
      <c r="C49" s="232" t="s">
        <v>953</v>
      </c>
      <c r="D49" s="232" t="s">
        <v>995</v>
      </c>
      <c r="E49" s="233">
        <v>0</v>
      </c>
      <c r="F49" s="233">
        <v>0</v>
      </c>
      <c r="G49" s="233">
        <v>0</v>
      </c>
      <c r="H49" s="233">
        <v>0</v>
      </c>
      <c r="I49" s="233">
        <v>0</v>
      </c>
      <c r="J49" s="233">
        <v>0</v>
      </c>
      <c r="K49" s="233">
        <v>0</v>
      </c>
      <c r="L49" s="233">
        <v>0</v>
      </c>
      <c r="M49" s="233">
        <v>0</v>
      </c>
      <c r="N49" s="233">
        <v>0</v>
      </c>
      <c r="O49" s="233">
        <v>0</v>
      </c>
      <c r="P49" s="233">
        <v>0</v>
      </c>
      <c r="Q49" s="233">
        <v>0</v>
      </c>
      <c r="R49" s="233">
        <v>-4792</v>
      </c>
      <c r="S49" s="233">
        <v>-4792</v>
      </c>
      <c r="T49" s="233">
        <v>-1978</v>
      </c>
    </row>
    <row r="50" spans="3:20" hidden="1" x14ac:dyDescent="0.25">
      <c r="C50" s="232" t="s">
        <v>954</v>
      </c>
      <c r="D50" s="232" t="s">
        <v>996</v>
      </c>
      <c r="E50" s="233">
        <v>0</v>
      </c>
      <c r="F50" s="233">
        <v>0</v>
      </c>
      <c r="G50" s="233">
        <v>0</v>
      </c>
      <c r="H50" s="233">
        <v>0</v>
      </c>
      <c r="I50" s="233">
        <v>0</v>
      </c>
      <c r="J50" s="233">
        <v>0</v>
      </c>
      <c r="K50" s="233">
        <v>0</v>
      </c>
      <c r="L50" s="233">
        <v>0</v>
      </c>
      <c r="M50" s="233">
        <v>0</v>
      </c>
      <c r="N50" s="233">
        <v>0</v>
      </c>
      <c r="O50" s="233">
        <v>0</v>
      </c>
      <c r="P50" s="233">
        <v>0</v>
      </c>
      <c r="Q50" s="233">
        <v>0</v>
      </c>
      <c r="R50" s="233">
        <v>0</v>
      </c>
      <c r="S50" s="233">
        <v>0</v>
      </c>
      <c r="T50" s="233">
        <v>-2812.9619500000003</v>
      </c>
    </row>
    <row r="51" spans="3:20" x14ac:dyDescent="0.25">
      <c r="C51" s="232" t="s">
        <v>1098</v>
      </c>
      <c r="D51" s="232" t="s">
        <v>1099</v>
      </c>
      <c r="E51" s="233">
        <v>25000</v>
      </c>
      <c r="F51" s="233">
        <v>0</v>
      </c>
      <c r="G51" s="233">
        <v>0</v>
      </c>
      <c r="H51" s="233">
        <v>0</v>
      </c>
      <c r="I51" s="233">
        <v>0</v>
      </c>
      <c r="J51" s="233">
        <v>0</v>
      </c>
      <c r="K51" s="233">
        <v>0</v>
      </c>
      <c r="L51" s="233">
        <v>0</v>
      </c>
      <c r="M51" s="233">
        <v>0</v>
      </c>
      <c r="N51" s="233">
        <v>0</v>
      </c>
      <c r="O51" s="233">
        <v>0</v>
      </c>
      <c r="P51" s="233">
        <v>0</v>
      </c>
      <c r="Q51" s="233">
        <v>0</v>
      </c>
      <c r="R51" s="233">
        <v>0</v>
      </c>
      <c r="S51" s="233">
        <v>0</v>
      </c>
      <c r="T51" s="233">
        <v>0</v>
      </c>
    </row>
    <row r="52" spans="3:20" x14ac:dyDescent="0.25">
      <c r="C52" s="239" t="s">
        <v>955</v>
      </c>
      <c r="D52" s="239" t="s">
        <v>956</v>
      </c>
      <c r="E52" s="235">
        <v>-395688</v>
      </c>
      <c r="F52" s="235">
        <v>-230813</v>
      </c>
      <c r="G52" s="235">
        <v>-87426</v>
      </c>
      <c r="H52" s="235">
        <v>-38251</v>
      </c>
      <c r="I52" s="235">
        <v>-260108</v>
      </c>
      <c r="J52" s="235">
        <v>-151062</v>
      </c>
      <c r="K52" s="235">
        <v>-94222</v>
      </c>
      <c r="L52" s="235">
        <v>-39966</v>
      </c>
      <c r="M52" s="235">
        <v>-259627</v>
      </c>
      <c r="N52" s="235">
        <v>-230416</v>
      </c>
      <c r="O52" s="235">
        <v>-153474</v>
      </c>
      <c r="P52" s="235">
        <v>-58093</v>
      </c>
      <c r="Q52" s="235">
        <v>-393881</v>
      </c>
      <c r="R52" s="235">
        <v>-221001</v>
      </c>
      <c r="S52" s="235">
        <v>-145036</v>
      </c>
      <c r="T52" s="235">
        <v>-59279.961949999997</v>
      </c>
    </row>
    <row r="53" spans="3:20" s="232" customFormat="1" ht="11.25" x14ac:dyDescent="0.2"/>
    <row r="54" spans="3:20" x14ac:dyDescent="0.25">
      <c r="C54" s="237" t="s">
        <v>957</v>
      </c>
      <c r="D54" s="237" t="s">
        <v>958</v>
      </c>
      <c r="E54" s="237"/>
      <c r="F54" s="237"/>
      <c r="G54" s="237"/>
      <c r="H54" s="237"/>
      <c r="I54" s="237"/>
      <c r="J54" s="237"/>
      <c r="K54" s="231"/>
      <c r="L54" s="231"/>
      <c r="M54" s="231"/>
      <c r="N54" s="231"/>
      <c r="O54" s="231"/>
      <c r="P54" s="231"/>
      <c r="Q54" s="231"/>
      <c r="R54" s="231"/>
      <c r="S54" s="231"/>
      <c r="T54" s="231"/>
    </row>
    <row r="55" spans="3:20" x14ac:dyDescent="0.25">
      <c r="C55" s="232" t="s">
        <v>959</v>
      </c>
      <c r="D55" s="232" t="s">
        <v>960</v>
      </c>
      <c r="E55" s="233">
        <v>68084</v>
      </c>
      <c r="F55" s="233">
        <v>68083</v>
      </c>
      <c r="G55" s="233">
        <v>0</v>
      </c>
      <c r="H55" s="233">
        <v>0</v>
      </c>
      <c r="I55" s="233">
        <v>0</v>
      </c>
      <c r="J55" s="233">
        <v>0</v>
      </c>
      <c r="K55" s="233">
        <v>0</v>
      </c>
      <c r="L55" s="233">
        <v>0</v>
      </c>
      <c r="M55" s="233">
        <v>194248</v>
      </c>
      <c r="N55" s="233">
        <v>194248</v>
      </c>
      <c r="O55" s="233">
        <v>0</v>
      </c>
      <c r="P55" s="233">
        <v>0</v>
      </c>
      <c r="Q55" s="233">
        <v>2536</v>
      </c>
      <c r="R55" s="233">
        <v>2536</v>
      </c>
      <c r="S55" s="233">
        <v>2536</v>
      </c>
      <c r="T55" s="233">
        <v>1036</v>
      </c>
    </row>
    <row r="56" spans="3:20" x14ac:dyDescent="0.25">
      <c r="C56" s="232" t="s">
        <v>961</v>
      </c>
      <c r="D56" s="232" t="s">
        <v>962</v>
      </c>
      <c r="E56" s="233">
        <v>-528170</v>
      </c>
      <c r="F56" s="233">
        <v>-510086</v>
      </c>
      <c r="G56" s="233">
        <v>-354739</v>
      </c>
      <c r="H56" s="233">
        <v>-54207</v>
      </c>
      <c r="I56" s="233">
        <v>-597426</v>
      </c>
      <c r="J56" s="233">
        <v>-563154.56000000006</v>
      </c>
      <c r="K56" s="233">
        <v>-431599</v>
      </c>
      <c r="L56" s="233">
        <v>-322040</v>
      </c>
      <c r="M56" s="233">
        <v>-339753</v>
      </c>
      <c r="N56" s="233">
        <v>586848</v>
      </c>
      <c r="O56" s="233">
        <v>-258358</v>
      </c>
      <c r="P56" s="233">
        <v>-2782</v>
      </c>
      <c r="Q56" s="233">
        <v>496098</v>
      </c>
      <c r="R56" s="233">
        <v>496132</v>
      </c>
      <c r="S56" s="233">
        <v>-201131</v>
      </c>
      <c r="T56" s="233">
        <v>-1917</v>
      </c>
    </row>
    <row r="57" spans="3:20" x14ac:dyDescent="0.25">
      <c r="C57" s="232" t="s">
        <v>963</v>
      </c>
      <c r="D57" s="232" t="s">
        <v>964</v>
      </c>
      <c r="E57" s="233">
        <v>496037</v>
      </c>
      <c r="F57" s="233">
        <v>496037</v>
      </c>
      <c r="G57" s="233">
        <v>0</v>
      </c>
      <c r="H57" s="233">
        <v>0</v>
      </c>
      <c r="I57" s="233">
        <v>298008</v>
      </c>
      <c r="J57" s="233">
        <v>298008</v>
      </c>
      <c r="K57" s="233">
        <v>298008</v>
      </c>
      <c r="L57" s="233">
        <v>0</v>
      </c>
      <c r="M57" s="233">
        <v>586848</v>
      </c>
      <c r="N57" s="233">
        <v>-260588</v>
      </c>
      <c r="O57" s="233">
        <v>487955</v>
      </c>
      <c r="P57" s="233">
        <v>316458</v>
      </c>
      <c r="Q57" s="233">
        <v>-207268</v>
      </c>
      <c r="R57" s="233">
        <v>-201027</v>
      </c>
      <c r="S57" s="233">
        <v>497523</v>
      </c>
      <c r="T57" s="233">
        <v>577</v>
      </c>
    </row>
    <row r="58" spans="3:20" x14ac:dyDescent="0.25">
      <c r="C58" s="232" t="s">
        <v>965</v>
      </c>
      <c r="D58" s="232" t="s">
        <v>966</v>
      </c>
      <c r="E58" s="233">
        <v>-349605</v>
      </c>
      <c r="F58" s="233">
        <v>-261863</v>
      </c>
      <c r="G58" s="233">
        <v>-176174</v>
      </c>
      <c r="H58" s="233">
        <v>-93426</v>
      </c>
      <c r="I58" s="233">
        <v>-321960</v>
      </c>
      <c r="J58" s="233">
        <v>-241551</v>
      </c>
      <c r="K58" s="233">
        <v>-165846</v>
      </c>
      <c r="L58" s="233">
        <v>-90127</v>
      </c>
      <c r="M58" s="233">
        <v>-316786</v>
      </c>
      <c r="N58" s="233">
        <v>-237419</v>
      </c>
      <c r="O58" s="233">
        <v>-161433</v>
      </c>
      <c r="P58" s="233">
        <v>-85624</v>
      </c>
      <c r="Q58" s="233">
        <v>-262386</v>
      </c>
      <c r="R58" s="233">
        <v>-189883</v>
      </c>
      <c r="S58" s="233">
        <v>-139684</v>
      </c>
      <c r="T58" s="233">
        <v>-43870</v>
      </c>
    </row>
    <row r="59" spans="3:20" x14ac:dyDescent="0.25">
      <c r="C59" s="232" t="s">
        <v>60</v>
      </c>
      <c r="D59" s="232" t="s">
        <v>967</v>
      </c>
      <c r="E59" s="233">
        <v>4222</v>
      </c>
      <c r="F59" s="233">
        <v>4222</v>
      </c>
      <c r="G59" s="233">
        <v>4124</v>
      </c>
      <c r="H59" s="233">
        <v>0</v>
      </c>
      <c r="I59" s="233">
        <v>1454</v>
      </c>
      <c r="J59" s="233">
        <v>1454</v>
      </c>
      <c r="K59" s="233">
        <v>102</v>
      </c>
      <c r="L59" s="233">
        <v>0</v>
      </c>
      <c r="M59" s="233">
        <v>348</v>
      </c>
      <c r="N59" s="233">
        <v>0</v>
      </c>
      <c r="O59" s="233">
        <v>0</v>
      </c>
      <c r="P59" s="233">
        <v>0</v>
      </c>
      <c r="Q59" s="233">
        <v>0</v>
      </c>
      <c r="R59" s="233">
        <v>0</v>
      </c>
      <c r="S59" s="233">
        <v>6914</v>
      </c>
      <c r="T59" s="233">
        <v>0</v>
      </c>
    </row>
    <row r="60" spans="3:20" x14ac:dyDescent="0.25">
      <c r="C60" s="232" t="s">
        <v>968</v>
      </c>
      <c r="D60" s="232" t="s">
        <v>969</v>
      </c>
      <c r="E60" s="233">
        <v>0</v>
      </c>
      <c r="F60" s="233">
        <v>0</v>
      </c>
      <c r="G60" s="233">
        <v>0</v>
      </c>
      <c r="H60" s="233">
        <v>0</v>
      </c>
      <c r="I60" s="233">
        <v>0</v>
      </c>
      <c r="J60" s="233">
        <v>0</v>
      </c>
      <c r="K60" s="233">
        <v>173</v>
      </c>
      <c r="L60" s="233">
        <v>0</v>
      </c>
      <c r="M60" s="233">
        <v>0</v>
      </c>
      <c r="N60" s="233">
        <v>348</v>
      </c>
      <c r="O60" s="233">
        <v>0</v>
      </c>
      <c r="P60" s="233">
        <v>0</v>
      </c>
      <c r="Q60" s="233">
        <v>6997</v>
      </c>
      <c r="R60" s="233">
        <v>6997</v>
      </c>
      <c r="S60" s="233">
        <v>0</v>
      </c>
      <c r="T60" s="233">
        <v>0</v>
      </c>
    </row>
    <row r="61" spans="3:20" x14ac:dyDescent="0.25">
      <c r="C61" s="252" t="s">
        <v>998</v>
      </c>
      <c r="D61" s="232" t="s">
        <v>999</v>
      </c>
      <c r="E61" s="233">
        <v>0</v>
      </c>
      <c r="F61" s="233">
        <v>0</v>
      </c>
      <c r="G61" s="233">
        <v>0</v>
      </c>
      <c r="H61" s="233">
        <v>0</v>
      </c>
      <c r="I61" s="233">
        <v>266</v>
      </c>
      <c r="J61" s="233">
        <v>0</v>
      </c>
      <c r="K61" s="233">
        <v>0</v>
      </c>
      <c r="L61" s="233">
        <v>0</v>
      </c>
      <c r="M61" s="233">
        <v>0</v>
      </c>
      <c r="N61" s="233">
        <v>0</v>
      </c>
      <c r="O61" s="233">
        <v>0</v>
      </c>
      <c r="P61" s="233">
        <v>0</v>
      </c>
      <c r="Q61" s="233">
        <v>-10000</v>
      </c>
      <c r="R61" s="233">
        <v>-10444</v>
      </c>
      <c r="S61" s="233">
        <v>-10000</v>
      </c>
      <c r="T61" s="233">
        <v>0</v>
      </c>
    </row>
    <row r="62" spans="3:20" x14ac:dyDescent="0.25">
      <c r="C62" s="232" t="s">
        <v>970</v>
      </c>
      <c r="D62" s="232" t="s">
        <v>971</v>
      </c>
      <c r="E62" s="233">
        <v>-127358</v>
      </c>
      <c r="F62" s="233">
        <v>-127358</v>
      </c>
      <c r="G62" s="233">
        <v>-127358</v>
      </c>
      <c r="H62" s="233">
        <v>0</v>
      </c>
      <c r="I62" s="233">
        <v>-42284</v>
      </c>
      <c r="J62" s="233">
        <v>-42284</v>
      </c>
      <c r="K62" s="233">
        <v>-42280</v>
      </c>
      <c r="L62" s="233">
        <v>0</v>
      </c>
      <c r="M62" s="233">
        <v>-33085</v>
      </c>
      <c r="N62" s="233">
        <v>-33085</v>
      </c>
      <c r="O62" s="233">
        <v>0</v>
      </c>
      <c r="P62" s="233">
        <v>0</v>
      </c>
      <c r="Q62" s="233">
        <v>-28637</v>
      </c>
      <c r="R62" s="233">
        <v>-28637</v>
      </c>
      <c r="S62" s="233">
        <v>-28637</v>
      </c>
      <c r="T62" s="233">
        <v>0</v>
      </c>
    </row>
    <row r="63" spans="3:20" x14ac:dyDescent="0.25">
      <c r="C63" s="232" t="s">
        <v>997</v>
      </c>
      <c r="D63" s="232" t="s">
        <v>1000</v>
      </c>
      <c r="E63" s="233">
        <v>-125972</v>
      </c>
      <c r="F63" s="233">
        <v>-125972</v>
      </c>
      <c r="G63" s="233">
        <v>-99444</v>
      </c>
      <c r="H63" s="233">
        <v>-99444</v>
      </c>
      <c r="I63" s="233">
        <v>-27086</v>
      </c>
      <c r="J63" s="233">
        <v>0</v>
      </c>
      <c r="K63" s="233">
        <v>0</v>
      </c>
      <c r="L63" s="233">
        <v>0</v>
      </c>
      <c r="M63" s="233">
        <v>0</v>
      </c>
      <c r="N63" s="233">
        <v>0</v>
      </c>
      <c r="O63" s="233">
        <v>0</v>
      </c>
      <c r="P63" s="233">
        <v>0</v>
      </c>
      <c r="Q63" s="233">
        <v>0</v>
      </c>
      <c r="R63" s="233">
        <v>0</v>
      </c>
      <c r="S63" s="233">
        <v>0</v>
      </c>
      <c r="T63" s="233">
        <v>0</v>
      </c>
    </row>
    <row r="64" spans="3:20" x14ac:dyDescent="0.25">
      <c r="C64" s="239" t="s">
        <v>972</v>
      </c>
      <c r="D64" s="239" t="s">
        <v>973</v>
      </c>
      <c r="E64" s="235">
        <v>-562762</v>
      </c>
      <c r="F64" s="235">
        <v>-456937</v>
      </c>
      <c r="G64" s="235">
        <v>-753591</v>
      </c>
      <c r="H64" s="235">
        <v>-247077</v>
      </c>
      <c r="I64" s="235">
        <v>-689028</v>
      </c>
      <c r="J64" s="235">
        <v>-547527.56000000006</v>
      </c>
      <c r="K64" s="235">
        <v>-341442</v>
      </c>
      <c r="L64" s="235">
        <v>-412167</v>
      </c>
      <c r="M64" s="235">
        <v>91820</v>
      </c>
      <c r="N64" s="235">
        <v>250352</v>
      </c>
      <c r="O64" s="235">
        <v>68164</v>
      </c>
      <c r="P64" s="235">
        <v>228052</v>
      </c>
      <c r="Q64" s="235">
        <v>-2660</v>
      </c>
      <c r="R64" s="235">
        <v>75674</v>
      </c>
      <c r="S64" s="235">
        <v>127521</v>
      </c>
      <c r="T64" s="235">
        <v>-44174</v>
      </c>
    </row>
    <row r="65" spans="3:20" s="232" customFormat="1" ht="11.25" x14ac:dyDescent="0.2"/>
    <row r="66" spans="3:20" x14ac:dyDescent="0.25">
      <c r="C66" s="232"/>
      <c r="D66" s="232"/>
      <c r="E66" s="232"/>
      <c r="F66" s="232"/>
      <c r="G66" s="232"/>
      <c r="H66" s="232"/>
      <c r="I66" s="232"/>
      <c r="J66" s="232"/>
      <c r="K66" s="233"/>
      <c r="L66" s="233"/>
      <c r="M66" s="233"/>
      <c r="N66" s="233"/>
      <c r="O66" s="233"/>
      <c r="P66" s="233"/>
      <c r="Q66" s="233"/>
      <c r="R66" s="233"/>
      <c r="S66" s="233"/>
      <c r="T66" s="233"/>
    </row>
    <row r="67" spans="3:20" x14ac:dyDescent="0.25">
      <c r="C67" s="239" t="s">
        <v>974</v>
      </c>
      <c r="D67" s="239" t="s">
        <v>975</v>
      </c>
      <c r="E67" s="235">
        <v>-316744</v>
      </c>
      <c r="F67" s="235">
        <v>-289368.01999999996</v>
      </c>
      <c r="G67" s="235">
        <v>-567681</v>
      </c>
      <c r="H67" s="235">
        <v>-193504</v>
      </c>
      <c r="I67" s="235">
        <v>120799.11835999996</v>
      </c>
      <c r="J67" s="235">
        <v>-110574.06000000006</v>
      </c>
      <c r="K67" s="235">
        <v>-172802.76636999997</v>
      </c>
      <c r="L67" s="235">
        <v>-431303</v>
      </c>
      <c r="M67" s="235">
        <v>457603.10999999987</v>
      </c>
      <c r="N67" s="235">
        <v>-255428.429</v>
      </c>
      <c r="O67" s="235">
        <v>-245078</v>
      </c>
      <c r="P67" s="235">
        <v>-79371.609549999994</v>
      </c>
      <c r="Q67" s="235">
        <v>-131036</v>
      </c>
      <c r="R67" s="235">
        <v>-292757.59999999998</v>
      </c>
      <c r="S67" s="235">
        <v>-142180</v>
      </c>
      <c r="T67" s="235">
        <v>-188187.78220999995</v>
      </c>
    </row>
    <row r="68" spans="3:20" x14ac:dyDescent="0.25">
      <c r="C68" s="224"/>
      <c r="D68" s="224"/>
      <c r="E68" s="224"/>
      <c r="F68" s="224"/>
      <c r="G68" s="224"/>
      <c r="H68" s="224"/>
      <c r="I68" s="224"/>
      <c r="J68" s="224"/>
      <c r="K68" s="224"/>
      <c r="L68" s="224"/>
      <c r="M68" s="224"/>
      <c r="N68" s="224"/>
      <c r="O68" s="224"/>
      <c r="P68" s="242"/>
      <c r="Q68" s="224"/>
      <c r="R68" s="224"/>
      <c r="S68" s="224"/>
      <c r="T68" s="224"/>
    </row>
    <row r="69" spans="3:20" x14ac:dyDescent="0.25">
      <c r="C69" s="237"/>
      <c r="D69" s="237"/>
      <c r="E69" s="237"/>
      <c r="F69" s="237"/>
      <c r="G69" s="237"/>
      <c r="H69" s="237"/>
      <c r="I69" s="237"/>
      <c r="J69" s="237"/>
      <c r="K69" s="236"/>
      <c r="L69" s="236"/>
      <c r="M69" s="236"/>
      <c r="N69" s="236"/>
      <c r="O69" s="236"/>
      <c r="P69" s="236"/>
      <c r="Q69" s="236"/>
      <c r="R69" s="236"/>
      <c r="S69" s="236"/>
      <c r="T69" s="236"/>
    </row>
    <row r="70" spans="3:20" x14ac:dyDescent="0.25">
      <c r="C70" s="237" t="s">
        <v>976</v>
      </c>
      <c r="D70" s="237" t="s">
        <v>977</v>
      </c>
      <c r="E70" s="236">
        <v>996713</v>
      </c>
      <c r="F70" s="236">
        <v>996713</v>
      </c>
      <c r="G70" s="236">
        <v>996713</v>
      </c>
      <c r="H70" s="236">
        <v>996713</v>
      </c>
      <c r="I70" s="236">
        <v>875914</v>
      </c>
      <c r="J70" s="236">
        <v>875914</v>
      </c>
      <c r="K70" s="236">
        <v>875914</v>
      </c>
      <c r="L70" s="236">
        <v>875914</v>
      </c>
      <c r="M70" s="236">
        <v>418311</v>
      </c>
      <c r="N70" s="236">
        <v>418311</v>
      </c>
      <c r="O70" s="236">
        <v>418311</v>
      </c>
      <c r="P70" s="236">
        <v>418311</v>
      </c>
      <c r="Q70" s="236">
        <v>549347</v>
      </c>
      <c r="R70" s="236">
        <v>549347</v>
      </c>
      <c r="S70" s="236">
        <v>549347</v>
      </c>
      <c r="T70" s="236">
        <v>549347</v>
      </c>
    </row>
    <row r="71" spans="3:20" x14ac:dyDescent="0.25">
      <c r="C71" s="237" t="s">
        <v>978</v>
      </c>
      <c r="D71" s="237" t="s">
        <v>979</v>
      </c>
      <c r="E71" s="236">
        <v>679969</v>
      </c>
      <c r="F71" s="236">
        <v>707344.98</v>
      </c>
      <c r="G71" s="236">
        <v>429032</v>
      </c>
      <c r="H71" s="236">
        <v>803209</v>
      </c>
      <c r="I71" s="236">
        <v>996713.11835999996</v>
      </c>
      <c r="J71" s="236">
        <v>765339.94</v>
      </c>
      <c r="K71" s="236">
        <v>703111.23363000003</v>
      </c>
      <c r="L71" s="236">
        <v>444611</v>
      </c>
      <c r="M71" s="236">
        <v>875914.10999999987</v>
      </c>
      <c r="N71" s="236">
        <v>162882.571</v>
      </c>
      <c r="O71" s="236">
        <v>173233</v>
      </c>
      <c r="P71" s="236">
        <v>338939.39045000001</v>
      </c>
      <c r="Q71" s="236">
        <v>418311</v>
      </c>
      <c r="R71" s="236">
        <v>256589.40000000002</v>
      </c>
      <c r="S71" s="236">
        <v>407167</v>
      </c>
      <c r="T71" s="236">
        <v>361159.21779000002</v>
      </c>
    </row>
    <row r="73" spans="3:20" x14ac:dyDescent="0.25">
      <c r="K73" s="243"/>
      <c r="L73" s="243"/>
      <c r="M73" s="243"/>
      <c r="N73" s="243"/>
      <c r="O73" s="243"/>
      <c r="P73" s="243"/>
      <c r="Q73" s="243"/>
      <c r="R73" s="243"/>
      <c r="S73" s="243"/>
      <c r="T73" s="243"/>
    </row>
    <row r="74" spans="3:20" x14ac:dyDescent="0.25">
      <c r="K74" s="243"/>
      <c r="L74" s="243"/>
      <c r="M74" s="243"/>
      <c r="N74" s="243"/>
      <c r="O74" s="243"/>
      <c r="P74" s="243"/>
      <c r="Q74" s="243"/>
      <c r="R74" s="243"/>
      <c r="S74" s="243"/>
      <c r="T74" s="243"/>
    </row>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sheetData>
  <pageMargins left="0.511811024" right="0.511811024" top="0.78740157499999996" bottom="0.78740157499999996"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4"/>
  <sheetViews>
    <sheetView showGridLines="0" zoomScale="80" zoomScaleNormal="80" workbookViewId="0">
      <pane ySplit="2" topLeftCell="A3" activePane="bottomLeft" state="frozen"/>
      <selection pane="bottomLeft"/>
    </sheetView>
  </sheetViews>
  <sheetFormatPr defaultRowHeight="15" x14ac:dyDescent="0.25"/>
  <cols>
    <col min="1" max="2" width="3.625" style="223" customWidth="1"/>
    <col min="3" max="3" width="43.875" style="223" bestFit="1" customWidth="1"/>
    <col min="4" max="4" width="36.625" customWidth="1"/>
    <col min="5" max="20" width="13.5" style="223" customWidth="1"/>
  </cols>
  <sheetData>
    <row r="1" spans="3:28" ht="38.450000000000003" customHeight="1" x14ac:dyDescent="0.25">
      <c r="E1" s="249"/>
      <c r="F1" s="249"/>
      <c r="G1" s="249"/>
      <c r="H1" s="249"/>
      <c r="I1" s="249"/>
      <c r="J1" s="249"/>
      <c r="K1" s="249"/>
      <c r="L1" s="249"/>
      <c r="M1" s="249"/>
      <c r="N1" s="249"/>
      <c r="O1" s="249"/>
      <c r="P1" s="249"/>
      <c r="Q1" s="280"/>
      <c r="R1" s="249"/>
      <c r="S1" s="249"/>
      <c r="T1" s="249"/>
    </row>
    <row r="2" spans="3:28" s="223" customFormat="1" ht="33.75" customHeight="1" x14ac:dyDescent="0.25">
      <c r="C2" s="227" t="s">
        <v>1038</v>
      </c>
      <c r="D2" s="227" t="s">
        <v>1039</v>
      </c>
      <c r="E2" s="89" t="s">
        <v>1092</v>
      </c>
      <c r="F2" s="89" t="s">
        <v>1010</v>
      </c>
      <c r="G2" s="89" t="s">
        <v>1007</v>
      </c>
      <c r="H2" s="89" t="s">
        <v>1004</v>
      </c>
      <c r="I2" s="89" t="s">
        <v>986</v>
      </c>
      <c r="J2" s="89" t="s">
        <v>894</v>
      </c>
      <c r="K2" s="89" t="s">
        <v>893</v>
      </c>
      <c r="L2" s="89" t="s">
        <v>876</v>
      </c>
      <c r="M2" s="89" t="s">
        <v>846</v>
      </c>
      <c r="N2" s="89" t="s">
        <v>838</v>
      </c>
      <c r="O2" s="89" t="s">
        <v>823</v>
      </c>
      <c r="P2" s="89" t="s">
        <v>762</v>
      </c>
      <c r="Q2" s="279"/>
      <c r="R2" s="89">
        <v>2023</v>
      </c>
      <c r="S2" s="89">
        <v>2024</v>
      </c>
      <c r="T2" s="89">
        <v>2025</v>
      </c>
      <c r="U2" s="224"/>
      <c r="V2" s="224"/>
      <c r="W2" s="224"/>
      <c r="X2" s="224"/>
      <c r="Y2" s="224"/>
      <c r="Z2" s="224"/>
      <c r="AA2" s="224"/>
      <c r="AB2" s="224"/>
    </row>
    <row r="3" spans="3:28" x14ac:dyDescent="0.25">
      <c r="C3" s="276" t="s">
        <v>1021</v>
      </c>
      <c r="D3" s="276" t="s">
        <v>1057</v>
      </c>
      <c r="E3" s="233">
        <v>224595.78063000058</v>
      </c>
      <c r="F3" s="233">
        <v>169000.74753999995</v>
      </c>
      <c r="G3" s="233">
        <v>167392.49495000017</v>
      </c>
      <c r="H3" s="233">
        <v>144474.52605999989</v>
      </c>
      <c r="I3" s="233">
        <v>236091.98941000018</v>
      </c>
      <c r="J3" s="233">
        <v>201112.80259000004</v>
      </c>
      <c r="K3" s="233">
        <v>175959.9305999997</v>
      </c>
      <c r="L3" s="233">
        <v>159193.66038000002</v>
      </c>
      <c r="M3" s="233">
        <v>211134.2646300006</v>
      </c>
      <c r="N3" s="233">
        <v>169436.08126999962</v>
      </c>
      <c r="O3" s="233">
        <v>92361.541990000202</v>
      </c>
      <c r="P3" s="233">
        <v>133718.14770999999</v>
      </c>
      <c r="Q3" s="277"/>
      <c r="R3" s="233">
        <v>606650.03560000029</v>
      </c>
      <c r="S3" s="233">
        <v>772358.38297999999</v>
      </c>
      <c r="T3" s="233">
        <v>705463.54918000055</v>
      </c>
    </row>
    <row r="4" spans="3:28" x14ac:dyDescent="0.25">
      <c r="C4" s="276" t="s">
        <v>1022</v>
      </c>
      <c r="D4" s="276" t="s">
        <v>1058</v>
      </c>
      <c r="E4" s="233">
        <v>-32757.255280000682</v>
      </c>
      <c r="F4" s="233">
        <v>-130808.66891999991</v>
      </c>
      <c r="G4" s="233">
        <v>4981.4958199998364</v>
      </c>
      <c r="H4" s="233">
        <v>-159706.87088999987</v>
      </c>
      <c r="I4" s="233">
        <v>221638.3122699997</v>
      </c>
      <c r="J4" s="233">
        <v>66464.23206999994</v>
      </c>
      <c r="K4" s="233">
        <v>46476.337340000202</v>
      </c>
      <c r="L4" s="233">
        <v>-196461.43021999998</v>
      </c>
      <c r="M4" s="233">
        <v>743246.58114299737</v>
      </c>
      <c r="N4" s="233">
        <v>216980.91100000031</v>
      </c>
      <c r="O4" s="233">
        <v>-168648.35724133626</v>
      </c>
      <c r="P4" s="233">
        <v>-909560.13636999996</v>
      </c>
      <c r="Q4" s="277"/>
      <c r="R4" s="233">
        <v>-117981.00146833854</v>
      </c>
      <c r="S4" s="233">
        <v>138117.45145999989</v>
      </c>
      <c r="T4" s="233">
        <v>-318291.29927000066</v>
      </c>
    </row>
    <row r="5" spans="3:28" x14ac:dyDescent="0.25">
      <c r="C5" s="275" t="s">
        <v>18</v>
      </c>
      <c r="D5" s="275" t="s">
        <v>1059</v>
      </c>
      <c r="E5" s="233">
        <v>-333358</v>
      </c>
      <c r="F5" s="233">
        <v>-52943</v>
      </c>
      <c r="G5" s="233">
        <v>-149560</v>
      </c>
      <c r="H5" s="233">
        <v>326951</v>
      </c>
      <c r="I5" s="233">
        <v>-276264</v>
      </c>
      <c r="J5" s="233">
        <v>3427</v>
      </c>
      <c r="K5" s="233">
        <v>-5395</v>
      </c>
      <c r="L5" s="233">
        <v>270173</v>
      </c>
      <c r="M5" s="233">
        <v>-42247</v>
      </c>
      <c r="N5" s="233">
        <v>-298939</v>
      </c>
      <c r="O5" s="233">
        <v>64957</v>
      </c>
      <c r="P5" s="233">
        <v>389818</v>
      </c>
      <c r="Q5" s="277"/>
      <c r="R5" s="233">
        <v>113589</v>
      </c>
      <c r="S5" s="233">
        <v>-8059</v>
      </c>
      <c r="T5" s="233">
        <v>-208910</v>
      </c>
    </row>
    <row r="6" spans="3:28" x14ac:dyDescent="0.25">
      <c r="C6" s="275" t="s">
        <v>20</v>
      </c>
      <c r="D6" s="275" t="s">
        <v>1060</v>
      </c>
      <c r="E6" s="233">
        <v>36515</v>
      </c>
      <c r="F6" s="233">
        <v>-173422</v>
      </c>
      <c r="G6" s="233">
        <v>-109194</v>
      </c>
      <c r="H6" s="233">
        <v>-118950</v>
      </c>
      <c r="I6" s="233">
        <v>222767</v>
      </c>
      <c r="J6" s="233">
        <v>-73444</v>
      </c>
      <c r="K6" s="233">
        <v>-15788</v>
      </c>
      <c r="L6" s="233">
        <v>-100132</v>
      </c>
      <c r="M6" s="233">
        <v>260573</v>
      </c>
      <c r="N6" s="233">
        <v>120947</v>
      </c>
      <c r="O6" s="233">
        <v>-72466</v>
      </c>
      <c r="P6" s="233">
        <v>-197947</v>
      </c>
      <c r="Q6" s="277"/>
      <c r="R6" s="233">
        <v>111107</v>
      </c>
      <c r="S6" s="233">
        <v>33403</v>
      </c>
      <c r="T6" s="233">
        <v>-365051</v>
      </c>
    </row>
    <row r="7" spans="3:28" x14ac:dyDescent="0.25">
      <c r="C7" s="275" t="s">
        <v>1023</v>
      </c>
      <c r="D7" s="275" t="s">
        <v>1061</v>
      </c>
      <c r="E7" s="233">
        <v>148915.02000000002</v>
      </c>
      <c r="F7" s="233">
        <v>155217.97999999998</v>
      </c>
      <c r="G7" s="233">
        <v>276268</v>
      </c>
      <c r="H7" s="233">
        <v>-112344</v>
      </c>
      <c r="I7" s="233">
        <v>57339.213900000002</v>
      </c>
      <c r="J7" s="233">
        <v>47965.786099999998</v>
      </c>
      <c r="K7" s="233">
        <v>23490</v>
      </c>
      <c r="L7" s="233">
        <v>-292793</v>
      </c>
      <c r="M7" s="233">
        <v>352880</v>
      </c>
      <c r="N7" s="233">
        <v>-254708</v>
      </c>
      <c r="O7" s="233">
        <v>65952</v>
      </c>
      <c r="P7" s="233">
        <v>-604279</v>
      </c>
      <c r="Q7" s="277"/>
      <c r="R7" s="233">
        <v>-440155</v>
      </c>
      <c r="S7" s="233">
        <v>-163998</v>
      </c>
      <c r="T7" s="233">
        <v>468057</v>
      </c>
    </row>
    <row r="8" spans="3:28" x14ac:dyDescent="0.25">
      <c r="C8" s="275" t="s">
        <v>1024</v>
      </c>
      <c r="D8" s="275" t="s">
        <v>1062</v>
      </c>
      <c r="E8" s="233">
        <v>266511</v>
      </c>
      <c r="F8" s="233">
        <v>31241</v>
      </c>
      <c r="G8" s="233">
        <v>59982</v>
      </c>
      <c r="H8" s="233">
        <v>-181488</v>
      </c>
      <c r="I8" s="233">
        <v>101109</v>
      </c>
      <c r="J8" s="233">
        <v>66129</v>
      </c>
      <c r="K8" s="233">
        <v>149562</v>
      </c>
      <c r="L8" s="233">
        <v>-48137</v>
      </c>
      <c r="M8" s="233">
        <v>-68051</v>
      </c>
      <c r="N8" s="233">
        <v>2811</v>
      </c>
      <c r="O8" s="233">
        <v>-104173</v>
      </c>
      <c r="P8" s="233">
        <v>-44746</v>
      </c>
      <c r="Q8" s="277"/>
      <c r="R8" s="233">
        <v>-214159</v>
      </c>
      <c r="S8" s="233">
        <v>268663</v>
      </c>
      <c r="T8" s="233">
        <v>176246</v>
      </c>
    </row>
    <row r="9" spans="3:28" x14ac:dyDescent="0.25">
      <c r="C9" s="275" t="s">
        <v>1025</v>
      </c>
      <c r="D9" s="275" t="s">
        <v>1063</v>
      </c>
      <c r="E9" s="233">
        <v>-151340.2752800007</v>
      </c>
      <c r="F9" s="233">
        <v>-90902.64891999989</v>
      </c>
      <c r="G9" s="233">
        <v>-72514.504180000164</v>
      </c>
      <c r="H9" s="233">
        <v>-73875.870889999875</v>
      </c>
      <c r="I9" s="233">
        <v>116687.0983699997</v>
      </c>
      <c r="J9" s="233">
        <v>22386.445969999942</v>
      </c>
      <c r="K9" s="233">
        <v>-105392.6626599998</v>
      </c>
      <c r="L9" s="233">
        <v>-25572.43021999998</v>
      </c>
      <c r="M9" s="233">
        <v>240091.58114299737</v>
      </c>
      <c r="N9" s="233">
        <v>646869.91100000031</v>
      </c>
      <c r="O9" s="233">
        <v>-122918.35724133626</v>
      </c>
      <c r="P9" s="233">
        <v>-452406.13636999996</v>
      </c>
      <c r="Q9" s="277"/>
      <c r="R9" s="233">
        <v>311636.99853166146</v>
      </c>
      <c r="S9" s="233">
        <v>8108.4514599998656</v>
      </c>
      <c r="T9" s="233">
        <v>-388633.29927000066</v>
      </c>
    </row>
    <row r="10" spans="3:28" x14ac:dyDescent="0.25">
      <c r="C10" s="292" t="s">
        <v>1026</v>
      </c>
      <c r="D10" s="292" t="s">
        <v>1064</v>
      </c>
      <c r="E10" s="291">
        <v>191838.52534999989</v>
      </c>
      <c r="F10" s="291">
        <v>38192.078620000044</v>
      </c>
      <c r="G10" s="291">
        <v>172373.99077</v>
      </c>
      <c r="H10" s="291">
        <v>-15232.344829999987</v>
      </c>
      <c r="I10" s="291">
        <v>457730.30167999992</v>
      </c>
      <c r="J10" s="291">
        <v>267577.03466</v>
      </c>
      <c r="K10" s="291">
        <v>222436.2679399999</v>
      </c>
      <c r="L10" s="291">
        <v>-37267.769839999964</v>
      </c>
      <c r="M10" s="291">
        <v>954380.84577299794</v>
      </c>
      <c r="N10" s="291">
        <v>386416.99226999993</v>
      </c>
      <c r="O10" s="291">
        <v>-76286.815251336055</v>
      </c>
      <c r="P10" s="291">
        <v>-775841.98866000003</v>
      </c>
      <c r="Q10" s="281"/>
      <c r="R10" s="229">
        <v>488669.03413166176</v>
      </c>
      <c r="S10" s="229">
        <v>910475.83443999989</v>
      </c>
      <c r="T10" s="229">
        <v>387172.24991000001</v>
      </c>
    </row>
    <row r="11" spans="3:28" x14ac:dyDescent="0.25">
      <c r="C11" s="232"/>
      <c r="D11" s="232"/>
      <c r="E11" s="233"/>
      <c r="F11" s="233"/>
      <c r="G11" s="233"/>
      <c r="H11" s="233"/>
      <c r="I11" s="233"/>
      <c r="J11" s="233"/>
      <c r="K11" s="233"/>
      <c r="L11" s="233"/>
      <c r="M11" s="233"/>
      <c r="N11" s="233"/>
      <c r="O11" s="233"/>
      <c r="P11" s="233"/>
      <c r="Q11" s="277"/>
      <c r="R11" s="233"/>
      <c r="S11" s="233"/>
      <c r="T11" s="233"/>
    </row>
    <row r="12" spans="3:28" x14ac:dyDescent="0.25">
      <c r="C12" s="232" t="s">
        <v>1027</v>
      </c>
      <c r="D12" s="232" t="s">
        <v>1027</v>
      </c>
      <c r="E12" s="233">
        <v>25000</v>
      </c>
      <c r="F12" s="233">
        <v>0</v>
      </c>
      <c r="G12" s="233">
        <v>-6000</v>
      </c>
      <c r="H12" s="233">
        <v>0</v>
      </c>
      <c r="I12" s="233">
        <v>0</v>
      </c>
      <c r="J12" s="233">
        <v>0</v>
      </c>
      <c r="K12" s="233">
        <v>-6999.9870799999999</v>
      </c>
      <c r="L12" s="233">
        <v>-6225.0129200000001</v>
      </c>
      <c r="M12" s="233">
        <v>0</v>
      </c>
      <c r="N12" s="233">
        <v>0</v>
      </c>
      <c r="O12" s="233">
        <v>0</v>
      </c>
      <c r="P12" s="233">
        <v>0</v>
      </c>
      <c r="Q12" s="277"/>
      <c r="R12" s="233">
        <v>0</v>
      </c>
      <c r="S12" s="233">
        <v>-13225</v>
      </c>
      <c r="T12" s="233">
        <v>19000</v>
      </c>
    </row>
    <row r="13" spans="3:28" x14ac:dyDescent="0.25">
      <c r="C13" s="232" t="s">
        <v>1028</v>
      </c>
      <c r="D13" s="232" t="s">
        <v>848</v>
      </c>
      <c r="E13" s="233">
        <v>-189699.54157999999</v>
      </c>
      <c r="F13" s="233">
        <v>-144575</v>
      </c>
      <c r="G13" s="233">
        <v>-50598.285429999989</v>
      </c>
      <c r="H13" s="233">
        <v>-38661.076660000006</v>
      </c>
      <c r="I13" s="233">
        <v>-114339.35908999993</v>
      </c>
      <c r="J13" s="233">
        <v>-56455.313090000011</v>
      </c>
      <c r="K13" s="233">
        <v>-56594</v>
      </c>
      <c r="L13" s="233">
        <v>-33721</v>
      </c>
      <c r="M13" s="233">
        <v>-48798</v>
      </c>
      <c r="N13" s="233">
        <v>-59250</v>
      </c>
      <c r="O13" s="233">
        <v>-93884</v>
      </c>
      <c r="P13" s="233">
        <v>-55732</v>
      </c>
      <c r="Q13" s="277"/>
      <c r="R13" s="233">
        <v>-257664</v>
      </c>
      <c r="S13" s="233">
        <v>-261109.67217999994</v>
      </c>
      <c r="T13" s="233">
        <v>-423533.90366999997</v>
      </c>
    </row>
    <row r="14" spans="3:28" x14ac:dyDescent="0.25">
      <c r="C14" s="292" t="s">
        <v>1029</v>
      </c>
      <c r="D14" s="292" t="s">
        <v>1065</v>
      </c>
      <c r="E14" s="291">
        <v>-164699.54157999999</v>
      </c>
      <c r="F14" s="291">
        <v>-144575</v>
      </c>
      <c r="G14" s="291">
        <v>-56598.285429999989</v>
      </c>
      <c r="H14" s="291">
        <v>-38661.076660000006</v>
      </c>
      <c r="I14" s="291">
        <v>-114339.35908999993</v>
      </c>
      <c r="J14" s="291">
        <v>-56455.313090000011</v>
      </c>
      <c r="K14" s="291">
        <v>-63593.987079999999</v>
      </c>
      <c r="L14" s="291">
        <v>-39946.012920000001</v>
      </c>
      <c r="M14" s="291">
        <v>-48798</v>
      </c>
      <c r="N14" s="291">
        <v>-59250</v>
      </c>
      <c r="O14" s="291">
        <v>-93884</v>
      </c>
      <c r="P14" s="291">
        <v>-55732</v>
      </c>
      <c r="Q14" s="281"/>
      <c r="R14" s="229">
        <v>-257664</v>
      </c>
      <c r="S14" s="229">
        <v>-274334.67217999994</v>
      </c>
      <c r="T14" s="229">
        <v>-404533.90366999997</v>
      </c>
    </row>
    <row r="15" spans="3:28" x14ac:dyDescent="0.25">
      <c r="C15" s="232"/>
      <c r="D15" s="293"/>
      <c r="E15" s="278"/>
      <c r="F15" s="278"/>
      <c r="G15" s="278"/>
      <c r="H15" s="278"/>
      <c r="I15" s="278"/>
      <c r="J15" s="278"/>
      <c r="K15" s="278"/>
      <c r="L15" s="278"/>
      <c r="M15" s="278"/>
      <c r="N15" s="278"/>
      <c r="O15" s="278"/>
      <c r="P15" s="278"/>
      <c r="Q15" s="278"/>
      <c r="R15" s="278"/>
      <c r="S15" s="278"/>
      <c r="T15" s="278"/>
    </row>
    <row r="16" spans="3:28" x14ac:dyDescent="0.25">
      <c r="C16" s="292" t="s">
        <v>1030</v>
      </c>
      <c r="D16" s="292" t="s">
        <v>1066</v>
      </c>
      <c r="E16" s="291">
        <v>27138.983769999904</v>
      </c>
      <c r="F16" s="291">
        <v>-106382.92137999996</v>
      </c>
      <c r="G16" s="291">
        <v>115775.70534000001</v>
      </c>
      <c r="H16" s="291">
        <v>-53893.421489999993</v>
      </c>
      <c r="I16" s="291">
        <v>343390.94258999999</v>
      </c>
      <c r="J16" s="291">
        <v>211121.72156999999</v>
      </c>
      <c r="K16" s="291">
        <v>158842.28085999991</v>
      </c>
      <c r="L16" s="291">
        <v>-77213.782759999973</v>
      </c>
      <c r="M16" s="291">
        <v>905582.84577299794</v>
      </c>
      <c r="N16" s="291">
        <v>327166.99226999993</v>
      </c>
      <c r="O16" s="291">
        <v>-170170.81525133605</v>
      </c>
      <c r="P16" s="291">
        <v>-831573.98866000003</v>
      </c>
      <c r="Q16" s="281"/>
      <c r="R16" s="229">
        <v>231005.03413166176</v>
      </c>
      <c r="S16" s="229">
        <v>636141.1622599999</v>
      </c>
      <c r="T16" s="229">
        <v>-17361.65376000003</v>
      </c>
    </row>
    <row r="17" spans="1:28" x14ac:dyDescent="0.25">
      <c r="C17" s="237"/>
      <c r="D17" s="237"/>
      <c r="E17" s="236"/>
      <c r="F17" s="236"/>
      <c r="G17" s="236"/>
      <c r="H17" s="236"/>
      <c r="I17" s="236"/>
      <c r="J17" s="236"/>
      <c r="K17" s="236"/>
      <c r="L17" s="236"/>
      <c r="M17" s="236"/>
      <c r="N17" s="236"/>
      <c r="O17" s="236"/>
      <c r="P17" s="236"/>
      <c r="Q17" s="278"/>
      <c r="R17" s="236"/>
      <c r="S17" s="236"/>
      <c r="T17" s="236"/>
    </row>
    <row r="18" spans="1:28" x14ac:dyDescent="0.25">
      <c r="C18" s="232" t="s">
        <v>110</v>
      </c>
      <c r="D18" s="232" t="s">
        <v>1067</v>
      </c>
      <c r="E18" s="233">
        <v>-30754.983769999915</v>
      </c>
      <c r="F18" s="233">
        <v>-35424.078620000037</v>
      </c>
      <c r="G18" s="233">
        <v>-33814.597439999998</v>
      </c>
      <c r="H18" s="233">
        <v>-15664.578509999999</v>
      </c>
      <c r="I18" s="233">
        <v>-28151.916239999973</v>
      </c>
      <c r="J18" s="233">
        <v>-38003.72156999998</v>
      </c>
      <c r="K18" s="233">
        <v>-30082.280859999941</v>
      </c>
      <c r="L18" s="233">
        <v>-44602.217240000027</v>
      </c>
      <c r="M18" s="233">
        <v>-44391.268572997833</v>
      </c>
      <c r="N18" s="233">
        <v>-56788.21414999992</v>
      </c>
      <c r="O18" s="233">
        <v>-49689.793148664117</v>
      </c>
      <c r="P18" s="233">
        <v>-53748.758260000002</v>
      </c>
      <c r="Q18" s="277"/>
      <c r="R18" s="233">
        <v>-204618.03413166187</v>
      </c>
      <c r="S18" s="233">
        <v>-140840.13590999992</v>
      </c>
      <c r="T18" s="233">
        <v>-115658.23833999995</v>
      </c>
    </row>
    <row r="19" spans="1:28" x14ac:dyDescent="0.25">
      <c r="C19" s="232" t="s">
        <v>1031</v>
      </c>
      <c r="D19" s="232" t="s">
        <v>1068</v>
      </c>
      <c r="E19" s="233">
        <v>0</v>
      </c>
      <c r="F19" s="233">
        <v>0</v>
      </c>
      <c r="G19" s="233">
        <v>0</v>
      </c>
      <c r="H19" s="233">
        <v>0</v>
      </c>
      <c r="I19" s="233">
        <v>0</v>
      </c>
      <c r="J19" s="233">
        <v>0</v>
      </c>
      <c r="K19" s="233">
        <v>0</v>
      </c>
      <c r="L19" s="233">
        <v>0</v>
      </c>
      <c r="M19" s="233">
        <v>-24839.788599999971</v>
      </c>
      <c r="N19" s="233">
        <v>-283167.38906000007</v>
      </c>
      <c r="O19" s="233">
        <v>84391.804200000042</v>
      </c>
      <c r="P19" s="233">
        <v>223615.37346</v>
      </c>
      <c r="Q19" s="277"/>
      <c r="R19" s="233">
        <v>0</v>
      </c>
      <c r="S19" s="233">
        <v>0</v>
      </c>
      <c r="T19" s="233">
        <v>0</v>
      </c>
    </row>
    <row r="20" spans="1:28" x14ac:dyDescent="0.25">
      <c r="C20" s="232" t="s">
        <v>1032</v>
      </c>
      <c r="D20" s="232" t="s">
        <v>1068</v>
      </c>
      <c r="E20" s="233">
        <v>0</v>
      </c>
      <c r="F20" s="233">
        <v>0</v>
      </c>
      <c r="G20" s="233">
        <v>-127358</v>
      </c>
      <c r="H20" s="233">
        <v>0</v>
      </c>
      <c r="I20" s="233">
        <v>0</v>
      </c>
      <c r="J20" s="233">
        <v>-4</v>
      </c>
      <c r="K20" s="233">
        <v>-42280</v>
      </c>
      <c r="L20" s="233">
        <v>0</v>
      </c>
      <c r="M20" s="233">
        <v>15</v>
      </c>
      <c r="N20" s="233">
        <v>-33085</v>
      </c>
      <c r="O20" s="233">
        <v>0</v>
      </c>
      <c r="P20" s="233">
        <v>0</v>
      </c>
      <c r="Q20" s="277"/>
      <c r="R20" s="233">
        <v>-33070</v>
      </c>
      <c r="S20" s="233">
        <v>-42284</v>
      </c>
      <c r="T20" s="233">
        <v>-127358</v>
      </c>
    </row>
    <row r="21" spans="1:28" x14ac:dyDescent="0.25">
      <c r="C21" s="232" t="s">
        <v>1033</v>
      </c>
      <c r="D21" s="232" t="s">
        <v>1069</v>
      </c>
      <c r="E21" s="233">
        <v>0</v>
      </c>
      <c r="F21" s="233">
        <v>98</v>
      </c>
      <c r="G21" s="233">
        <v>4124</v>
      </c>
      <c r="H21" s="233">
        <v>0</v>
      </c>
      <c r="I21" s="233">
        <v>0</v>
      </c>
      <c r="J21" s="233">
        <v>-173</v>
      </c>
      <c r="K21" s="233">
        <v>173</v>
      </c>
      <c r="L21" s="233">
        <v>0</v>
      </c>
      <c r="M21" s="233">
        <v>0</v>
      </c>
      <c r="N21" s="233">
        <v>348</v>
      </c>
      <c r="O21" s="233">
        <v>0</v>
      </c>
      <c r="P21" s="233">
        <v>0</v>
      </c>
      <c r="Q21" s="277"/>
      <c r="R21" s="233">
        <v>348</v>
      </c>
      <c r="S21" s="233">
        <v>0</v>
      </c>
      <c r="T21" s="233">
        <v>4222</v>
      </c>
    </row>
    <row r="22" spans="1:28" ht="14.25" x14ac:dyDescent="0.2">
      <c r="A22" s="238"/>
      <c r="B22" s="238"/>
      <c r="C22" s="232" t="s">
        <v>997</v>
      </c>
      <c r="D22" s="232" t="s">
        <v>1070</v>
      </c>
      <c r="E22" s="233">
        <v>0</v>
      </c>
      <c r="F22" s="233">
        <v>-26528</v>
      </c>
      <c r="G22" s="233">
        <v>0</v>
      </c>
      <c r="H22" s="233">
        <v>-99444</v>
      </c>
      <c r="I22" s="233">
        <v>-27086.02635</v>
      </c>
      <c r="J22" s="233">
        <v>0</v>
      </c>
      <c r="K22" s="233">
        <v>0</v>
      </c>
      <c r="L22" s="233">
        <v>0</v>
      </c>
      <c r="M22" s="233">
        <v>0</v>
      </c>
      <c r="N22" s="233">
        <v>0</v>
      </c>
      <c r="O22" s="233">
        <v>0</v>
      </c>
      <c r="P22" s="233">
        <v>0</v>
      </c>
      <c r="Q22" s="277"/>
      <c r="R22" s="233">
        <v>0</v>
      </c>
      <c r="S22" s="233">
        <v>-27086.02635</v>
      </c>
      <c r="T22" s="233">
        <v>-125972</v>
      </c>
    </row>
    <row r="23" spans="1:28" x14ac:dyDescent="0.25">
      <c r="C23" s="292" t="s">
        <v>1034</v>
      </c>
      <c r="D23" s="292" t="s">
        <v>1071</v>
      </c>
      <c r="E23" s="291">
        <v>-30754.983769999915</v>
      </c>
      <c r="F23" s="291">
        <v>-61854.078620000037</v>
      </c>
      <c r="G23" s="291">
        <v>-157048.59743999998</v>
      </c>
      <c r="H23" s="291">
        <v>-115108.57850999999</v>
      </c>
      <c r="I23" s="291">
        <v>-55237.942589999977</v>
      </c>
      <c r="J23" s="291">
        <v>-38180.72156999998</v>
      </c>
      <c r="K23" s="291">
        <v>-72189.280859999941</v>
      </c>
      <c r="L23" s="291">
        <v>-44602.217240000027</v>
      </c>
      <c r="M23" s="291">
        <v>-69216.057172997796</v>
      </c>
      <c r="N23" s="291">
        <v>-372692.60320999997</v>
      </c>
      <c r="O23" s="291">
        <v>34702.011051335925</v>
      </c>
      <c r="P23" s="291">
        <v>169866.6152</v>
      </c>
      <c r="Q23" s="281"/>
      <c r="R23" s="229">
        <v>-237340.03413166187</v>
      </c>
      <c r="S23" s="229">
        <v>-210210.16225999992</v>
      </c>
      <c r="T23" s="229">
        <v>-364766.23833999992</v>
      </c>
    </row>
    <row r="24" spans="1:28" x14ac:dyDescent="0.25">
      <c r="C24" s="232"/>
      <c r="D24" s="293"/>
      <c r="E24" s="233"/>
      <c r="F24" s="233"/>
      <c r="G24" s="233"/>
      <c r="H24" s="233"/>
      <c r="I24" s="233"/>
      <c r="J24" s="233"/>
      <c r="K24" s="233"/>
      <c r="L24" s="233"/>
      <c r="M24" s="233"/>
      <c r="N24" s="233"/>
      <c r="O24" s="233"/>
      <c r="P24" s="233"/>
      <c r="Q24" s="277"/>
      <c r="R24" s="233"/>
      <c r="S24" s="233"/>
      <c r="T24" s="233"/>
    </row>
    <row r="25" spans="1:28" x14ac:dyDescent="0.25">
      <c r="C25" s="292" t="s">
        <v>1035</v>
      </c>
      <c r="D25" s="292" t="s">
        <v>1072</v>
      </c>
      <c r="E25" s="291">
        <v>-3616</v>
      </c>
      <c r="F25" s="291">
        <v>-168237</v>
      </c>
      <c r="G25" s="291">
        <v>-41272.892099999968</v>
      </c>
      <c r="H25" s="291">
        <v>-169002</v>
      </c>
      <c r="I25" s="291">
        <v>288153</v>
      </c>
      <c r="J25" s="291">
        <v>172941</v>
      </c>
      <c r="K25" s="291">
        <v>86652.999999999971</v>
      </c>
      <c r="L25" s="291">
        <v>-121816</v>
      </c>
      <c r="M25" s="291">
        <v>836366.78860000009</v>
      </c>
      <c r="N25" s="291">
        <v>-45525.610940000042</v>
      </c>
      <c r="O25" s="291">
        <v>-135468.80420000013</v>
      </c>
      <c r="P25" s="291">
        <v>-661707.37346000003</v>
      </c>
      <c r="Q25" s="281"/>
      <c r="R25" s="229">
        <v>-6335.0000000001164</v>
      </c>
      <c r="S25" s="229">
        <v>425931</v>
      </c>
      <c r="T25" s="229">
        <v>-382127.89209999994</v>
      </c>
    </row>
    <row r="26" spans="1:28" x14ac:dyDescent="0.25">
      <c r="C26" s="232"/>
      <c r="D26" s="232"/>
      <c r="E26" s="233"/>
      <c r="F26" s="233"/>
      <c r="G26" s="233"/>
      <c r="H26" s="233"/>
      <c r="I26" s="233"/>
      <c r="J26" s="233"/>
      <c r="K26" s="233"/>
      <c r="L26" s="233"/>
      <c r="M26" s="233"/>
      <c r="N26" s="233"/>
      <c r="O26" s="233"/>
      <c r="P26" s="233"/>
      <c r="Q26" s="277"/>
      <c r="R26" s="233"/>
      <c r="S26" s="233"/>
      <c r="T26" s="233"/>
    </row>
    <row r="27" spans="1:28" x14ac:dyDescent="0.25">
      <c r="C27" s="232" t="s">
        <v>1036</v>
      </c>
      <c r="D27" s="232" t="s">
        <v>1073</v>
      </c>
      <c r="E27" s="233">
        <v>-23759.999999999989</v>
      </c>
      <c r="F27" s="233">
        <v>446550</v>
      </c>
      <c r="G27" s="233">
        <v>-332904.10790000006</v>
      </c>
      <c r="H27" s="233">
        <v>-24502</v>
      </c>
      <c r="I27" s="233">
        <v>-56780</v>
      </c>
      <c r="J27" s="233">
        <v>-110712</v>
      </c>
      <c r="K27" s="233">
        <v>171847.00000000003</v>
      </c>
      <c r="L27" s="233">
        <v>-309487</v>
      </c>
      <c r="M27" s="233">
        <v>-123335.78860000009</v>
      </c>
      <c r="N27" s="233">
        <v>35175.610940000042</v>
      </c>
      <c r="O27" s="233">
        <v>-30237.19579999987</v>
      </c>
      <c r="P27" s="233">
        <v>582335.37346000003</v>
      </c>
      <c r="Q27" s="277"/>
      <c r="R27" s="233">
        <v>463938.00000000012</v>
      </c>
      <c r="S27" s="233">
        <v>-305132</v>
      </c>
      <c r="T27" s="233">
        <v>65383.892099999939</v>
      </c>
    </row>
    <row r="28" spans="1:28" x14ac:dyDescent="0.25">
      <c r="C28" s="232"/>
      <c r="D28" s="232"/>
      <c r="E28" s="233"/>
      <c r="F28" s="233"/>
      <c r="G28" s="233"/>
      <c r="H28" s="233"/>
      <c r="I28" s="233"/>
      <c r="J28" s="233"/>
      <c r="K28" s="233"/>
      <c r="L28" s="233"/>
      <c r="M28" s="233"/>
      <c r="N28" s="233"/>
      <c r="O28" s="233"/>
      <c r="P28" s="233"/>
      <c r="Q28" s="277"/>
      <c r="R28" s="233"/>
      <c r="S28" s="233"/>
      <c r="T28" s="233"/>
    </row>
    <row r="29" spans="1:28" x14ac:dyDescent="0.25">
      <c r="C29" s="292" t="s">
        <v>1037</v>
      </c>
      <c r="D29" s="292" t="s">
        <v>1074</v>
      </c>
      <c r="E29" s="291">
        <v>-27375.999999999989</v>
      </c>
      <c r="F29" s="291">
        <v>278313</v>
      </c>
      <c r="G29" s="291">
        <v>-374177</v>
      </c>
      <c r="H29" s="291">
        <v>-193504</v>
      </c>
      <c r="I29" s="291">
        <v>231373</v>
      </c>
      <c r="J29" s="291">
        <v>62229</v>
      </c>
      <c r="K29" s="291">
        <v>258500</v>
      </c>
      <c r="L29" s="291">
        <v>-431303</v>
      </c>
      <c r="M29" s="291">
        <v>713031</v>
      </c>
      <c r="N29" s="291">
        <v>-10350</v>
      </c>
      <c r="O29" s="291">
        <v>-165706</v>
      </c>
      <c r="P29" s="291">
        <v>-79372</v>
      </c>
      <c r="Q29" s="281"/>
      <c r="R29" s="229">
        <v>457603</v>
      </c>
      <c r="S29" s="229">
        <v>120799</v>
      </c>
      <c r="T29" s="229">
        <v>-316744</v>
      </c>
    </row>
    <row r="30" spans="1:28" x14ac:dyDescent="0.25">
      <c r="C30" s="271"/>
      <c r="E30" s="233"/>
      <c r="F30" s="233"/>
      <c r="G30" s="233"/>
      <c r="H30" s="233"/>
      <c r="I30" s="233"/>
      <c r="J30" s="233"/>
      <c r="K30" s="233"/>
      <c r="L30" s="233"/>
      <c r="M30" s="233"/>
      <c r="N30" s="233"/>
      <c r="O30" s="233"/>
      <c r="P30" s="233"/>
      <c r="Q30" s="277"/>
      <c r="R30" s="233"/>
      <c r="S30" s="233"/>
      <c r="T30" s="233"/>
    </row>
    <row r="31" spans="1:28" x14ac:dyDescent="0.25">
      <c r="C31" s="271"/>
      <c r="E31" s="277"/>
      <c r="F31" s="277"/>
      <c r="G31" s="277"/>
      <c r="H31" s="277"/>
      <c r="I31" s="277"/>
      <c r="J31" s="277"/>
      <c r="K31" s="277"/>
      <c r="L31" s="277"/>
      <c r="M31" s="277"/>
      <c r="N31" s="277"/>
      <c r="O31" s="277"/>
      <c r="P31" s="277"/>
      <c r="Q31" s="277"/>
      <c r="R31" s="277"/>
      <c r="S31" s="277"/>
      <c r="T31" s="277"/>
    </row>
    <row r="32" spans="1:28" s="223" customFormat="1" ht="33.75" customHeight="1" x14ac:dyDescent="0.25">
      <c r="R32" s="279"/>
      <c r="S32" s="279"/>
      <c r="T32" s="279"/>
      <c r="U32" s="224"/>
      <c r="V32" s="224"/>
      <c r="W32" s="224"/>
      <c r="X32" s="224"/>
      <c r="Y32" s="224"/>
      <c r="Z32" s="224"/>
      <c r="AA32" s="224"/>
      <c r="AB32" s="224"/>
    </row>
    <row r="33" spans="3:20" x14ac:dyDescent="0.25">
      <c r="R33" s="278"/>
      <c r="S33" s="278"/>
      <c r="T33" s="278"/>
    </row>
    <row r="34" spans="3:20" x14ac:dyDescent="0.25">
      <c r="R34" s="272"/>
      <c r="S34" s="272"/>
      <c r="T34" s="272"/>
    </row>
    <row r="35" spans="3:20" x14ac:dyDescent="0.25">
      <c r="R35" s="277"/>
      <c r="S35" s="277"/>
      <c r="T35" s="277"/>
    </row>
    <row r="36" spans="3:20" x14ac:dyDescent="0.25">
      <c r="R36" s="277"/>
      <c r="S36" s="277"/>
      <c r="T36" s="277"/>
    </row>
    <row r="37" spans="3:20" x14ac:dyDescent="0.25">
      <c r="R37" s="277"/>
      <c r="S37" s="277"/>
      <c r="T37" s="277"/>
    </row>
    <row r="38" spans="3:20" x14ac:dyDescent="0.25">
      <c r="R38" s="277"/>
      <c r="S38" s="277"/>
      <c r="T38" s="277"/>
    </row>
    <row r="39" spans="3:20" x14ac:dyDescent="0.25">
      <c r="R39" s="278"/>
      <c r="S39" s="278"/>
      <c r="T39" s="278"/>
    </row>
    <row r="40" spans="3:20" x14ac:dyDescent="0.25">
      <c r="R40" s="272"/>
      <c r="S40" s="272"/>
      <c r="T40" s="272"/>
    </row>
    <row r="41" spans="3:20" x14ac:dyDescent="0.25">
      <c r="R41" s="272"/>
      <c r="S41" s="272"/>
      <c r="T41" s="272"/>
    </row>
    <row r="42" spans="3:20" x14ac:dyDescent="0.25">
      <c r="R42" s="277"/>
      <c r="S42" s="277"/>
      <c r="T42" s="277"/>
    </row>
    <row r="43" spans="3:20" x14ac:dyDescent="0.25">
      <c r="R43" s="277"/>
      <c r="S43" s="277"/>
      <c r="T43" s="277"/>
    </row>
    <row r="44" spans="3:20" x14ac:dyDescent="0.25">
      <c r="R44" s="277"/>
      <c r="S44" s="277"/>
      <c r="T44" s="277"/>
    </row>
    <row r="45" spans="3:20" x14ac:dyDescent="0.25">
      <c r="R45" s="277"/>
      <c r="S45" s="277"/>
      <c r="T45" s="277"/>
    </row>
    <row r="46" spans="3:20" x14ac:dyDescent="0.25">
      <c r="C46" s="232"/>
      <c r="D46" s="232"/>
      <c r="E46" s="233"/>
      <c r="F46" s="233"/>
      <c r="G46" s="233"/>
      <c r="H46" s="233"/>
      <c r="I46" s="233"/>
      <c r="J46" s="233"/>
      <c r="K46" s="233"/>
      <c r="L46" s="233"/>
      <c r="M46" s="233"/>
      <c r="N46" s="233"/>
      <c r="O46" s="233"/>
      <c r="P46" s="233"/>
      <c r="Q46" s="277"/>
      <c r="R46" s="277"/>
      <c r="S46" s="277"/>
      <c r="T46" s="277"/>
    </row>
    <row r="47" spans="3:20" x14ac:dyDescent="0.25">
      <c r="C47" s="232"/>
      <c r="D47" s="232"/>
      <c r="E47" s="233"/>
      <c r="F47" s="233"/>
      <c r="G47" s="233"/>
      <c r="H47" s="233"/>
      <c r="I47" s="233"/>
      <c r="J47" s="233"/>
      <c r="K47" s="233"/>
      <c r="L47" s="233"/>
      <c r="M47" s="233"/>
      <c r="N47" s="233"/>
      <c r="O47" s="233"/>
      <c r="P47" s="233"/>
      <c r="Q47" s="277"/>
      <c r="R47" s="277"/>
      <c r="S47" s="277"/>
      <c r="T47" s="277"/>
    </row>
    <row r="48" spans="3:20" x14ac:dyDescent="0.25">
      <c r="C48" s="232"/>
      <c r="D48" s="232"/>
      <c r="E48" s="233"/>
      <c r="F48" s="233"/>
      <c r="G48" s="233"/>
      <c r="H48" s="233"/>
      <c r="I48" s="233"/>
      <c r="J48" s="233"/>
      <c r="K48" s="233"/>
      <c r="L48" s="233"/>
      <c r="M48" s="233"/>
      <c r="N48" s="233"/>
      <c r="O48" s="233"/>
      <c r="P48" s="233"/>
      <c r="Q48" s="277"/>
      <c r="R48" s="277"/>
      <c r="S48" s="277"/>
      <c r="T48" s="277"/>
    </row>
    <row r="49" spans="1:20" x14ac:dyDescent="0.25">
      <c r="C49" s="232"/>
      <c r="D49" s="232"/>
      <c r="E49" s="233"/>
      <c r="F49" s="233"/>
      <c r="G49" s="233"/>
      <c r="H49" s="233"/>
      <c r="I49" s="233"/>
      <c r="J49" s="233"/>
      <c r="K49" s="233"/>
      <c r="L49" s="233"/>
      <c r="M49" s="233"/>
      <c r="N49" s="233"/>
      <c r="O49" s="233"/>
      <c r="P49" s="233"/>
      <c r="Q49" s="278"/>
      <c r="R49" s="278"/>
      <c r="S49" s="278"/>
      <c r="T49" s="278"/>
    </row>
    <row r="50" spans="1:20" ht="14.25" x14ac:dyDescent="0.2">
      <c r="A50" s="232"/>
      <c r="B50" s="232"/>
      <c r="C50" s="232"/>
      <c r="D50" s="232"/>
      <c r="E50" s="233"/>
      <c r="F50" s="233"/>
      <c r="G50" s="233"/>
      <c r="H50" s="233"/>
      <c r="I50" s="233"/>
      <c r="J50" s="233"/>
      <c r="K50" s="233"/>
      <c r="L50" s="233"/>
      <c r="M50" s="233"/>
      <c r="N50" s="233"/>
      <c r="O50" s="233"/>
      <c r="P50" s="233"/>
      <c r="Q50" s="271"/>
      <c r="R50" s="271"/>
      <c r="S50" s="271"/>
      <c r="T50" s="271"/>
    </row>
    <row r="51" spans="1:20" x14ac:dyDescent="0.25">
      <c r="C51" s="232"/>
      <c r="D51" s="232"/>
      <c r="E51" s="233"/>
      <c r="F51" s="233"/>
      <c r="G51" s="233"/>
      <c r="H51" s="233"/>
      <c r="I51" s="233"/>
      <c r="J51" s="233"/>
      <c r="K51" s="233"/>
      <c r="L51" s="233"/>
      <c r="M51" s="233"/>
      <c r="N51" s="233"/>
      <c r="O51" s="233"/>
      <c r="P51" s="233"/>
      <c r="Q51" s="272"/>
      <c r="R51" s="272"/>
      <c r="S51" s="272"/>
      <c r="T51" s="272"/>
    </row>
    <row r="52" spans="1:20" x14ac:dyDescent="0.25">
      <c r="C52" s="232"/>
      <c r="D52" s="232"/>
      <c r="E52" s="233"/>
      <c r="F52" s="233"/>
      <c r="G52" s="233"/>
      <c r="H52" s="233"/>
      <c r="I52" s="233"/>
      <c r="J52" s="233"/>
      <c r="K52" s="233"/>
      <c r="L52" s="233"/>
      <c r="M52" s="233"/>
      <c r="N52" s="233"/>
      <c r="O52" s="233"/>
      <c r="P52" s="233"/>
      <c r="Q52" s="277"/>
      <c r="R52" s="277"/>
      <c r="S52" s="277"/>
      <c r="T52" s="277"/>
    </row>
    <row r="53" spans="1:20" x14ac:dyDescent="0.25">
      <c r="C53" s="232"/>
      <c r="D53" s="232"/>
      <c r="E53" s="233"/>
      <c r="F53" s="233"/>
      <c r="G53" s="233"/>
      <c r="H53" s="233"/>
      <c r="I53" s="233"/>
      <c r="J53" s="233"/>
      <c r="K53" s="233"/>
      <c r="L53" s="233"/>
      <c r="M53" s="233"/>
      <c r="N53" s="233"/>
      <c r="O53" s="233"/>
      <c r="P53" s="233"/>
      <c r="Q53" s="277"/>
      <c r="R53" s="277"/>
      <c r="S53" s="277"/>
      <c r="T53" s="277"/>
    </row>
    <row r="54" spans="1:20" x14ac:dyDescent="0.25">
      <c r="C54" s="232"/>
      <c r="D54" s="232"/>
      <c r="E54" s="233"/>
      <c r="F54" s="233"/>
      <c r="G54" s="233"/>
      <c r="H54" s="233"/>
      <c r="I54" s="233"/>
      <c r="J54" s="233"/>
      <c r="K54" s="233"/>
      <c r="L54" s="233"/>
      <c r="M54" s="233"/>
      <c r="N54" s="233"/>
      <c r="O54" s="233"/>
      <c r="P54" s="233"/>
      <c r="Q54" s="277"/>
      <c r="R54" s="277"/>
      <c r="S54" s="277"/>
      <c r="T54" s="277"/>
    </row>
    <row r="55" spans="1:20" x14ac:dyDescent="0.25">
      <c r="C55" s="232"/>
      <c r="D55" s="232"/>
      <c r="E55" s="233"/>
      <c r="F55" s="233"/>
      <c r="G55" s="233"/>
      <c r="H55" s="233"/>
      <c r="I55" s="233"/>
      <c r="J55" s="233"/>
      <c r="K55" s="233"/>
      <c r="L55" s="233"/>
      <c r="M55" s="233"/>
      <c r="N55" s="233"/>
      <c r="O55" s="233"/>
      <c r="P55" s="233"/>
      <c r="Q55" s="277"/>
      <c r="R55" s="277"/>
      <c r="S55" s="277"/>
      <c r="T55" s="277"/>
    </row>
    <row r="56" spans="1:20" x14ac:dyDescent="0.25">
      <c r="C56" s="232"/>
      <c r="D56" s="232"/>
      <c r="E56" s="233"/>
      <c r="F56" s="233"/>
      <c r="G56" s="233"/>
      <c r="H56" s="233"/>
      <c r="I56" s="233"/>
      <c r="J56" s="233"/>
      <c r="K56" s="233"/>
      <c r="L56" s="233"/>
      <c r="M56" s="233"/>
      <c r="N56" s="233"/>
      <c r="O56" s="233"/>
      <c r="P56" s="233"/>
      <c r="Q56" s="277"/>
      <c r="R56" s="277"/>
      <c r="S56" s="277"/>
      <c r="T56" s="277"/>
    </row>
    <row r="57" spans="1:20" x14ac:dyDescent="0.25">
      <c r="C57" s="232"/>
      <c r="D57" s="232"/>
      <c r="E57" s="233"/>
      <c r="F57" s="233"/>
      <c r="G57" s="233"/>
      <c r="H57" s="233"/>
      <c r="I57" s="233"/>
      <c r="J57" s="233"/>
      <c r="K57" s="233"/>
      <c r="L57" s="233"/>
      <c r="M57" s="233"/>
      <c r="N57" s="233"/>
      <c r="O57" s="233"/>
      <c r="P57" s="233"/>
      <c r="Q57" s="277"/>
      <c r="R57" s="277"/>
      <c r="S57" s="277"/>
      <c r="T57" s="277"/>
    </row>
    <row r="58" spans="1:20" x14ac:dyDescent="0.25">
      <c r="C58" s="232"/>
      <c r="D58" s="232"/>
      <c r="E58" s="233"/>
      <c r="F58" s="233"/>
      <c r="G58" s="233"/>
      <c r="H58" s="233"/>
      <c r="I58" s="233"/>
      <c r="J58" s="233"/>
      <c r="K58" s="233"/>
      <c r="L58" s="233"/>
      <c r="M58" s="233"/>
      <c r="N58" s="233"/>
      <c r="O58" s="233"/>
      <c r="P58" s="233"/>
      <c r="Q58" s="277"/>
      <c r="R58" s="277"/>
      <c r="S58" s="277"/>
      <c r="T58" s="277"/>
    </row>
    <row r="59" spans="1:20" x14ac:dyDescent="0.25">
      <c r="C59" s="232"/>
      <c r="D59" s="232"/>
      <c r="E59" s="233"/>
      <c r="F59" s="233"/>
      <c r="G59" s="233"/>
      <c r="H59" s="233"/>
      <c r="I59" s="233"/>
      <c r="J59" s="233"/>
      <c r="K59" s="233"/>
      <c r="L59" s="233"/>
      <c r="M59" s="233"/>
      <c r="N59" s="233"/>
      <c r="O59" s="233"/>
      <c r="P59" s="233"/>
      <c r="Q59" s="277"/>
      <c r="R59" s="277"/>
      <c r="S59" s="277"/>
      <c r="T59" s="277"/>
    </row>
    <row r="60" spans="1:20" x14ac:dyDescent="0.25">
      <c r="C60" s="232"/>
      <c r="D60" s="232"/>
      <c r="E60" s="233"/>
      <c r="F60" s="233"/>
      <c r="G60" s="233"/>
      <c r="H60" s="233"/>
      <c r="I60" s="233"/>
      <c r="J60" s="233"/>
      <c r="K60" s="233"/>
      <c r="L60" s="233"/>
      <c r="M60" s="233"/>
      <c r="N60" s="233"/>
      <c r="O60" s="233"/>
      <c r="P60" s="233"/>
      <c r="Q60" s="277"/>
      <c r="R60" s="277"/>
      <c r="S60" s="277"/>
      <c r="T60" s="277"/>
    </row>
    <row r="61" spans="1:20" x14ac:dyDescent="0.25">
      <c r="C61" s="232"/>
      <c r="D61" s="232"/>
      <c r="E61" s="233"/>
      <c r="F61" s="233"/>
      <c r="G61" s="233"/>
      <c r="H61" s="233"/>
      <c r="I61" s="233"/>
      <c r="J61" s="233"/>
      <c r="K61" s="233"/>
      <c r="L61" s="233"/>
      <c r="M61" s="233"/>
      <c r="N61" s="233"/>
      <c r="O61" s="233"/>
      <c r="P61" s="233"/>
      <c r="Q61" s="278"/>
      <c r="R61" s="278"/>
      <c r="S61" s="278"/>
      <c r="T61" s="278"/>
    </row>
    <row r="62" spans="1:20" ht="14.25" x14ac:dyDescent="0.2">
      <c r="A62" s="232"/>
      <c r="B62" s="232"/>
      <c r="C62" s="232"/>
      <c r="D62" s="232"/>
      <c r="E62" s="233"/>
      <c r="F62" s="233"/>
      <c r="G62" s="233"/>
      <c r="H62" s="233"/>
      <c r="I62" s="233"/>
      <c r="J62" s="233"/>
      <c r="K62" s="233"/>
      <c r="L62" s="233"/>
      <c r="M62" s="233"/>
      <c r="N62" s="233"/>
      <c r="O62" s="233"/>
      <c r="P62" s="233"/>
      <c r="Q62" s="271"/>
      <c r="R62" s="271"/>
      <c r="S62" s="271"/>
      <c r="T62" s="271"/>
    </row>
    <row r="63" spans="1:20" x14ac:dyDescent="0.25">
      <c r="C63" s="232"/>
      <c r="D63" s="232"/>
      <c r="E63" s="233"/>
      <c r="F63" s="233"/>
      <c r="G63" s="233"/>
      <c r="H63" s="233"/>
      <c r="I63" s="233"/>
      <c r="J63" s="233"/>
      <c r="K63" s="233"/>
      <c r="L63" s="233"/>
      <c r="M63" s="233"/>
      <c r="N63" s="233"/>
      <c r="O63" s="233"/>
      <c r="P63" s="233"/>
      <c r="Q63" s="271"/>
      <c r="R63" s="271"/>
      <c r="S63" s="271"/>
      <c r="T63" s="271"/>
    </row>
    <row r="64" spans="1:20" x14ac:dyDescent="0.25">
      <c r="C64" s="232"/>
      <c r="D64" s="232"/>
      <c r="E64" s="233"/>
      <c r="F64" s="233"/>
      <c r="G64" s="233"/>
      <c r="H64" s="233"/>
      <c r="I64" s="233"/>
      <c r="J64" s="233"/>
      <c r="K64" s="233"/>
      <c r="L64" s="233"/>
      <c r="M64" s="233"/>
      <c r="N64" s="233"/>
      <c r="O64" s="233"/>
      <c r="P64" s="233"/>
      <c r="Q64" s="278"/>
      <c r="R64" s="278"/>
      <c r="S64" s="278"/>
      <c r="T64" s="278"/>
    </row>
    <row r="65" spans="3:20" x14ac:dyDescent="0.25">
      <c r="C65" s="232"/>
      <c r="D65" s="232"/>
      <c r="E65" s="233"/>
      <c r="F65" s="233"/>
      <c r="G65" s="233"/>
      <c r="H65" s="233"/>
      <c r="I65" s="233"/>
      <c r="J65" s="233"/>
      <c r="K65" s="233"/>
      <c r="L65" s="233"/>
      <c r="M65" s="233"/>
      <c r="N65" s="233"/>
      <c r="O65" s="233"/>
      <c r="P65" s="233"/>
      <c r="Q65" s="273"/>
      <c r="R65" s="273"/>
      <c r="S65" s="273"/>
      <c r="T65" s="273"/>
    </row>
    <row r="66" spans="3:20" x14ac:dyDescent="0.25">
      <c r="C66" s="232"/>
      <c r="D66" s="232"/>
      <c r="E66" s="233"/>
      <c r="F66" s="233"/>
      <c r="G66" s="233"/>
      <c r="H66" s="233"/>
      <c r="I66" s="233"/>
      <c r="J66" s="233"/>
      <c r="K66" s="233"/>
      <c r="L66" s="233"/>
      <c r="M66" s="233"/>
      <c r="N66" s="233"/>
      <c r="O66" s="233"/>
      <c r="P66" s="233"/>
      <c r="Q66" s="272"/>
      <c r="R66" s="272"/>
      <c r="S66" s="272"/>
      <c r="T66" s="272"/>
    </row>
    <row r="67" spans="3:20" x14ac:dyDescent="0.25">
      <c r="C67" s="232"/>
      <c r="D67" s="232"/>
      <c r="E67" s="233"/>
      <c r="F67" s="233"/>
      <c r="G67" s="233"/>
      <c r="H67" s="233"/>
      <c r="I67" s="233"/>
      <c r="J67" s="233"/>
      <c r="K67" s="233"/>
      <c r="L67" s="233"/>
      <c r="M67" s="233"/>
      <c r="N67" s="233"/>
      <c r="O67" s="233"/>
      <c r="P67" s="233"/>
      <c r="Q67" s="278"/>
      <c r="R67" s="278"/>
      <c r="S67" s="278"/>
      <c r="T67" s="278"/>
    </row>
    <row r="68" spans="3:20" x14ac:dyDescent="0.25">
      <c r="C68" s="232"/>
      <c r="D68" s="232"/>
      <c r="E68" s="233"/>
      <c r="F68" s="233"/>
      <c r="G68" s="233"/>
      <c r="H68" s="233"/>
      <c r="I68" s="233"/>
      <c r="J68" s="233"/>
      <c r="K68" s="233"/>
      <c r="L68" s="233"/>
      <c r="M68" s="233"/>
      <c r="N68" s="233"/>
      <c r="O68" s="233"/>
      <c r="P68" s="233"/>
      <c r="Q68" s="278"/>
      <c r="R68" s="278"/>
      <c r="S68" s="278"/>
      <c r="T68" s="278"/>
    </row>
    <row r="69" spans="3:20" x14ac:dyDescent="0.25">
      <c r="C69" s="232"/>
      <c r="D69" s="232"/>
      <c r="E69" s="233"/>
      <c r="F69" s="233"/>
      <c r="G69" s="233"/>
      <c r="H69" s="233"/>
      <c r="I69" s="233"/>
      <c r="J69" s="233"/>
      <c r="K69" s="233"/>
      <c r="L69" s="233"/>
      <c r="M69" s="233"/>
      <c r="N69" s="233"/>
      <c r="O69" s="233"/>
      <c r="P69" s="233"/>
      <c r="Q69" s="274"/>
      <c r="R69" s="274"/>
      <c r="S69" s="274"/>
      <c r="T69" s="274"/>
    </row>
    <row r="70" spans="3:20" x14ac:dyDescent="0.25">
      <c r="C70" s="232"/>
      <c r="D70" s="232"/>
      <c r="E70" s="233"/>
      <c r="F70" s="233"/>
      <c r="G70" s="233"/>
      <c r="H70" s="233"/>
      <c r="I70" s="233"/>
      <c r="J70" s="233"/>
      <c r="K70" s="233"/>
      <c r="L70" s="233"/>
      <c r="M70" s="233"/>
      <c r="N70" s="233"/>
      <c r="O70" s="233"/>
      <c r="P70" s="233"/>
      <c r="Q70" s="274"/>
      <c r="R70" s="274"/>
      <c r="S70" s="274"/>
      <c r="T70" s="274"/>
    </row>
    <row r="71" spans="3:20" x14ac:dyDescent="0.25">
      <c r="C71" s="232"/>
      <c r="D71" s="232"/>
      <c r="E71" s="233"/>
      <c r="F71" s="233"/>
      <c r="G71" s="233"/>
      <c r="H71" s="233"/>
      <c r="I71" s="233"/>
      <c r="J71" s="233"/>
      <c r="K71" s="233"/>
      <c r="L71" s="233"/>
      <c r="M71" s="233"/>
      <c r="N71" s="233"/>
      <c r="O71" s="233"/>
      <c r="P71" s="233"/>
      <c r="Q71" s="274"/>
      <c r="R71" s="274"/>
      <c r="S71" s="274"/>
      <c r="T71" s="274"/>
    </row>
    <row r="72" spans="3:20" x14ac:dyDescent="0.25">
      <c r="C72" s="232"/>
      <c r="D72" s="232"/>
      <c r="E72" s="233"/>
      <c r="F72" s="233"/>
      <c r="G72" s="233"/>
      <c r="H72" s="233"/>
      <c r="I72" s="233"/>
      <c r="J72" s="233"/>
      <c r="K72" s="233"/>
      <c r="L72" s="233"/>
      <c r="M72" s="233"/>
      <c r="N72" s="233"/>
      <c r="O72" s="233"/>
      <c r="P72" s="233"/>
      <c r="Q72" s="274"/>
      <c r="R72" s="274"/>
      <c r="S72" s="274"/>
      <c r="T72" s="274"/>
    </row>
    <row r="73" spans="3:20" x14ac:dyDescent="0.25">
      <c r="C73" s="232"/>
      <c r="D73" s="232"/>
      <c r="E73" s="233"/>
      <c r="F73" s="233"/>
      <c r="G73" s="233"/>
      <c r="H73" s="233"/>
      <c r="I73" s="233"/>
      <c r="J73" s="233"/>
      <c r="K73" s="233"/>
      <c r="L73" s="233"/>
      <c r="M73" s="233"/>
      <c r="N73" s="233"/>
      <c r="O73" s="233"/>
      <c r="P73" s="233"/>
      <c r="Q73" s="274"/>
      <c r="R73" s="274"/>
      <c r="S73" s="274"/>
      <c r="T73" s="274"/>
    </row>
    <row r="74" spans="3:20" x14ac:dyDescent="0.25">
      <c r="C74" s="232"/>
      <c r="D74" s="232"/>
      <c r="E74" s="233"/>
      <c r="F74" s="233"/>
      <c r="G74" s="233"/>
      <c r="H74" s="233"/>
      <c r="I74" s="233"/>
      <c r="J74" s="233"/>
      <c r="K74" s="233"/>
      <c r="L74" s="233"/>
      <c r="M74" s="233"/>
      <c r="N74" s="233"/>
      <c r="O74" s="233"/>
      <c r="P74" s="233"/>
      <c r="Q74" s="274"/>
      <c r="R74" s="274"/>
      <c r="S74" s="274"/>
      <c r="T74" s="274"/>
    </row>
    <row r="75" spans="3:20" x14ac:dyDescent="0.25">
      <c r="C75" s="232"/>
      <c r="D75" s="232"/>
      <c r="E75" s="233"/>
      <c r="F75" s="233"/>
      <c r="G75" s="233"/>
      <c r="H75" s="233"/>
      <c r="I75" s="233"/>
      <c r="J75" s="233"/>
      <c r="K75" s="233"/>
      <c r="L75" s="233"/>
      <c r="M75" s="233"/>
      <c r="N75" s="233"/>
      <c r="O75" s="233"/>
      <c r="P75" s="233"/>
      <c r="Q75" s="274"/>
      <c r="R75" s="274"/>
      <c r="S75" s="274"/>
      <c r="T75" s="274"/>
    </row>
    <row r="76" spans="3:20" x14ac:dyDescent="0.25">
      <c r="C76" s="232"/>
      <c r="D76" s="232"/>
      <c r="E76" s="233"/>
      <c r="F76" s="233"/>
      <c r="G76" s="233"/>
      <c r="H76" s="233"/>
      <c r="I76" s="233"/>
      <c r="J76" s="233"/>
      <c r="K76" s="233"/>
      <c r="L76" s="233"/>
      <c r="M76" s="233"/>
      <c r="N76" s="233"/>
      <c r="O76" s="233"/>
      <c r="P76" s="233"/>
      <c r="Q76" s="274"/>
      <c r="R76" s="274"/>
      <c r="S76" s="274"/>
      <c r="T76" s="274"/>
    </row>
    <row r="77" spans="3:20" x14ac:dyDescent="0.25">
      <c r="C77" s="274"/>
      <c r="E77" s="274"/>
      <c r="F77" s="274"/>
      <c r="G77" s="274"/>
      <c r="H77" s="274"/>
      <c r="I77" s="274"/>
      <c r="J77" s="274"/>
      <c r="K77" s="274"/>
      <c r="L77" s="274"/>
      <c r="M77" s="274"/>
      <c r="N77" s="274"/>
      <c r="O77" s="274"/>
      <c r="P77" s="274"/>
      <c r="Q77" s="274"/>
      <c r="R77" s="274"/>
      <c r="S77" s="274"/>
      <c r="T77" s="274"/>
    </row>
    <row r="78" spans="3:20" x14ac:dyDescent="0.25">
      <c r="C78" s="274"/>
      <c r="E78" s="274"/>
      <c r="F78" s="274"/>
      <c r="G78" s="274"/>
      <c r="H78" s="274"/>
      <c r="I78" s="274"/>
      <c r="J78" s="274"/>
      <c r="K78" s="274"/>
      <c r="L78" s="274"/>
      <c r="M78" s="274"/>
      <c r="N78" s="274"/>
      <c r="O78" s="274"/>
      <c r="P78" s="274"/>
      <c r="Q78" s="274"/>
      <c r="R78" s="274"/>
      <c r="S78" s="274"/>
      <c r="T78" s="274"/>
    </row>
    <row r="79" spans="3:20" x14ac:dyDescent="0.25">
      <c r="C79" s="274"/>
      <c r="E79" s="274"/>
      <c r="F79" s="274"/>
      <c r="G79" s="274"/>
      <c r="H79" s="274"/>
      <c r="I79" s="274"/>
      <c r="J79" s="274"/>
      <c r="K79" s="274"/>
      <c r="L79" s="274"/>
      <c r="M79" s="274"/>
      <c r="N79" s="274"/>
      <c r="O79" s="274"/>
      <c r="P79" s="274"/>
      <c r="Q79" s="274"/>
      <c r="R79" s="274"/>
      <c r="S79" s="274"/>
      <c r="T79" s="274"/>
    </row>
    <row r="80" spans="3:20" x14ac:dyDescent="0.25">
      <c r="C80" s="274"/>
      <c r="E80" s="274"/>
      <c r="F80" s="274"/>
      <c r="G80" s="274"/>
      <c r="H80" s="274"/>
      <c r="I80" s="274"/>
      <c r="J80" s="274"/>
      <c r="K80" s="274"/>
      <c r="L80" s="274"/>
      <c r="M80" s="274"/>
      <c r="N80" s="274"/>
      <c r="O80" s="274"/>
      <c r="P80" s="274"/>
      <c r="Q80" s="274"/>
      <c r="R80" s="274"/>
      <c r="S80" s="274"/>
      <c r="T80" s="274"/>
    </row>
    <row r="81" spans="3:20" x14ac:dyDescent="0.25">
      <c r="C81" s="274"/>
      <c r="E81" s="274"/>
      <c r="F81" s="274"/>
      <c r="G81" s="274"/>
      <c r="H81" s="274"/>
      <c r="I81" s="274"/>
      <c r="J81" s="274"/>
      <c r="K81" s="274"/>
      <c r="L81" s="274"/>
      <c r="M81" s="274"/>
      <c r="N81" s="274"/>
      <c r="O81" s="274"/>
      <c r="P81" s="274"/>
      <c r="Q81" s="274"/>
      <c r="R81" s="274"/>
      <c r="S81" s="274"/>
      <c r="T81" s="274"/>
    </row>
    <row r="82" spans="3:20" x14ac:dyDescent="0.25">
      <c r="C82" s="274"/>
      <c r="E82" s="274"/>
      <c r="F82" s="274"/>
      <c r="G82" s="274"/>
      <c r="H82" s="274"/>
      <c r="I82" s="274"/>
      <c r="J82" s="274"/>
      <c r="K82" s="274"/>
      <c r="L82" s="274"/>
      <c r="M82" s="274"/>
      <c r="N82" s="274"/>
      <c r="O82" s="274"/>
      <c r="P82" s="274"/>
      <c r="Q82" s="274"/>
      <c r="R82" s="274"/>
      <c r="S82" s="274"/>
      <c r="T82" s="274"/>
    </row>
    <row r="83" spans="3:20" x14ac:dyDescent="0.25">
      <c r="C83" s="274"/>
      <c r="E83" s="274"/>
      <c r="F83" s="274"/>
      <c r="G83" s="274"/>
      <c r="H83" s="274"/>
      <c r="I83" s="274"/>
      <c r="J83" s="274"/>
      <c r="K83" s="274"/>
      <c r="L83" s="274"/>
      <c r="M83" s="274"/>
      <c r="N83" s="274"/>
      <c r="O83" s="274"/>
      <c r="P83" s="274"/>
      <c r="Q83" s="274"/>
      <c r="R83" s="274"/>
      <c r="S83" s="274"/>
      <c r="T83" s="274"/>
    </row>
    <row r="84" spans="3:20" x14ac:dyDescent="0.25">
      <c r="C84" s="274"/>
      <c r="E84" s="274"/>
      <c r="F84" s="274"/>
      <c r="G84" s="274"/>
      <c r="H84" s="274"/>
      <c r="I84" s="274"/>
      <c r="J84" s="274"/>
      <c r="K84" s="274"/>
      <c r="L84" s="274"/>
      <c r="M84" s="274"/>
      <c r="N84" s="274"/>
      <c r="O84" s="274"/>
      <c r="P84" s="274"/>
      <c r="Q84" s="274"/>
      <c r="R84" s="274"/>
      <c r="S84" s="274"/>
      <c r="T84" s="274"/>
    </row>
    <row r="85" spans="3:20" x14ac:dyDescent="0.25">
      <c r="C85" s="274"/>
      <c r="E85" s="274"/>
      <c r="F85" s="274"/>
      <c r="G85" s="274"/>
      <c r="H85" s="274"/>
      <c r="I85" s="274"/>
      <c r="J85" s="274"/>
      <c r="K85" s="274"/>
      <c r="L85" s="274"/>
      <c r="M85" s="274"/>
      <c r="N85" s="274"/>
      <c r="O85" s="274"/>
      <c r="P85" s="274"/>
      <c r="Q85" s="274"/>
      <c r="R85" s="274"/>
      <c r="S85" s="274"/>
      <c r="T85" s="274"/>
    </row>
    <row r="86" spans="3:20" x14ac:dyDescent="0.25">
      <c r="C86" s="274"/>
      <c r="E86" s="274"/>
      <c r="F86" s="274"/>
      <c r="G86" s="274"/>
      <c r="H86" s="274"/>
      <c r="I86" s="274"/>
      <c r="J86" s="274"/>
      <c r="K86" s="274"/>
      <c r="L86" s="274"/>
      <c r="M86" s="274"/>
      <c r="N86" s="274"/>
      <c r="O86" s="274"/>
      <c r="P86" s="274"/>
      <c r="Q86" s="274"/>
      <c r="R86" s="274"/>
      <c r="S86" s="274"/>
      <c r="T86" s="274"/>
    </row>
    <row r="87" spans="3:20" x14ac:dyDescent="0.25">
      <c r="C87" s="274"/>
      <c r="E87" s="274"/>
      <c r="F87" s="274"/>
      <c r="G87" s="274"/>
      <c r="H87" s="274"/>
      <c r="I87" s="274"/>
      <c r="J87" s="274"/>
      <c r="K87" s="274"/>
      <c r="L87" s="274"/>
      <c r="M87" s="274"/>
      <c r="N87" s="274"/>
      <c r="O87" s="274"/>
      <c r="P87" s="274"/>
      <c r="Q87" s="274"/>
      <c r="R87" s="274"/>
      <c r="S87" s="274"/>
      <c r="T87" s="274"/>
    </row>
    <row r="88" spans="3:20" x14ac:dyDescent="0.25">
      <c r="C88" s="274"/>
      <c r="E88" s="274"/>
      <c r="F88" s="274"/>
      <c r="G88" s="274"/>
      <c r="H88" s="274"/>
      <c r="I88" s="274"/>
      <c r="J88" s="274"/>
      <c r="K88" s="274"/>
      <c r="L88" s="274"/>
      <c r="M88" s="274"/>
      <c r="N88" s="274"/>
      <c r="O88" s="274"/>
      <c r="P88" s="274"/>
      <c r="Q88" s="274"/>
      <c r="R88" s="274"/>
      <c r="S88" s="274"/>
      <c r="T88" s="274"/>
    </row>
    <row r="89" spans="3:20" x14ac:dyDescent="0.25">
      <c r="C89" s="274"/>
      <c r="E89" s="274"/>
      <c r="F89" s="274"/>
      <c r="G89" s="274"/>
      <c r="H89" s="274"/>
      <c r="I89" s="274"/>
      <c r="J89" s="274"/>
      <c r="K89" s="274"/>
      <c r="L89" s="274"/>
      <c r="M89" s="274"/>
      <c r="N89" s="274"/>
      <c r="O89" s="274"/>
      <c r="P89" s="274"/>
      <c r="Q89" s="274"/>
      <c r="R89" s="274"/>
      <c r="S89" s="274"/>
      <c r="T89" s="274"/>
    </row>
    <row r="90" spans="3:20" x14ac:dyDescent="0.25">
      <c r="C90" s="274"/>
      <c r="E90" s="274"/>
      <c r="F90" s="274"/>
      <c r="G90" s="274"/>
      <c r="H90" s="274"/>
      <c r="I90" s="274"/>
      <c r="J90" s="274"/>
      <c r="K90" s="274"/>
      <c r="L90" s="274"/>
      <c r="M90" s="274"/>
      <c r="N90" s="274"/>
      <c r="O90" s="274"/>
      <c r="P90" s="274"/>
      <c r="Q90" s="274"/>
      <c r="R90" s="274"/>
      <c r="S90" s="274"/>
      <c r="T90" s="274"/>
    </row>
    <row r="91" spans="3:20" x14ac:dyDescent="0.25">
      <c r="C91" s="274"/>
      <c r="E91" s="274"/>
      <c r="F91" s="274"/>
      <c r="G91" s="274"/>
      <c r="H91" s="274"/>
      <c r="I91" s="274"/>
      <c r="J91" s="274"/>
      <c r="K91" s="274"/>
      <c r="L91" s="274"/>
      <c r="M91" s="274"/>
      <c r="N91" s="274"/>
      <c r="O91" s="274"/>
      <c r="P91" s="274"/>
      <c r="Q91" s="274"/>
      <c r="R91" s="274"/>
      <c r="S91" s="274"/>
      <c r="T91" s="274"/>
    </row>
    <row r="92" spans="3:20" x14ac:dyDescent="0.25">
      <c r="C92" s="274"/>
      <c r="E92" s="274"/>
      <c r="F92" s="274"/>
      <c r="G92" s="274"/>
      <c r="H92" s="274"/>
      <c r="I92" s="274"/>
      <c r="J92" s="274"/>
      <c r="K92" s="274"/>
      <c r="L92" s="274"/>
      <c r="M92" s="274"/>
      <c r="N92" s="274"/>
      <c r="O92" s="274"/>
      <c r="P92" s="274"/>
      <c r="Q92" s="274"/>
      <c r="R92" s="274"/>
      <c r="S92" s="274"/>
      <c r="T92" s="274"/>
    </row>
    <row r="93" spans="3:20" x14ac:dyDescent="0.25">
      <c r="C93" s="274"/>
      <c r="E93" s="274"/>
      <c r="F93" s="274"/>
      <c r="G93" s="274"/>
      <c r="H93" s="274"/>
      <c r="I93" s="274"/>
      <c r="J93" s="274"/>
      <c r="K93" s="274"/>
      <c r="L93" s="274"/>
      <c r="M93" s="274"/>
      <c r="N93" s="274"/>
      <c r="O93" s="274"/>
      <c r="P93" s="274"/>
      <c r="Q93" s="274"/>
      <c r="R93" s="274"/>
      <c r="S93" s="274"/>
      <c r="T93" s="274"/>
    </row>
    <row r="94" spans="3:20" x14ac:dyDescent="0.25">
      <c r="C94" s="274"/>
      <c r="E94" s="274"/>
      <c r="F94" s="274"/>
      <c r="G94" s="274"/>
      <c r="H94" s="274"/>
      <c r="I94" s="274"/>
      <c r="J94" s="274"/>
      <c r="K94" s="274"/>
      <c r="L94" s="274"/>
      <c r="M94" s="274"/>
      <c r="N94" s="274"/>
      <c r="O94" s="274"/>
      <c r="P94" s="274"/>
      <c r="Q94" s="274"/>
      <c r="R94" s="274"/>
      <c r="S94" s="274"/>
      <c r="T94" s="274"/>
    </row>
    <row r="95" spans="3:20" x14ac:dyDescent="0.25">
      <c r="C95" s="274"/>
      <c r="E95" s="274"/>
      <c r="F95" s="274"/>
      <c r="G95" s="274"/>
      <c r="H95" s="274"/>
      <c r="I95" s="274"/>
      <c r="J95" s="274"/>
      <c r="K95" s="274"/>
      <c r="L95" s="274"/>
      <c r="M95" s="274"/>
      <c r="N95" s="274"/>
      <c r="O95" s="274"/>
      <c r="P95" s="274"/>
      <c r="Q95" s="274"/>
      <c r="R95" s="274"/>
      <c r="S95" s="274"/>
      <c r="T95" s="274"/>
    </row>
    <row r="96" spans="3:20" x14ac:dyDescent="0.25">
      <c r="C96" s="274"/>
      <c r="E96" s="274"/>
      <c r="F96" s="274"/>
      <c r="G96" s="274"/>
      <c r="H96" s="274"/>
      <c r="I96" s="274"/>
      <c r="J96" s="274"/>
      <c r="K96" s="274"/>
      <c r="L96" s="274"/>
      <c r="M96" s="274"/>
      <c r="N96" s="274"/>
      <c r="O96" s="274"/>
      <c r="P96" s="274"/>
      <c r="Q96" s="274"/>
      <c r="R96" s="274"/>
      <c r="S96" s="274"/>
      <c r="T96" s="274"/>
    </row>
    <row r="97" spans="3:20" x14ac:dyDescent="0.25">
      <c r="C97" s="274"/>
      <c r="E97" s="274"/>
      <c r="F97" s="274"/>
      <c r="G97" s="274"/>
      <c r="H97" s="274"/>
      <c r="I97" s="274"/>
      <c r="J97" s="274"/>
      <c r="K97" s="274"/>
      <c r="L97" s="274"/>
      <c r="M97" s="274"/>
      <c r="N97" s="274"/>
      <c r="O97" s="274"/>
      <c r="P97" s="274"/>
      <c r="Q97" s="274"/>
      <c r="R97" s="274"/>
      <c r="S97" s="274"/>
      <c r="T97" s="274"/>
    </row>
    <row r="98" spans="3:20" x14ac:dyDescent="0.25">
      <c r="C98" s="274"/>
      <c r="E98" s="274"/>
      <c r="F98" s="274"/>
      <c r="G98" s="274"/>
      <c r="H98" s="274"/>
      <c r="I98" s="274"/>
      <c r="J98" s="274"/>
      <c r="K98" s="274"/>
      <c r="L98" s="274"/>
      <c r="M98" s="274"/>
      <c r="N98" s="274"/>
      <c r="O98" s="274"/>
      <c r="P98" s="274"/>
      <c r="Q98" s="274"/>
      <c r="R98" s="274"/>
      <c r="S98" s="274"/>
      <c r="T98" s="274"/>
    </row>
    <row r="99" spans="3:20" x14ac:dyDescent="0.25">
      <c r="C99" s="274"/>
      <c r="E99" s="274"/>
      <c r="F99" s="274"/>
      <c r="G99" s="274"/>
      <c r="H99" s="274"/>
      <c r="I99" s="274"/>
      <c r="J99" s="274"/>
      <c r="K99" s="274"/>
      <c r="L99" s="274"/>
      <c r="M99" s="274"/>
      <c r="N99" s="274"/>
      <c r="O99" s="274"/>
      <c r="P99" s="274"/>
      <c r="Q99" s="274"/>
      <c r="R99" s="274"/>
      <c r="S99" s="274"/>
      <c r="T99" s="274"/>
    </row>
    <row r="100" spans="3:20" x14ac:dyDescent="0.25">
      <c r="C100" s="274"/>
      <c r="E100" s="274"/>
      <c r="F100" s="274"/>
      <c r="G100" s="274"/>
      <c r="H100" s="274"/>
      <c r="I100" s="274"/>
      <c r="J100" s="274"/>
      <c r="K100" s="274"/>
      <c r="L100" s="274"/>
      <c r="M100" s="274"/>
      <c r="N100" s="274"/>
      <c r="O100" s="274"/>
      <c r="P100" s="274"/>
      <c r="Q100" s="274"/>
      <c r="R100" s="274"/>
      <c r="S100" s="274"/>
      <c r="T100" s="274"/>
    </row>
    <row r="101" spans="3:20" x14ac:dyDescent="0.25">
      <c r="C101" s="274"/>
      <c r="E101" s="274"/>
      <c r="F101" s="274"/>
      <c r="G101" s="274"/>
      <c r="H101" s="274"/>
      <c r="I101" s="274"/>
      <c r="J101" s="274"/>
      <c r="K101" s="274"/>
      <c r="L101" s="274"/>
      <c r="M101" s="274"/>
      <c r="N101" s="274"/>
      <c r="O101" s="274"/>
      <c r="P101" s="274"/>
      <c r="Q101" s="274"/>
      <c r="R101" s="274"/>
      <c r="S101" s="274"/>
      <c r="T101" s="274"/>
    </row>
    <row r="102" spans="3:20" x14ac:dyDescent="0.25">
      <c r="C102" s="274"/>
      <c r="E102" s="274"/>
      <c r="F102" s="274"/>
      <c r="G102" s="274"/>
      <c r="H102" s="274"/>
      <c r="I102" s="274"/>
      <c r="J102" s="274"/>
      <c r="K102" s="274"/>
      <c r="L102" s="274"/>
      <c r="M102" s="274"/>
      <c r="N102" s="274"/>
      <c r="O102" s="274"/>
      <c r="P102" s="274"/>
      <c r="Q102" s="274"/>
      <c r="R102" s="274"/>
      <c r="S102" s="274"/>
      <c r="T102" s="274"/>
    </row>
    <row r="103" spans="3:20" x14ac:dyDescent="0.25">
      <c r="C103" s="274"/>
      <c r="E103" s="274"/>
      <c r="F103" s="274"/>
      <c r="G103" s="274"/>
      <c r="H103" s="274"/>
      <c r="I103" s="274"/>
      <c r="J103" s="274"/>
      <c r="K103" s="274"/>
      <c r="L103" s="274"/>
      <c r="M103" s="274"/>
      <c r="N103" s="274"/>
      <c r="O103" s="274"/>
      <c r="P103" s="274"/>
      <c r="Q103" s="274"/>
      <c r="R103" s="274"/>
      <c r="S103" s="274"/>
      <c r="T103" s="274"/>
    </row>
    <row r="104" spans="3:20" x14ac:dyDescent="0.25">
      <c r="C104" s="274"/>
      <c r="E104" s="274"/>
      <c r="F104" s="274"/>
      <c r="G104" s="274"/>
      <c r="H104" s="274"/>
      <c r="I104" s="274"/>
      <c r="J104" s="274"/>
      <c r="K104" s="274"/>
      <c r="L104" s="274"/>
      <c r="M104" s="274"/>
      <c r="N104" s="274"/>
      <c r="O104" s="274"/>
      <c r="P104" s="274"/>
      <c r="Q104" s="274"/>
      <c r="R104" s="274"/>
      <c r="S104" s="274"/>
      <c r="T104" s="274"/>
    </row>
    <row r="105" spans="3:20" x14ac:dyDescent="0.25">
      <c r="C105" s="274"/>
      <c r="E105" s="274"/>
      <c r="F105" s="274"/>
      <c r="G105" s="274"/>
      <c r="H105" s="274"/>
      <c r="I105" s="274"/>
      <c r="J105" s="274"/>
      <c r="K105" s="274"/>
      <c r="L105" s="274"/>
      <c r="M105" s="274"/>
      <c r="N105" s="274"/>
      <c r="O105" s="274"/>
      <c r="P105" s="274"/>
      <c r="Q105" s="274"/>
      <c r="R105" s="274"/>
      <c r="S105" s="274"/>
      <c r="T105" s="274"/>
    </row>
    <row r="106" spans="3:20" x14ac:dyDescent="0.25">
      <c r="C106" s="274"/>
      <c r="E106" s="274"/>
      <c r="F106" s="274"/>
      <c r="G106" s="274"/>
      <c r="H106" s="274"/>
      <c r="I106" s="274"/>
      <c r="J106" s="274"/>
      <c r="K106" s="274"/>
      <c r="L106" s="274"/>
      <c r="M106" s="274"/>
      <c r="N106" s="274"/>
      <c r="O106" s="274"/>
      <c r="P106" s="274"/>
      <c r="Q106" s="274"/>
      <c r="R106" s="274"/>
      <c r="S106" s="274"/>
      <c r="T106" s="274"/>
    </row>
    <row r="107" spans="3:20" x14ac:dyDescent="0.25">
      <c r="C107" s="274"/>
      <c r="E107" s="274"/>
      <c r="F107" s="274"/>
      <c r="G107" s="274"/>
      <c r="H107" s="274"/>
      <c r="I107" s="274"/>
      <c r="J107" s="274"/>
      <c r="K107" s="274"/>
      <c r="L107" s="274"/>
      <c r="M107" s="274"/>
      <c r="N107" s="274"/>
      <c r="O107" s="274"/>
      <c r="P107" s="274"/>
      <c r="Q107" s="274"/>
      <c r="R107" s="274"/>
      <c r="S107" s="274"/>
      <c r="T107" s="274"/>
    </row>
    <row r="108" spans="3:20" x14ac:dyDescent="0.25">
      <c r="C108" s="274"/>
      <c r="E108" s="274"/>
      <c r="F108" s="274"/>
      <c r="G108" s="274"/>
      <c r="H108" s="274"/>
      <c r="I108" s="274"/>
      <c r="J108" s="274"/>
      <c r="K108" s="274"/>
      <c r="L108" s="274"/>
      <c r="M108" s="274"/>
      <c r="N108" s="274"/>
      <c r="O108" s="274"/>
      <c r="P108" s="274"/>
      <c r="Q108" s="274"/>
      <c r="R108" s="274"/>
      <c r="S108" s="274"/>
      <c r="T108" s="274"/>
    </row>
    <row r="109" spans="3:20" x14ac:dyDescent="0.25">
      <c r="C109" s="274"/>
      <c r="E109" s="274"/>
      <c r="F109" s="274"/>
      <c r="G109" s="274"/>
      <c r="H109" s="274"/>
      <c r="I109" s="274"/>
      <c r="J109" s="274"/>
      <c r="K109" s="274"/>
      <c r="L109" s="274"/>
      <c r="M109" s="274"/>
      <c r="N109" s="274"/>
      <c r="O109" s="274"/>
      <c r="P109" s="274"/>
      <c r="Q109" s="274"/>
      <c r="R109" s="274"/>
      <c r="S109" s="274"/>
      <c r="T109" s="274"/>
    </row>
    <row r="110" spans="3:20" x14ac:dyDescent="0.25">
      <c r="C110" s="274"/>
      <c r="E110" s="274"/>
      <c r="F110" s="274"/>
      <c r="G110" s="274"/>
      <c r="H110" s="274"/>
      <c r="I110" s="274"/>
      <c r="J110" s="274"/>
      <c r="K110" s="274"/>
      <c r="L110" s="274"/>
      <c r="M110" s="274"/>
      <c r="N110" s="274"/>
      <c r="O110" s="274"/>
      <c r="P110" s="274"/>
      <c r="Q110" s="274"/>
      <c r="R110" s="274"/>
      <c r="S110" s="274"/>
      <c r="T110" s="274"/>
    </row>
    <row r="111" spans="3:20" x14ac:dyDescent="0.25">
      <c r="C111" s="274"/>
      <c r="E111" s="274"/>
      <c r="F111" s="274"/>
      <c r="G111" s="274"/>
      <c r="H111" s="274"/>
      <c r="I111" s="274"/>
      <c r="J111" s="274"/>
      <c r="K111" s="274"/>
      <c r="L111" s="274"/>
      <c r="M111" s="274"/>
      <c r="N111" s="274"/>
      <c r="O111" s="274"/>
      <c r="P111" s="274"/>
      <c r="Q111" s="274"/>
      <c r="R111" s="274"/>
      <c r="S111" s="274"/>
      <c r="T111" s="274"/>
    </row>
    <row r="112" spans="3:20" x14ac:dyDescent="0.25">
      <c r="C112" s="274"/>
      <c r="E112" s="274"/>
      <c r="F112" s="274"/>
      <c r="G112" s="274"/>
      <c r="H112" s="274"/>
      <c r="I112" s="274"/>
      <c r="J112" s="274"/>
      <c r="K112" s="274"/>
      <c r="L112" s="274"/>
      <c r="M112" s="274"/>
      <c r="N112" s="274"/>
      <c r="O112" s="274"/>
      <c r="P112" s="274"/>
      <c r="Q112" s="274"/>
      <c r="R112" s="274"/>
      <c r="S112" s="274"/>
      <c r="T112" s="274"/>
    </row>
    <row r="113" spans="3:20" x14ac:dyDescent="0.25">
      <c r="C113" s="274"/>
      <c r="E113" s="274"/>
      <c r="F113" s="274"/>
      <c r="G113" s="274"/>
      <c r="H113" s="274"/>
      <c r="I113" s="274"/>
      <c r="J113" s="274"/>
      <c r="K113" s="274"/>
      <c r="L113" s="274"/>
      <c r="M113" s="274"/>
      <c r="N113" s="274"/>
      <c r="O113" s="274"/>
      <c r="P113" s="274"/>
      <c r="Q113" s="274"/>
      <c r="R113" s="274"/>
      <c r="S113" s="274"/>
      <c r="T113" s="274"/>
    </row>
    <row r="114" spans="3:20" x14ac:dyDescent="0.25">
      <c r="C114" s="274"/>
      <c r="E114" s="274"/>
      <c r="F114" s="274"/>
      <c r="G114" s="274"/>
      <c r="H114" s="274"/>
      <c r="I114" s="274"/>
      <c r="J114" s="274"/>
      <c r="K114" s="274"/>
      <c r="L114" s="274"/>
      <c r="M114" s="274"/>
      <c r="N114" s="274"/>
      <c r="O114" s="274"/>
      <c r="P114" s="274"/>
      <c r="Q114" s="274"/>
      <c r="R114" s="274"/>
      <c r="S114" s="274"/>
      <c r="T114" s="274"/>
    </row>
    <row r="115" spans="3:20" x14ac:dyDescent="0.25">
      <c r="C115" s="274"/>
      <c r="E115" s="274"/>
      <c r="F115" s="274"/>
      <c r="G115" s="274"/>
      <c r="H115" s="274"/>
      <c r="I115" s="274"/>
      <c r="J115" s="274"/>
      <c r="K115" s="274"/>
      <c r="L115" s="274"/>
      <c r="M115" s="274"/>
      <c r="N115" s="274"/>
      <c r="O115" s="274"/>
      <c r="P115" s="274"/>
      <c r="Q115" s="274"/>
      <c r="R115" s="274"/>
      <c r="S115" s="274"/>
      <c r="T115" s="274"/>
    </row>
    <row r="116" spans="3:20" x14ac:dyDescent="0.25">
      <c r="C116" s="274"/>
      <c r="E116" s="274"/>
      <c r="F116" s="274"/>
      <c r="G116" s="274"/>
      <c r="H116" s="274"/>
      <c r="I116" s="274"/>
      <c r="J116" s="274"/>
      <c r="K116" s="274"/>
      <c r="L116" s="274"/>
      <c r="M116" s="274"/>
      <c r="N116" s="274"/>
      <c r="O116" s="274"/>
      <c r="P116" s="274"/>
      <c r="Q116" s="274"/>
      <c r="R116" s="274"/>
      <c r="S116" s="274"/>
      <c r="T116" s="274"/>
    </row>
    <row r="117" spans="3:20" x14ac:dyDescent="0.25">
      <c r="C117" s="274"/>
      <c r="E117" s="274"/>
      <c r="F117" s="274"/>
      <c r="G117" s="274"/>
      <c r="H117" s="274"/>
      <c r="I117" s="274"/>
      <c r="J117" s="274"/>
      <c r="K117" s="274"/>
      <c r="L117" s="274"/>
      <c r="M117" s="274"/>
      <c r="N117" s="274"/>
      <c r="O117" s="274"/>
      <c r="P117" s="274"/>
      <c r="Q117" s="274"/>
      <c r="R117" s="274"/>
      <c r="S117" s="274"/>
      <c r="T117" s="274"/>
    </row>
    <row r="118" spans="3:20" x14ac:dyDescent="0.25">
      <c r="C118" s="274"/>
      <c r="E118" s="274"/>
      <c r="F118" s="274"/>
      <c r="G118" s="274"/>
      <c r="H118" s="274"/>
      <c r="I118" s="274"/>
      <c r="J118" s="274"/>
      <c r="K118" s="274"/>
      <c r="L118" s="274"/>
      <c r="M118" s="274"/>
      <c r="N118" s="274"/>
      <c r="O118" s="274"/>
      <c r="P118" s="274"/>
      <c r="Q118" s="274"/>
      <c r="R118" s="274"/>
      <c r="S118" s="274"/>
      <c r="T118" s="274"/>
    </row>
    <row r="119" spans="3:20" x14ac:dyDescent="0.25">
      <c r="C119" s="274"/>
      <c r="E119" s="274"/>
      <c r="F119" s="274"/>
      <c r="G119" s="274"/>
      <c r="H119" s="274"/>
      <c r="I119" s="274"/>
      <c r="J119" s="274"/>
      <c r="K119" s="274"/>
      <c r="L119" s="274"/>
      <c r="M119" s="274"/>
      <c r="N119" s="274"/>
      <c r="O119" s="274"/>
      <c r="P119" s="274"/>
      <c r="Q119" s="274"/>
      <c r="R119" s="274"/>
      <c r="S119" s="274"/>
      <c r="T119" s="274"/>
    </row>
    <row r="120" spans="3:20" x14ac:dyDescent="0.25">
      <c r="C120" s="274"/>
      <c r="E120" s="274"/>
      <c r="F120" s="274"/>
      <c r="G120" s="274"/>
      <c r="H120" s="274"/>
      <c r="I120" s="274"/>
      <c r="J120" s="274"/>
      <c r="K120" s="274"/>
      <c r="L120" s="274"/>
      <c r="M120" s="274"/>
      <c r="N120" s="274"/>
      <c r="O120" s="274"/>
      <c r="P120" s="274"/>
      <c r="Q120" s="274"/>
      <c r="R120" s="274"/>
      <c r="S120" s="274"/>
      <c r="T120" s="274"/>
    </row>
    <row r="121" spans="3:20" x14ac:dyDescent="0.25">
      <c r="C121" s="274"/>
      <c r="E121" s="274"/>
      <c r="F121" s="274"/>
      <c r="G121" s="274"/>
      <c r="H121" s="274"/>
      <c r="I121" s="274"/>
      <c r="J121" s="274"/>
      <c r="K121" s="274"/>
      <c r="L121" s="274"/>
      <c r="M121" s="274"/>
      <c r="N121" s="274"/>
      <c r="O121" s="274"/>
      <c r="P121" s="274"/>
      <c r="Q121" s="274"/>
      <c r="R121" s="274"/>
      <c r="S121" s="274"/>
      <c r="T121" s="274"/>
    </row>
    <row r="122" spans="3:20" x14ac:dyDescent="0.25">
      <c r="C122" s="274"/>
      <c r="E122" s="274"/>
      <c r="F122" s="274"/>
      <c r="G122" s="274"/>
      <c r="H122" s="274"/>
      <c r="I122" s="274"/>
      <c r="J122" s="274"/>
      <c r="K122" s="274"/>
      <c r="L122" s="274"/>
      <c r="M122" s="274"/>
      <c r="N122" s="274"/>
      <c r="O122" s="274"/>
      <c r="P122" s="274"/>
      <c r="Q122" s="274"/>
      <c r="R122" s="274"/>
      <c r="S122" s="274"/>
      <c r="T122" s="274"/>
    </row>
    <row r="123" spans="3:20" x14ac:dyDescent="0.25">
      <c r="C123" s="274"/>
      <c r="E123" s="274"/>
      <c r="F123" s="274"/>
      <c r="G123" s="274"/>
      <c r="H123" s="274"/>
      <c r="I123" s="274"/>
      <c r="J123" s="274"/>
      <c r="K123" s="274"/>
      <c r="L123" s="274"/>
      <c r="M123" s="274"/>
      <c r="N123" s="274"/>
      <c r="O123" s="274"/>
      <c r="P123" s="274"/>
      <c r="Q123" s="274"/>
      <c r="R123" s="274"/>
      <c r="S123" s="274"/>
      <c r="T123" s="274"/>
    </row>
    <row r="124" spans="3:20" x14ac:dyDescent="0.25">
      <c r="C124" s="274"/>
      <c r="E124" s="274"/>
      <c r="F124" s="274"/>
      <c r="G124" s="274"/>
      <c r="H124" s="274"/>
      <c r="I124" s="274"/>
      <c r="J124" s="274"/>
      <c r="K124" s="274"/>
      <c r="L124" s="274"/>
      <c r="M124" s="274"/>
      <c r="N124" s="274"/>
      <c r="O124" s="274"/>
      <c r="P124" s="274"/>
      <c r="Q124" s="274"/>
      <c r="R124" s="274"/>
      <c r="S124" s="274"/>
      <c r="T124" s="274"/>
    </row>
    <row r="125" spans="3:20" x14ac:dyDescent="0.25">
      <c r="C125" s="274"/>
      <c r="E125" s="274"/>
      <c r="F125" s="274"/>
      <c r="G125" s="274"/>
      <c r="H125" s="274"/>
      <c r="I125" s="274"/>
      <c r="J125" s="274"/>
      <c r="K125" s="274"/>
      <c r="L125" s="274"/>
      <c r="M125" s="274"/>
      <c r="N125" s="274"/>
      <c r="O125" s="274"/>
      <c r="P125" s="274"/>
      <c r="Q125" s="274"/>
      <c r="R125" s="274"/>
      <c r="S125" s="274"/>
      <c r="T125" s="274"/>
    </row>
    <row r="126" spans="3:20" x14ac:dyDescent="0.25">
      <c r="C126" s="274"/>
      <c r="E126" s="274"/>
      <c r="F126" s="274"/>
      <c r="G126" s="274"/>
      <c r="H126" s="274"/>
      <c r="I126" s="274"/>
      <c r="J126" s="274"/>
      <c r="K126" s="274"/>
      <c r="L126" s="274"/>
      <c r="M126" s="274"/>
      <c r="N126" s="274"/>
      <c r="O126" s="274"/>
      <c r="P126" s="274"/>
      <c r="Q126" s="274"/>
      <c r="R126" s="274"/>
      <c r="S126" s="274"/>
      <c r="T126" s="274"/>
    </row>
    <row r="127" spans="3:20" x14ac:dyDescent="0.25">
      <c r="C127" s="274"/>
      <c r="E127" s="274"/>
      <c r="F127" s="274"/>
      <c r="G127" s="274"/>
      <c r="H127" s="274"/>
      <c r="I127" s="274"/>
      <c r="J127" s="274"/>
      <c r="K127" s="274"/>
      <c r="L127" s="274"/>
      <c r="M127" s="274"/>
      <c r="N127" s="274"/>
      <c r="O127" s="274"/>
      <c r="P127" s="274"/>
      <c r="Q127" s="274"/>
      <c r="R127" s="274"/>
      <c r="S127" s="274"/>
      <c r="T127" s="274"/>
    </row>
    <row r="128" spans="3:20" x14ac:dyDescent="0.25">
      <c r="C128" s="274"/>
      <c r="E128" s="274"/>
      <c r="F128" s="274"/>
      <c r="G128" s="274"/>
      <c r="H128" s="274"/>
      <c r="I128" s="274"/>
      <c r="J128" s="274"/>
      <c r="K128" s="274"/>
      <c r="L128" s="274"/>
      <c r="M128" s="274"/>
      <c r="N128" s="274"/>
      <c r="O128" s="274"/>
      <c r="P128" s="274"/>
      <c r="Q128" s="274"/>
      <c r="R128" s="274"/>
      <c r="S128" s="274"/>
      <c r="T128" s="274"/>
    </row>
    <row r="129" spans="3:20" x14ac:dyDescent="0.25">
      <c r="C129" s="274"/>
      <c r="E129" s="274"/>
      <c r="F129" s="274"/>
      <c r="G129" s="274"/>
      <c r="H129" s="274"/>
      <c r="I129" s="274"/>
      <c r="J129" s="274"/>
      <c r="K129" s="274"/>
      <c r="L129" s="274"/>
      <c r="M129" s="274"/>
      <c r="N129" s="274"/>
      <c r="O129" s="274"/>
      <c r="P129" s="274"/>
      <c r="Q129" s="274"/>
      <c r="R129" s="274"/>
      <c r="S129" s="274"/>
      <c r="T129" s="274"/>
    </row>
    <row r="130" spans="3:20" x14ac:dyDescent="0.25">
      <c r="C130" s="274"/>
      <c r="E130" s="274"/>
      <c r="F130" s="274"/>
      <c r="G130" s="274"/>
      <c r="H130" s="274"/>
      <c r="I130" s="274"/>
      <c r="J130" s="274"/>
      <c r="K130" s="274"/>
      <c r="L130" s="274"/>
      <c r="M130" s="274"/>
      <c r="N130" s="274"/>
      <c r="O130" s="274"/>
      <c r="P130" s="274"/>
      <c r="Q130" s="274"/>
      <c r="R130" s="274"/>
      <c r="S130" s="274"/>
      <c r="T130" s="274"/>
    </row>
    <row r="131" spans="3:20" x14ac:dyDescent="0.25">
      <c r="C131" s="274"/>
      <c r="E131" s="274"/>
      <c r="F131" s="274"/>
      <c r="G131" s="274"/>
      <c r="H131" s="274"/>
      <c r="I131" s="274"/>
      <c r="J131" s="274"/>
      <c r="K131" s="274"/>
      <c r="L131" s="274"/>
      <c r="M131" s="274"/>
      <c r="N131" s="274"/>
      <c r="O131" s="274"/>
      <c r="P131" s="274"/>
      <c r="Q131" s="274"/>
      <c r="R131" s="274"/>
      <c r="S131" s="274"/>
      <c r="T131" s="274"/>
    </row>
    <row r="132" spans="3:20" x14ac:dyDescent="0.25">
      <c r="C132" s="274"/>
      <c r="E132" s="274"/>
      <c r="F132" s="274"/>
      <c r="G132" s="274"/>
      <c r="H132" s="274"/>
      <c r="I132" s="274"/>
      <c r="J132" s="274"/>
      <c r="K132" s="274"/>
      <c r="L132" s="274"/>
      <c r="M132" s="274"/>
      <c r="N132" s="274"/>
      <c r="O132" s="274"/>
      <c r="P132" s="274"/>
      <c r="Q132" s="274"/>
      <c r="R132" s="274"/>
      <c r="S132" s="274"/>
      <c r="T132" s="274"/>
    </row>
    <row r="133" spans="3:20" x14ac:dyDescent="0.25">
      <c r="C133" s="274"/>
      <c r="E133" s="274"/>
      <c r="F133" s="274"/>
      <c r="G133" s="274"/>
      <c r="H133" s="274"/>
      <c r="I133" s="274"/>
      <c r="J133" s="274"/>
      <c r="K133" s="274"/>
      <c r="L133" s="274"/>
      <c r="M133" s="274"/>
      <c r="N133" s="274"/>
      <c r="O133" s="274"/>
      <c r="P133" s="274"/>
      <c r="Q133" s="274"/>
      <c r="R133" s="274"/>
      <c r="S133" s="274"/>
      <c r="T133" s="274"/>
    </row>
    <row r="134" spans="3:20" x14ac:dyDescent="0.25">
      <c r="C134" s="274"/>
      <c r="E134" s="274"/>
      <c r="F134" s="274"/>
      <c r="G134" s="274"/>
      <c r="H134" s="274"/>
      <c r="I134" s="274"/>
      <c r="J134" s="274"/>
      <c r="K134" s="274"/>
      <c r="L134" s="274"/>
      <c r="M134" s="274"/>
      <c r="N134" s="274"/>
      <c r="O134" s="274"/>
      <c r="P134" s="274"/>
      <c r="Q134" s="274"/>
      <c r="R134" s="274"/>
      <c r="S134" s="274"/>
      <c r="T134" s="274"/>
    </row>
    <row r="135" spans="3:20" x14ac:dyDescent="0.25">
      <c r="C135" s="274"/>
      <c r="E135" s="274"/>
      <c r="F135" s="274"/>
      <c r="G135" s="274"/>
      <c r="H135" s="274"/>
      <c r="I135" s="274"/>
      <c r="J135" s="274"/>
      <c r="K135" s="274"/>
      <c r="L135" s="274"/>
      <c r="M135" s="274"/>
      <c r="N135" s="274"/>
      <c r="O135" s="274"/>
      <c r="P135" s="274"/>
      <c r="Q135" s="274"/>
      <c r="R135" s="274"/>
      <c r="S135" s="274"/>
      <c r="T135" s="274"/>
    </row>
    <row r="136" spans="3:20" x14ac:dyDescent="0.25">
      <c r="C136" s="274"/>
      <c r="E136" s="274"/>
      <c r="F136" s="274"/>
      <c r="G136" s="274"/>
      <c r="H136" s="274"/>
      <c r="I136" s="274"/>
      <c r="J136" s="274"/>
      <c r="K136" s="274"/>
      <c r="L136" s="274"/>
      <c r="M136" s="274"/>
      <c r="N136" s="274"/>
      <c r="O136" s="274"/>
      <c r="P136" s="274"/>
      <c r="Q136" s="274"/>
      <c r="R136" s="274"/>
      <c r="S136" s="274"/>
      <c r="T136" s="274"/>
    </row>
    <row r="137" spans="3:20" x14ac:dyDescent="0.25">
      <c r="C137" s="274"/>
      <c r="E137" s="274"/>
      <c r="F137" s="274"/>
      <c r="G137" s="274"/>
      <c r="H137" s="274"/>
      <c r="I137" s="274"/>
      <c r="J137" s="274"/>
      <c r="K137" s="274"/>
      <c r="L137" s="274"/>
      <c r="M137" s="274"/>
      <c r="N137" s="274"/>
      <c r="O137" s="274"/>
      <c r="P137" s="274"/>
      <c r="Q137" s="274"/>
      <c r="R137" s="274"/>
      <c r="S137" s="274"/>
      <c r="T137" s="274"/>
    </row>
    <row r="138" spans="3:20" x14ac:dyDescent="0.25">
      <c r="C138" s="274"/>
      <c r="E138" s="274"/>
      <c r="F138" s="274"/>
      <c r="G138" s="274"/>
      <c r="H138" s="274"/>
      <c r="I138" s="274"/>
      <c r="J138" s="274"/>
      <c r="K138" s="274"/>
      <c r="L138" s="274"/>
      <c r="M138" s="274"/>
      <c r="N138" s="274"/>
      <c r="O138" s="274"/>
      <c r="P138" s="274"/>
      <c r="Q138" s="274"/>
      <c r="R138" s="274"/>
      <c r="S138" s="274"/>
      <c r="T138" s="274"/>
    </row>
    <row r="139" spans="3:20" x14ac:dyDescent="0.25">
      <c r="C139" s="274"/>
      <c r="E139" s="274"/>
      <c r="F139" s="274"/>
      <c r="G139" s="274"/>
      <c r="H139" s="274"/>
      <c r="I139" s="274"/>
      <c r="J139" s="274"/>
      <c r="K139" s="274"/>
      <c r="L139" s="274"/>
      <c r="M139" s="274"/>
      <c r="N139" s="274"/>
      <c r="O139" s="274"/>
      <c r="P139" s="274"/>
      <c r="Q139" s="274"/>
      <c r="R139" s="274"/>
      <c r="S139" s="274"/>
      <c r="T139" s="274"/>
    </row>
    <row r="140" spans="3:20" x14ac:dyDescent="0.25">
      <c r="C140" s="274"/>
      <c r="E140" s="274"/>
      <c r="F140" s="274"/>
      <c r="G140" s="274"/>
      <c r="H140" s="274"/>
      <c r="I140" s="274"/>
      <c r="J140" s="274"/>
      <c r="K140" s="274"/>
      <c r="L140" s="274"/>
      <c r="M140" s="274"/>
      <c r="N140" s="274"/>
      <c r="O140" s="274"/>
      <c r="P140" s="274"/>
      <c r="Q140" s="274"/>
      <c r="R140" s="274"/>
      <c r="S140" s="274"/>
      <c r="T140" s="274"/>
    </row>
    <row r="141" spans="3:20" x14ac:dyDescent="0.25">
      <c r="C141" s="274"/>
      <c r="E141" s="274"/>
      <c r="F141" s="274"/>
      <c r="G141" s="274"/>
      <c r="H141" s="274"/>
      <c r="I141" s="274"/>
      <c r="J141" s="274"/>
      <c r="K141" s="274"/>
      <c r="L141" s="274"/>
      <c r="M141" s="274"/>
      <c r="N141" s="274"/>
      <c r="O141" s="274"/>
      <c r="P141" s="274"/>
      <c r="Q141" s="274"/>
      <c r="R141" s="274"/>
      <c r="S141" s="274"/>
      <c r="T141" s="274"/>
    </row>
    <row r="142" spans="3:20" x14ac:dyDescent="0.25">
      <c r="C142" s="274"/>
      <c r="E142" s="274"/>
      <c r="F142" s="274"/>
      <c r="G142" s="274"/>
      <c r="H142" s="274"/>
      <c r="I142" s="274"/>
      <c r="J142" s="274"/>
      <c r="K142" s="274"/>
      <c r="L142" s="274"/>
      <c r="M142" s="274"/>
      <c r="N142" s="274"/>
      <c r="O142" s="274"/>
      <c r="P142" s="274"/>
      <c r="Q142" s="274"/>
      <c r="R142" s="274"/>
      <c r="S142" s="274"/>
      <c r="T142" s="274"/>
    </row>
    <row r="143" spans="3:20" x14ac:dyDescent="0.25">
      <c r="C143" s="274"/>
      <c r="E143" s="274"/>
      <c r="F143" s="274"/>
      <c r="G143" s="274"/>
      <c r="H143" s="274"/>
      <c r="I143" s="274"/>
      <c r="J143" s="274"/>
      <c r="K143" s="274"/>
      <c r="L143" s="274"/>
      <c r="M143" s="274"/>
      <c r="N143" s="274"/>
      <c r="O143" s="274"/>
      <c r="P143" s="274"/>
      <c r="Q143" s="274"/>
      <c r="R143" s="274"/>
      <c r="S143" s="274"/>
      <c r="T143" s="274"/>
    </row>
    <row r="144" spans="3:20" x14ac:dyDescent="0.25">
      <c r="C144" s="274"/>
      <c r="E144" s="274"/>
      <c r="F144" s="274"/>
      <c r="G144" s="274"/>
      <c r="H144" s="274"/>
      <c r="I144" s="274"/>
      <c r="J144" s="274"/>
      <c r="K144" s="274"/>
      <c r="L144" s="274"/>
      <c r="M144" s="274"/>
      <c r="N144" s="274"/>
      <c r="O144" s="274"/>
      <c r="P144" s="274"/>
      <c r="Q144" s="274"/>
      <c r="R144" s="274"/>
      <c r="S144" s="274"/>
      <c r="T144" s="274"/>
    </row>
    <row r="145" spans="3:20" x14ac:dyDescent="0.25">
      <c r="C145" s="274"/>
      <c r="E145" s="274"/>
      <c r="F145" s="274"/>
      <c r="G145" s="274"/>
      <c r="H145" s="274"/>
      <c r="I145" s="274"/>
      <c r="J145" s="274"/>
      <c r="K145" s="274"/>
      <c r="L145" s="274"/>
      <c r="M145" s="274"/>
      <c r="N145" s="274"/>
      <c r="O145" s="274"/>
      <c r="P145" s="274"/>
      <c r="Q145" s="274"/>
      <c r="R145" s="274"/>
      <c r="S145" s="274"/>
      <c r="T145" s="274"/>
    </row>
    <row r="146" spans="3:20" x14ac:dyDescent="0.25">
      <c r="C146" s="274"/>
      <c r="E146" s="274"/>
      <c r="F146" s="274"/>
      <c r="G146" s="274"/>
      <c r="H146" s="274"/>
      <c r="I146" s="274"/>
      <c r="J146" s="274"/>
      <c r="K146" s="274"/>
      <c r="L146" s="274"/>
      <c r="M146" s="274"/>
      <c r="N146" s="274"/>
      <c r="O146" s="274"/>
      <c r="P146" s="274"/>
      <c r="Q146" s="274"/>
      <c r="R146" s="274"/>
      <c r="S146" s="274"/>
      <c r="T146" s="274"/>
    </row>
    <row r="147" spans="3:20" x14ac:dyDescent="0.25">
      <c r="C147" s="274"/>
      <c r="E147" s="274"/>
      <c r="F147" s="274"/>
      <c r="G147" s="274"/>
      <c r="H147" s="274"/>
      <c r="I147" s="274"/>
      <c r="J147" s="274"/>
      <c r="K147" s="274"/>
      <c r="L147" s="274"/>
      <c r="M147" s="274"/>
      <c r="N147" s="274"/>
      <c r="O147" s="274"/>
      <c r="P147" s="274"/>
      <c r="Q147" s="274"/>
      <c r="R147" s="274"/>
      <c r="S147" s="274"/>
      <c r="T147" s="274"/>
    </row>
    <row r="148" spans="3:20" x14ac:dyDescent="0.25">
      <c r="C148" s="274"/>
      <c r="E148" s="274"/>
      <c r="F148" s="274"/>
      <c r="G148" s="274"/>
      <c r="H148" s="274"/>
      <c r="I148" s="274"/>
      <c r="J148" s="274"/>
      <c r="K148" s="274"/>
      <c r="L148" s="274"/>
      <c r="M148" s="274"/>
      <c r="N148" s="274"/>
      <c r="O148" s="274"/>
      <c r="P148" s="274"/>
      <c r="Q148" s="274"/>
      <c r="R148" s="274"/>
      <c r="S148" s="274"/>
      <c r="T148" s="274"/>
    </row>
    <row r="149" spans="3:20" x14ac:dyDescent="0.25">
      <c r="C149" s="274"/>
      <c r="E149" s="274"/>
      <c r="F149" s="274"/>
      <c r="G149" s="274"/>
      <c r="H149" s="274"/>
      <c r="I149" s="274"/>
      <c r="J149" s="274"/>
      <c r="K149" s="274"/>
      <c r="L149" s="274"/>
      <c r="M149" s="274"/>
      <c r="N149" s="274"/>
      <c r="O149" s="274"/>
      <c r="P149" s="274"/>
      <c r="Q149" s="274"/>
      <c r="R149" s="274"/>
      <c r="S149" s="274"/>
      <c r="T149" s="274"/>
    </row>
    <row r="150" spans="3:20" x14ac:dyDescent="0.25">
      <c r="C150" s="274"/>
      <c r="E150" s="274"/>
      <c r="F150" s="274"/>
      <c r="G150" s="274"/>
      <c r="H150" s="274"/>
      <c r="I150" s="274"/>
      <c r="J150" s="274"/>
      <c r="K150" s="274"/>
      <c r="L150" s="274"/>
      <c r="M150" s="274"/>
      <c r="N150" s="274"/>
      <c r="O150" s="274"/>
      <c r="P150" s="274"/>
      <c r="Q150" s="274"/>
      <c r="R150" s="274"/>
      <c r="S150" s="274"/>
      <c r="T150" s="274"/>
    </row>
    <row r="151" spans="3:20" x14ac:dyDescent="0.25">
      <c r="C151" s="274"/>
    </row>
    <row r="152" spans="3:20" x14ac:dyDescent="0.25">
      <c r="C152" s="274"/>
    </row>
    <row r="153" spans="3:20" x14ac:dyDescent="0.25">
      <c r="C153" s="274"/>
    </row>
    <row r="154" spans="3:20" x14ac:dyDescent="0.25">
      <c r="C154" s="274"/>
    </row>
  </sheetData>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3"/>
  <sheetViews>
    <sheetView showGridLines="0" zoomScale="80" zoomScaleNormal="80" workbookViewId="0">
      <pane ySplit="2" topLeftCell="A3" activePane="bottomLeft" state="frozen"/>
      <selection pane="bottomLeft"/>
    </sheetView>
  </sheetViews>
  <sheetFormatPr defaultRowHeight="15" x14ac:dyDescent="0.25"/>
  <cols>
    <col min="1" max="2" width="3.625" style="223" customWidth="1"/>
    <col min="3" max="3" width="43.875" style="223" bestFit="1" customWidth="1"/>
    <col min="4" max="4" width="36.625" customWidth="1"/>
    <col min="5" max="18" width="13.5" style="223" customWidth="1"/>
  </cols>
  <sheetData>
    <row r="1" spans="1:26" ht="38.450000000000003" customHeight="1" x14ac:dyDescent="0.25">
      <c r="E1" s="249"/>
      <c r="F1" s="249"/>
      <c r="G1" s="249"/>
      <c r="H1" s="249"/>
      <c r="I1" s="249"/>
      <c r="J1" s="249"/>
      <c r="K1" s="249"/>
      <c r="L1" s="249"/>
      <c r="M1" s="249"/>
      <c r="N1" s="249"/>
      <c r="O1" s="249"/>
      <c r="P1" s="249"/>
      <c r="Q1" s="249"/>
      <c r="R1" s="280"/>
    </row>
    <row r="2" spans="1:26" s="223" customFormat="1" ht="33.75" customHeight="1" x14ac:dyDescent="0.25">
      <c r="C2" s="227" t="s">
        <v>1040</v>
      </c>
      <c r="D2" s="227" t="s">
        <v>1088</v>
      </c>
      <c r="E2" s="89" t="s">
        <v>1091</v>
      </c>
      <c r="F2" s="89" t="s">
        <v>1009</v>
      </c>
      <c r="G2" s="89" t="s">
        <v>1006</v>
      </c>
      <c r="H2" s="89" t="s">
        <v>1004</v>
      </c>
      <c r="I2" s="89">
        <v>2024</v>
      </c>
      <c r="J2" s="89" t="s">
        <v>896</v>
      </c>
      <c r="K2" s="89" t="s">
        <v>895</v>
      </c>
      <c r="L2" s="89" t="s">
        <v>876</v>
      </c>
      <c r="M2" s="89">
        <v>2023</v>
      </c>
      <c r="N2" s="89" t="s">
        <v>837</v>
      </c>
      <c r="O2" s="89" t="s">
        <v>822</v>
      </c>
      <c r="P2" s="89" t="s">
        <v>762</v>
      </c>
      <c r="Q2" s="89">
        <v>2022</v>
      </c>
      <c r="R2" s="279"/>
      <c r="S2" s="224"/>
      <c r="T2" s="224"/>
      <c r="U2" s="224"/>
      <c r="V2" s="224"/>
      <c r="W2" s="224"/>
      <c r="X2" s="224"/>
      <c r="Y2" s="224"/>
      <c r="Z2" s="224"/>
    </row>
    <row r="3" spans="1:26" s="283" customFormat="1" x14ac:dyDescent="0.25">
      <c r="A3" s="274"/>
      <c r="B3" s="274"/>
      <c r="C3" s="232" t="s">
        <v>18</v>
      </c>
      <c r="D3" s="232" t="s">
        <v>1077</v>
      </c>
      <c r="E3" s="277">
        <v>1814383</v>
      </c>
      <c r="F3" s="277">
        <v>1481025</v>
      </c>
      <c r="G3" s="277">
        <v>1428082</v>
      </c>
      <c r="H3" s="277">
        <v>1278522</v>
      </c>
      <c r="I3" s="277">
        <v>1605473</v>
      </c>
      <c r="J3" s="277">
        <v>1329209</v>
      </c>
      <c r="K3" s="277">
        <v>1332636</v>
      </c>
      <c r="L3" s="277">
        <v>1327241</v>
      </c>
      <c r="M3" s="277">
        <v>1597414</v>
      </c>
      <c r="N3" s="277">
        <v>1555167</v>
      </c>
      <c r="O3" s="277">
        <v>1256228</v>
      </c>
      <c r="P3" s="277">
        <v>1321185</v>
      </c>
      <c r="Q3" s="277">
        <v>1711003</v>
      </c>
      <c r="R3" s="277"/>
    </row>
    <row r="4" spans="1:26" s="283" customFormat="1" x14ac:dyDescent="0.25">
      <c r="A4" s="274"/>
      <c r="B4" s="274"/>
      <c r="C4" s="232" t="s">
        <v>1041</v>
      </c>
      <c r="D4" s="232" t="s">
        <v>1078</v>
      </c>
      <c r="E4" s="277">
        <v>364190</v>
      </c>
      <c r="F4" s="277">
        <v>289321</v>
      </c>
      <c r="G4" s="277">
        <v>250958</v>
      </c>
      <c r="H4" s="277">
        <v>263416</v>
      </c>
      <c r="I4" s="277">
        <v>300299</v>
      </c>
      <c r="J4" s="277">
        <v>361768</v>
      </c>
      <c r="K4" s="277">
        <v>448828</v>
      </c>
      <c r="L4" s="277">
        <v>395109</v>
      </c>
      <c r="M4" s="277">
        <v>429716</v>
      </c>
      <c r="N4" s="277">
        <v>459888</v>
      </c>
      <c r="O4" s="277">
        <v>445657</v>
      </c>
      <c r="P4" s="277">
        <v>411038</v>
      </c>
      <c r="Q4" s="277">
        <v>574406</v>
      </c>
      <c r="R4" s="277"/>
    </row>
    <row r="5" spans="1:26" s="283" customFormat="1" x14ac:dyDescent="0.25">
      <c r="A5" s="274"/>
      <c r="B5" s="274"/>
      <c r="C5" s="232" t="s">
        <v>20</v>
      </c>
      <c r="D5" s="232" t="s">
        <v>1079</v>
      </c>
      <c r="E5" s="277">
        <v>2030987</v>
      </c>
      <c r="F5" s="277">
        <v>2067502</v>
      </c>
      <c r="G5" s="277">
        <v>1894080</v>
      </c>
      <c r="H5" s="277">
        <v>1784886</v>
      </c>
      <c r="I5" s="277">
        <v>1665936</v>
      </c>
      <c r="J5" s="277">
        <v>1888703</v>
      </c>
      <c r="K5" s="277">
        <v>1815259</v>
      </c>
      <c r="L5" s="277">
        <v>1799471</v>
      </c>
      <c r="M5" s="277">
        <v>1699339</v>
      </c>
      <c r="N5" s="277">
        <v>1959912</v>
      </c>
      <c r="O5" s="277">
        <v>2080859</v>
      </c>
      <c r="P5" s="277">
        <v>2008393</v>
      </c>
      <c r="Q5" s="277">
        <v>1810446</v>
      </c>
      <c r="R5" s="277"/>
    </row>
    <row r="6" spans="1:26" s="283" customFormat="1" x14ac:dyDescent="0.25">
      <c r="A6" s="274"/>
      <c r="B6" s="274"/>
      <c r="C6" s="232" t="s">
        <v>841</v>
      </c>
      <c r="D6" s="232" t="s">
        <v>1080</v>
      </c>
      <c r="E6" s="277">
        <v>179861</v>
      </c>
      <c r="F6" s="277">
        <v>165843</v>
      </c>
      <c r="G6" s="277">
        <v>169464</v>
      </c>
      <c r="H6" s="277">
        <v>161812</v>
      </c>
      <c r="I6" s="277">
        <v>140072</v>
      </c>
      <c r="J6" s="277">
        <v>157827</v>
      </c>
      <c r="K6" s="277">
        <v>163171</v>
      </c>
      <c r="L6" s="277">
        <v>121388</v>
      </c>
      <c r="M6" s="277">
        <v>86341</v>
      </c>
      <c r="N6" s="277">
        <v>109294</v>
      </c>
      <c r="O6" s="277">
        <v>120335</v>
      </c>
      <c r="P6" s="277">
        <v>120444</v>
      </c>
      <c r="Q6" s="277">
        <v>81597</v>
      </c>
      <c r="R6" s="277"/>
    </row>
    <row r="7" spans="1:26" s="283" customFormat="1" x14ac:dyDescent="0.25">
      <c r="A7" s="274"/>
      <c r="B7" s="274"/>
      <c r="C7" s="285" t="s">
        <v>1042</v>
      </c>
      <c r="D7" s="285" t="s">
        <v>1087</v>
      </c>
      <c r="E7" s="286">
        <v>4389421</v>
      </c>
      <c r="F7" s="286">
        <v>4003691</v>
      </c>
      <c r="G7" s="286">
        <v>3742584</v>
      </c>
      <c r="H7" s="286">
        <v>3488636</v>
      </c>
      <c r="I7" s="286">
        <v>3711780</v>
      </c>
      <c r="J7" s="286">
        <v>3737507</v>
      </c>
      <c r="K7" s="286">
        <v>3759894</v>
      </c>
      <c r="L7" s="286">
        <v>3643209</v>
      </c>
      <c r="M7" s="286">
        <v>3812810</v>
      </c>
      <c r="N7" s="286">
        <v>4084261</v>
      </c>
      <c r="O7" s="286">
        <v>3903079</v>
      </c>
      <c r="P7" s="286">
        <v>3861060</v>
      </c>
      <c r="Q7" s="286">
        <v>4177452</v>
      </c>
      <c r="R7" s="277"/>
    </row>
    <row r="8" spans="1:26" s="283" customFormat="1" x14ac:dyDescent="0.25">
      <c r="A8" s="274"/>
      <c r="B8" s="274"/>
      <c r="C8" s="232" t="s">
        <v>872</v>
      </c>
      <c r="D8" s="232" t="s">
        <v>1081</v>
      </c>
      <c r="E8" s="277">
        <v>268676</v>
      </c>
      <c r="F8" s="277">
        <v>178244</v>
      </c>
      <c r="G8" s="277">
        <v>175635</v>
      </c>
      <c r="H8" s="277">
        <v>163223</v>
      </c>
      <c r="I8" s="277">
        <v>209481</v>
      </c>
      <c r="J8" s="277">
        <v>165297</v>
      </c>
      <c r="K8" s="277">
        <v>170919</v>
      </c>
      <c r="L8" s="277">
        <v>106484</v>
      </c>
      <c r="M8" s="277">
        <v>125875</v>
      </c>
      <c r="N8" s="277">
        <v>159108</v>
      </c>
      <c r="O8" s="277">
        <v>162535</v>
      </c>
      <c r="P8" s="277">
        <v>158606</v>
      </c>
      <c r="Q8" s="277">
        <v>140744</v>
      </c>
      <c r="R8" s="277"/>
    </row>
    <row r="9" spans="1:26" s="283" customFormat="1" x14ac:dyDescent="0.25">
      <c r="A9" s="274"/>
      <c r="B9" s="274"/>
      <c r="C9" s="232" t="s">
        <v>1043</v>
      </c>
      <c r="D9" s="232" t="s">
        <v>1082</v>
      </c>
      <c r="E9" s="277">
        <v>1519182</v>
      </c>
      <c r="F9" s="277">
        <v>1370266.98</v>
      </c>
      <c r="G9" s="277">
        <v>1215049</v>
      </c>
      <c r="H9" s="277">
        <v>938781</v>
      </c>
      <c r="I9" s="277">
        <v>1051125</v>
      </c>
      <c r="J9" s="277">
        <v>993785.78610000003</v>
      </c>
      <c r="K9" s="277">
        <v>945820</v>
      </c>
      <c r="L9" s="277">
        <v>922330</v>
      </c>
      <c r="M9" s="277">
        <v>1215123</v>
      </c>
      <c r="N9" s="277">
        <v>862243</v>
      </c>
      <c r="O9" s="277">
        <v>1116951</v>
      </c>
      <c r="P9" s="277">
        <v>1050999</v>
      </c>
      <c r="Q9" s="277">
        <v>1655278</v>
      </c>
      <c r="R9" s="277"/>
    </row>
    <row r="10" spans="1:26" s="283" customFormat="1" x14ac:dyDescent="0.25">
      <c r="A10" s="274"/>
      <c r="B10" s="274"/>
      <c r="C10" s="232" t="s">
        <v>54</v>
      </c>
      <c r="D10" s="232" t="s">
        <v>1083</v>
      </c>
      <c r="E10" s="277">
        <v>619373</v>
      </c>
      <c r="F10" s="277">
        <v>667608</v>
      </c>
      <c r="G10" s="277">
        <v>640582</v>
      </c>
      <c r="H10" s="277">
        <v>614147</v>
      </c>
      <c r="I10" s="277">
        <v>625743</v>
      </c>
      <c r="J10" s="277">
        <v>429573</v>
      </c>
      <c r="K10" s="277">
        <v>401306</v>
      </c>
      <c r="L10" s="277">
        <v>355799</v>
      </c>
      <c r="M10" s="277">
        <v>359469</v>
      </c>
      <c r="N10" s="277">
        <v>258773</v>
      </c>
      <c r="O10" s="277">
        <v>219112</v>
      </c>
      <c r="P10" s="277">
        <v>204596</v>
      </c>
      <c r="Q10" s="277">
        <v>225628</v>
      </c>
      <c r="R10" s="281"/>
    </row>
    <row r="11" spans="1:26" s="283" customFormat="1" x14ac:dyDescent="0.25">
      <c r="A11" s="274"/>
      <c r="B11" s="274"/>
      <c r="C11" s="232" t="s">
        <v>1044</v>
      </c>
      <c r="D11" s="232" t="s">
        <v>1084</v>
      </c>
      <c r="E11" s="277">
        <v>248736</v>
      </c>
      <c r="F11" s="277">
        <v>233999</v>
      </c>
      <c r="G11" s="277">
        <v>248262</v>
      </c>
      <c r="H11" s="277">
        <v>240568</v>
      </c>
      <c r="I11" s="277">
        <v>244853</v>
      </c>
      <c r="J11" s="277">
        <v>223592</v>
      </c>
      <c r="K11" s="277">
        <v>219741</v>
      </c>
      <c r="L11" s="277">
        <v>160038</v>
      </c>
      <c r="M11" s="277">
        <v>182918</v>
      </c>
      <c r="N11" s="277">
        <v>194776</v>
      </c>
      <c r="O11" s="277">
        <v>198396</v>
      </c>
      <c r="P11" s="277">
        <v>212459</v>
      </c>
      <c r="Q11" s="277">
        <v>278072</v>
      </c>
      <c r="R11" s="277"/>
    </row>
    <row r="12" spans="1:26" s="283" customFormat="1" x14ac:dyDescent="0.25">
      <c r="A12" s="274"/>
      <c r="B12" s="274"/>
      <c r="C12" s="232" t="s">
        <v>1045</v>
      </c>
      <c r="D12" s="232" t="s">
        <v>1085</v>
      </c>
      <c r="E12" s="277">
        <v>353286</v>
      </c>
      <c r="F12" s="277">
        <v>217183</v>
      </c>
      <c r="G12" s="277">
        <v>176300</v>
      </c>
      <c r="H12" s="277">
        <v>144507</v>
      </c>
      <c r="I12" s="277">
        <v>259307</v>
      </c>
      <c r="J12" s="277">
        <v>232287</v>
      </c>
      <c r="K12" s="277">
        <v>185321</v>
      </c>
      <c r="L12" s="277">
        <v>175290</v>
      </c>
      <c r="M12" s="277">
        <v>174290</v>
      </c>
      <c r="N12" s="277">
        <v>164454</v>
      </c>
      <c r="O12" s="277">
        <v>156742</v>
      </c>
      <c r="P12" s="277">
        <v>192053</v>
      </c>
      <c r="Q12" s="277">
        <v>191851</v>
      </c>
      <c r="R12" s="277"/>
    </row>
    <row r="13" spans="1:26" s="283" customFormat="1" x14ac:dyDescent="0.25">
      <c r="A13" s="274"/>
      <c r="B13" s="274"/>
      <c r="C13" s="232" t="s">
        <v>873</v>
      </c>
      <c r="D13" s="232" t="s">
        <v>1086</v>
      </c>
      <c r="E13" s="233">
        <v>195288</v>
      </c>
      <c r="F13" s="233">
        <v>161239</v>
      </c>
      <c r="G13" s="233">
        <v>152192</v>
      </c>
      <c r="H13" s="277">
        <v>139695</v>
      </c>
      <c r="I13" s="277">
        <v>148459</v>
      </c>
      <c r="J13" s="277">
        <v>142920</v>
      </c>
      <c r="K13" s="277">
        <v>122874</v>
      </c>
      <c r="L13" s="277">
        <v>88425</v>
      </c>
      <c r="M13" s="277">
        <v>97953</v>
      </c>
      <c r="N13" s="277">
        <v>135145</v>
      </c>
      <c r="O13" s="277">
        <v>138100</v>
      </c>
      <c r="P13" s="277">
        <v>198913</v>
      </c>
      <c r="Q13" s="277">
        <v>199881</v>
      </c>
      <c r="R13" s="277"/>
    </row>
    <row r="14" spans="1:26" s="283" customFormat="1" x14ac:dyDescent="0.25">
      <c r="A14" s="274"/>
      <c r="B14" s="274"/>
      <c r="C14" s="239" t="s">
        <v>1046</v>
      </c>
      <c r="D14" s="239" t="s">
        <v>1075</v>
      </c>
      <c r="E14" s="229">
        <v>3204541</v>
      </c>
      <c r="F14" s="229">
        <v>2828539.98</v>
      </c>
      <c r="G14" s="229">
        <v>2608020</v>
      </c>
      <c r="H14" s="229">
        <v>2240921</v>
      </c>
      <c r="I14" s="229">
        <v>2538968</v>
      </c>
      <c r="J14" s="229">
        <v>2187454.7861000001</v>
      </c>
      <c r="K14" s="229">
        <v>2045981</v>
      </c>
      <c r="L14" s="229">
        <v>1808366</v>
      </c>
      <c r="M14" s="229">
        <v>2155628</v>
      </c>
      <c r="N14" s="229">
        <v>1774499</v>
      </c>
      <c r="O14" s="229">
        <v>1991836</v>
      </c>
      <c r="P14" s="229">
        <v>2017626</v>
      </c>
      <c r="Q14" s="229">
        <v>2691454</v>
      </c>
      <c r="R14" s="281"/>
    </row>
    <row r="15" spans="1:26" s="283" customFormat="1" x14ac:dyDescent="0.25">
      <c r="A15" s="274"/>
      <c r="B15" s="274"/>
      <c r="C15" s="239" t="s">
        <v>1047</v>
      </c>
      <c r="D15" s="239" t="s">
        <v>1076</v>
      </c>
      <c r="E15" s="235">
        <v>1184880</v>
      </c>
      <c r="F15" s="235">
        <v>1175151.02</v>
      </c>
      <c r="G15" s="235">
        <v>1134564</v>
      </c>
      <c r="H15" s="235">
        <v>1247715</v>
      </c>
      <c r="I15" s="235">
        <v>1172812</v>
      </c>
      <c r="J15" s="235">
        <v>1550052.2138999999</v>
      </c>
      <c r="K15" s="235">
        <v>1713913</v>
      </c>
      <c r="L15" s="235">
        <v>1834843</v>
      </c>
      <c r="M15" s="235">
        <v>1657182</v>
      </c>
      <c r="N15" s="235">
        <v>2309762</v>
      </c>
      <c r="O15" s="235">
        <v>1911243</v>
      </c>
      <c r="P15" s="235">
        <v>1843434</v>
      </c>
      <c r="Q15" s="235">
        <v>1485998</v>
      </c>
      <c r="R15" s="278"/>
    </row>
    <row r="16" spans="1:26" s="283" customFormat="1" x14ac:dyDescent="0.25">
      <c r="A16" s="274"/>
      <c r="B16" s="274"/>
      <c r="C16" s="274"/>
      <c r="D16" s="272"/>
      <c r="E16" s="278"/>
      <c r="F16" s="278"/>
      <c r="G16" s="278"/>
      <c r="H16" s="278"/>
      <c r="I16" s="278"/>
      <c r="J16" s="278"/>
      <c r="K16" s="278"/>
      <c r="L16" s="278"/>
      <c r="M16" s="278"/>
      <c r="N16" s="278"/>
      <c r="O16" s="278"/>
      <c r="P16" s="278"/>
      <c r="Q16" s="278"/>
      <c r="R16" s="278"/>
    </row>
    <row r="17" spans="1:26" s="283" customFormat="1" x14ac:dyDescent="0.25">
      <c r="A17" s="274"/>
      <c r="B17" s="274"/>
      <c r="C17" s="271"/>
      <c r="D17" s="271"/>
      <c r="E17" s="277"/>
      <c r="F17" s="277"/>
      <c r="G17" s="277"/>
      <c r="H17" s="277"/>
      <c r="I17" s="277"/>
      <c r="J17" s="277"/>
      <c r="K17" s="277"/>
      <c r="L17" s="277"/>
      <c r="M17" s="277"/>
      <c r="N17" s="277"/>
      <c r="O17" s="277"/>
      <c r="P17" s="277"/>
      <c r="Q17" s="277"/>
      <c r="R17" s="277"/>
    </row>
    <row r="18" spans="1:26" s="283" customFormat="1" x14ac:dyDescent="0.25">
      <c r="A18" s="274"/>
      <c r="B18" s="274"/>
      <c r="C18" s="271"/>
      <c r="D18" s="271"/>
      <c r="E18" s="277"/>
      <c r="F18" s="277"/>
      <c r="G18" s="277"/>
      <c r="H18" s="277"/>
      <c r="I18" s="277"/>
      <c r="J18" s="277"/>
      <c r="K18" s="277"/>
      <c r="L18" s="277"/>
      <c r="M18" s="277"/>
      <c r="N18" s="277"/>
      <c r="O18" s="277"/>
      <c r="P18" s="277"/>
      <c r="Q18" s="277"/>
      <c r="R18" s="277"/>
    </row>
    <row r="19" spans="1:26" s="283" customFormat="1" x14ac:dyDescent="0.25">
      <c r="A19" s="274"/>
      <c r="B19" s="274"/>
      <c r="C19" s="271"/>
      <c r="D19" s="271"/>
      <c r="E19" s="277"/>
      <c r="F19" s="277"/>
      <c r="G19" s="277"/>
      <c r="H19" s="277"/>
      <c r="I19" s="277"/>
      <c r="J19" s="277"/>
      <c r="K19" s="277"/>
      <c r="L19" s="277"/>
      <c r="M19" s="277"/>
      <c r="N19" s="277"/>
      <c r="O19" s="277"/>
      <c r="P19" s="277"/>
      <c r="Q19" s="277"/>
      <c r="R19" s="277"/>
    </row>
    <row r="20" spans="1:26" s="283" customFormat="1" x14ac:dyDescent="0.25">
      <c r="A20" s="274"/>
      <c r="B20" s="274"/>
      <c r="C20" s="271"/>
      <c r="D20" s="271"/>
      <c r="E20" s="277"/>
      <c r="F20" s="277"/>
      <c r="G20" s="277"/>
      <c r="H20" s="277"/>
      <c r="I20" s="277"/>
      <c r="J20" s="277"/>
      <c r="K20" s="277"/>
      <c r="L20" s="277"/>
      <c r="M20" s="277"/>
      <c r="N20" s="277"/>
      <c r="O20" s="277"/>
      <c r="P20" s="277"/>
      <c r="Q20" s="277"/>
      <c r="R20" s="277"/>
    </row>
    <row r="21" spans="1:26" s="283" customFormat="1" ht="14.25" x14ac:dyDescent="0.2">
      <c r="A21" s="238"/>
      <c r="B21" s="238"/>
      <c r="C21" s="271"/>
      <c r="D21" s="271"/>
      <c r="E21" s="277"/>
      <c r="F21" s="277"/>
      <c r="G21" s="277"/>
      <c r="H21" s="277"/>
      <c r="I21" s="277"/>
      <c r="J21" s="277"/>
      <c r="K21" s="277"/>
      <c r="L21" s="277"/>
      <c r="M21" s="277"/>
      <c r="N21" s="277"/>
      <c r="O21" s="277"/>
      <c r="P21" s="277"/>
      <c r="Q21" s="277"/>
      <c r="R21" s="277"/>
    </row>
    <row r="22" spans="1:26" s="283" customFormat="1" x14ac:dyDescent="0.25">
      <c r="A22" s="274"/>
      <c r="B22" s="274"/>
      <c r="C22" s="284"/>
      <c r="D22" s="284"/>
      <c r="E22" s="281"/>
      <c r="F22" s="281"/>
      <c r="G22" s="281"/>
      <c r="H22" s="281"/>
      <c r="I22" s="281"/>
      <c r="J22" s="281"/>
      <c r="K22" s="281"/>
      <c r="L22" s="281"/>
      <c r="M22" s="281"/>
      <c r="N22" s="281"/>
      <c r="O22" s="281"/>
      <c r="P22" s="281"/>
      <c r="Q22" s="281"/>
      <c r="R22" s="281"/>
    </row>
    <row r="23" spans="1:26" s="283" customFormat="1" x14ac:dyDescent="0.25">
      <c r="A23" s="274"/>
      <c r="B23" s="274"/>
      <c r="C23" s="271"/>
      <c r="D23" s="271"/>
      <c r="E23" s="277"/>
      <c r="F23" s="277"/>
      <c r="G23" s="277"/>
      <c r="H23" s="277"/>
      <c r="I23" s="277"/>
      <c r="J23" s="277"/>
      <c r="K23" s="277"/>
      <c r="L23" s="277"/>
      <c r="M23" s="277"/>
      <c r="N23" s="277"/>
      <c r="O23" s="277"/>
      <c r="P23" s="277"/>
      <c r="Q23" s="277"/>
      <c r="R23" s="277"/>
    </row>
    <row r="24" spans="1:26" s="283" customFormat="1" x14ac:dyDescent="0.25">
      <c r="A24" s="274"/>
      <c r="B24" s="274"/>
      <c r="C24" s="284"/>
      <c r="D24" s="284"/>
      <c r="E24" s="281"/>
      <c r="F24" s="281"/>
      <c r="G24" s="281"/>
      <c r="H24" s="281"/>
      <c r="I24" s="281"/>
      <c r="J24" s="281"/>
      <c r="K24" s="281"/>
      <c r="L24" s="281"/>
      <c r="M24" s="281"/>
      <c r="N24" s="281"/>
      <c r="O24" s="281"/>
      <c r="P24" s="281"/>
      <c r="Q24" s="281"/>
      <c r="R24" s="281"/>
    </row>
    <row r="25" spans="1:26" s="283" customFormat="1" x14ac:dyDescent="0.25">
      <c r="A25" s="274"/>
      <c r="B25" s="274"/>
      <c r="C25" s="271"/>
      <c r="D25" s="271"/>
      <c r="E25" s="277"/>
      <c r="F25" s="277"/>
      <c r="G25" s="277"/>
      <c r="H25" s="277"/>
      <c r="I25" s="277"/>
      <c r="J25" s="277"/>
      <c r="K25" s="277"/>
      <c r="L25" s="277"/>
      <c r="M25" s="277"/>
      <c r="N25" s="277"/>
      <c r="O25" s="277"/>
      <c r="P25" s="277"/>
      <c r="Q25" s="277"/>
      <c r="R25" s="277"/>
    </row>
    <row r="26" spans="1:26" s="283" customFormat="1" x14ac:dyDescent="0.25">
      <c r="A26" s="274"/>
      <c r="B26" s="274"/>
      <c r="C26" s="271"/>
      <c r="D26" s="271"/>
      <c r="E26" s="277"/>
      <c r="F26" s="277"/>
      <c r="G26" s="277"/>
      <c r="H26" s="277"/>
      <c r="I26" s="277"/>
      <c r="J26" s="277"/>
      <c r="K26" s="277"/>
      <c r="L26" s="277"/>
      <c r="M26" s="277"/>
      <c r="N26" s="277"/>
      <c r="O26" s="277"/>
      <c r="P26" s="277"/>
      <c r="Q26" s="277"/>
      <c r="R26" s="277"/>
    </row>
    <row r="27" spans="1:26" s="283" customFormat="1" x14ac:dyDescent="0.25">
      <c r="A27" s="274"/>
      <c r="B27" s="274"/>
      <c r="C27" s="271"/>
      <c r="D27" s="271"/>
      <c r="E27" s="277"/>
      <c r="F27" s="277"/>
      <c r="G27" s="277"/>
      <c r="H27" s="277"/>
      <c r="I27" s="277"/>
      <c r="J27" s="277"/>
      <c r="K27" s="277"/>
      <c r="L27" s="277"/>
      <c r="M27" s="277"/>
      <c r="N27" s="277"/>
      <c r="O27" s="277"/>
      <c r="P27" s="277"/>
      <c r="Q27" s="277"/>
      <c r="R27" s="277"/>
    </row>
    <row r="28" spans="1:26" s="283" customFormat="1" x14ac:dyDescent="0.25">
      <c r="A28" s="274"/>
      <c r="B28" s="274"/>
      <c r="C28" s="284"/>
      <c r="D28" s="284"/>
      <c r="E28" s="281"/>
      <c r="F28" s="281"/>
      <c r="G28" s="281"/>
      <c r="H28" s="281"/>
      <c r="I28" s="281"/>
      <c r="J28" s="281"/>
      <c r="K28" s="281"/>
      <c r="L28" s="281"/>
      <c r="M28" s="281"/>
      <c r="N28" s="281"/>
      <c r="O28" s="281"/>
      <c r="P28" s="281"/>
      <c r="Q28" s="281"/>
      <c r="R28" s="281"/>
    </row>
    <row r="29" spans="1:26" s="283" customFormat="1" x14ac:dyDescent="0.25">
      <c r="A29" s="274"/>
      <c r="B29" s="274"/>
      <c r="C29" s="271"/>
      <c r="E29" s="277"/>
      <c r="F29" s="277"/>
      <c r="G29" s="277"/>
      <c r="H29" s="277"/>
      <c r="I29" s="277"/>
      <c r="J29" s="277"/>
      <c r="K29" s="277"/>
      <c r="L29" s="277"/>
      <c r="M29" s="277"/>
      <c r="N29" s="277"/>
      <c r="O29" s="277"/>
      <c r="P29" s="277"/>
      <c r="Q29" s="277"/>
      <c r="R29" s="277"/>
    </row>
    <row r="30" spans="1:26" x14ac:dyDescent="0.25">
      <c r="C30" s="271"/>
      <c r="E30" s="277"/>
      <c r="F30" s="277"/>
      <c r="G30" s="277"/>
      <c r="H30" s="277"/>
      <c r="I30" s="277"/>
      <c r="J30" s="277"/>
      <c r="K30" s="277"/>
      <c r="L30" s="277"/>
      <c r="M30" s="277"/>
      <c r="N30" s="277"/>
      <c r="O30" s="277"/>
      <c r="P30" s="277"/>
      <c r="Q30" s="277"/>
      <c r="R30" s="277"/>
    </row>
    <row r="31" spans="1:26" s="223" customFormat="1" ht="33.75" customHeight="1" x14ac:dyDescent="0.25">
      <c r="S31" s="224"/>
      <c r="T31" s="224"/>
      <c r="U31" s="224"/>
      <c r="V31" s="224"/>
      <c r="W31" s="224"/>
      <c r="X31" s="224"/>
      <c r="Y31" s="224"/>
      <c r="Z31" s="224"/>
    </row>
    <row r="45" spans="3:18" x14ac:dyDescent="0.25">
      <c r="C45" s="232"/>
      <c r="D45" s="232"/>
      <c r="E45" s="233"/>
      <c r="F45" s="233"/>
      <c r="G45" s="233"/>
      <c r="H45" s="233"/>
      <c r="I45" s="233"/>
      <c r="J45" s="233"/>
      <c r="K45" s="233"/>
      <c r="L45" s="233"/>
      <c r="M45" s="233"/>
      <c r="N45" s="233"/>
      <c r="O45" s="233"/>
      <c r="P45" s="233"/>
      <c r="Q45" s="233"/>
      <c r="R45" s="277"/>
    </row>
    <row r="46" spans="3:18" x14ac:dyDescent="0.25">
      <c r="C46" s="232"/>
      <c r="D46" s="232"/>
      <c r="E46" s="233"/>
      <c r="F46" s="233"/>
      <c r="G46" s="233"/>
      <c r="H46" s="233"/>
      <c r="I46" s="233"/>
      <c r="J46" s="233"/>
      <c r="K46" s="233"/>
      <c r="L46" s="233"/>
      <c r="M46" s="233"/>
      <c r="N46" s="233"/>
      <c r="O46" s="233"/>
      <c r="P46" s="233"/>
      <c r="Q46" s="233"/>
      <c r="R46" s="277"/>
    </row>
    <row r="47" spans="3:18" x14ac:dyDescent="0.25">
      <c r="C47" s="232"/>
      <c r="D47" s="232"/>
      <c r="E47" s="233"/>
      <c r="F47" s="233"/>
      <c r="G47" s="233"/>
      <c r="H47" s="233"/>
      <c r="I47" s="233"/>
      <c r="J47" s="233"/>
      <c r="K47" s="233"/>
      <c r="L47" s="233"/>
      <c r="M47" s="233"/>
      <c r="N47" s="233"/>
      <c r="O47" s="233"/>
      <c r="P47" s="233"/>
      <c r="Q47" s="233"/>
      <c r="R47" s="277"/>
    </row>
    <row r="48" spans="3:18" x14ac:dyDescent="0.25">
      <c r="C48" s="232"/>
      <c r="D48" s="232"/>
      <c r="E48" s="233"/>
      <c r="F48" s="233"/>
      <c r="G48" s="233"/>
      <c r="H48" s="233"/>
      <c r="I48" s="233"/>
      <c r="J48" s="233"/>
      <c r="K48" s="233"/>
      <c r="L48" s="233"/>
      <c r="M48" s="233"/>
      <c r="N48" s="233"/>
      <c r="O48" s="233"/>
      <c r="P48" s="233"/>
      <c r="Q48" s="233"/>
      <c r="R48" s="278"/>
    </row>
    <row r="49" spans="1:18" ht="14.25" x14ac:dyDescent="0.2">
      <c r="A49" s="232"/>
      <c r="B49" s="232"/>
      <c r="C49" s="232"/>
      <c r="D49" s="232"/>
      <c r="E49" s="233"/>
      <c r="F49" s="233"/>
      <c r="G49" s="233"/>
      <c r="H49" s="233"/>
      <c r="I49" s="233"/>
      <c r="J49" s="233"/>
      <c r="K49" s="233"/>
      <c r="L49" s="233"/>
      <c r="M49" s="233"/>
      <c r="N49" s="233"/>
      <c r="O49" s="233"/>
      <c r="P49" s="233"/>
      <c r="Q49" s="233"/>
      <c r="R49" s="271"/>
    </row>
    <row r="50" spans="1:18" x14ac:dyDescent="0.25">
      <c r="C50" s="232"/>
      <c r="D50" s="232"/>
      <c r="E50" s="233"/>
      <c r="F50" s="233"/>
      <c r="G50" s="233"/>
      <c r="H50" s="233"/>
      <c r="I50" s="233"/>
      <c r="J50" s="233"/>
      <c r="K50" s="233"/>
      <c r="L50" s="233"/>
      <c r="M50" s="233"/>
      <c r="N50" s="233"/>
      <c r="O50" s="233"/>
      <c r="P50" s="233"/>
      <c r="Q50" s="233"/>
      <c r="R50" s="272"/>
    </row>
    <row r="51" spans="1:18" x14ac:dyDescent="0.25">
      <c r="C51" s="232"/>
      <c r="D51" s="232"/>
      <c r="E51" s="233"/>
      <c r="F51" s="233"/>
      <c r="G51" s="233"/>
      <c r="H51" s="233"/>
      <c r="I51" s="233"/>
      <c r="J51" s="233"/>
      <c r="K51" s="233"/>
      <c r="L51" s="233"/>
      <c r="M51" s="233"/>
      <c r="N51" s="233"/>
      <c r="O51" s="233"/>
      <c r="P51" s="233"/>
      <c r="Q51" s="233"/>
      <c r="R51" s="277"/>
    </row>
    <row r="52" spans="1:18" x14ac:dyDescent="0.25">
      <c r="C52" s="232"/>
      <c r="D52" s="232"/>
      <c r="E52" s="233"/>
      <c r="F52" s="233"/>
      <c r="G52" s="233"/>
      <c r="H52" s="233"/>
      <c r="I52" s="233"/>
      <c r="J52" s="233"/>
      <c r="K52" s="233"/>
      <c r="L52" s="233"/>
      <c r="M52" s="233"/>
      <c r="N52" s="233"/>
      <c r="O52" s="233"/>
      <c r="P52" s="233"/>
      <c r="Q52" s="233"/>
      <c r="R52" s="277"/>
    </row>
    <row r="53" spans="1:18" x14ac:dyDescent="0.25">
      <c r="C53" s="232"/>
      <c r="D53" s="232"/>
      <c r="E53" s="233"/>
      <c r="F53" s="233"/>
      <c r="G53" s="233"/>
      <c r="H53" s="233"/>
      <c r="I53" s="233"/>
      <c r="J53" s="233"/>
      <c r="K53" s="233"/>
      <c r="L53" s="233"/>
      <c r="M53" s="233"/>
      <c r="N53" s="233"/>
      <c r="O53" s="233"/>
      <c r="P53" s="233"/>
      <c r="Q53" s="233"/>
      <c r="R53" s="277"/>
    </row>
    <row r="54" spans="1:18" x14ac:dyDescent="0.25">
      <c r="C54" s="232"/>
      <c r="D54" s="232"/>
      <c r="E54" s="233"/>
      <c r="F54" s="233"/>
      <c r="G54" s="233"/>
      <c r="H54" s="233"/>
      <c r="I54" s="233"/>
      <c r="J54" s="233"/>
      <c r="K54" s="233"/>
      <c r="L54" s="233"/>
      <c r="M54" s="233"/>
      <c r="N54" s="233"/>
      <c r="O54" s="233"/>
      <c r="P54" s="233"/>
      <c r="Q54" s="233"/>
      <c r="R54" s="277"/>
    </row>
    <row r="55" spans="1:18" x14ac:dyDescent="0.25">
      <c r="C55" s="232"/>
      <c r="D55" s="232"/>
      <c r="E55" s="233"/>
      <c r="F55" s="233"/>
      <c r="G55" s="233"/>
      <c r="H55" s="233"/>
      <c r="I55" s="233"/>
      <c r="J55" s="233"/>
      <c r="K55" s="233"/>
      <c r="L55" s="233"/>
      <c r="M55" s="233"/>
      <c r="N55" s="233"/>
      <c r="O55" s="233"/>
      <c r="P55" s="233"/>
      <c r="Q55" s="233"/>
      <c r="R55" s="277"/>
    </row>
    <row r="56" spans="1:18" x14ac:dyDescent="0.25">
      <c r="C56" s="232"/>
      <c r="D56" s="232"/>
      <c r="E56" s="233"/>
      <c r="F56" s="233"/>
      <c r="G56" s="233"/>
      <c r="H56" s="233"/>
      <c r="I56" s="233"/>
      <c r="J56" s="233"/>
      <c r="K56" s="233"/>
      <c r="L56" s="233"/>
      <c r="M56" s="233"/>
      <c r="N56" s="233"/>
      <c r="O56" s="233"/>
      <c r="P56" s="233"/>
      <c r="Q56" s="233"/>
      <c r="R56" s="277"/>
    </row>
    <row r="57" spans="1:18" x14ac:dyDescent="0.25">
      <c r="C57" s="232"/>
      <c r="D57" s="232"/>
      <c r="E57" s="233"/>
      <c r="F57" s="233"/>
      <c r="G57" s="233"/>
      <c r="H57" s="233"/>
      <c r="I57" s="233"/>
      <c r="J57" s="233"/>
      <c r="K57" s="233"/>
      <c r="L57" s="233"/>
      <c r="M57" s="233"/>
      <c r="N57" s="233"/>
      <c r="O57" s="233"/>
      <c r="P57" s="233"/>
      <c r="Q57" s="233"/>
      <c r="R57" s="277"/>
    </row>
    <row r="58" spans="1:18" x14ac:dyDescent="0.25">
      <c r="C58" s="232"/>
      <c r="D58" s="232"/>
      <c r="E58" s="233"/>
      <c r="F58" s="233"/>
      <c r="G58" s="233"/>
      <c r="H58" s="233"/>
      <c r="I58" s="233"/>
      <c r="J58" s="233"/>
      <c r="K58" s="233"/>
      <c r="L58" s="233"/>
      <c r="M58" s="233"/>
      <c r="N58" s="233"/>
      <c r="O58" s="233"/>
      <c r="P58" s="233"/>
      <c r="Q58" s="233"/>
      <c r="R58" s="277"/>
    </row>
    <row r="59" spans="1:18" x14ac:dyDescent="0.25">
      <c r="C59" s="232"/>
      <c r="D59" s="232"/>
      <c r="E59" s="233"/>
      <c r="F59" s="233"/>
      <c r="G59" s="233"/>
      <c r="H59" s="233"/>
      <c r="I59" s="233"/>
      <c r="J59" s="233"/>
      <c r="K59" s="233"/>
      <c r="L59" s="233"/>
      <c r="M59" s="233"/>
      <c r="N59" s="233"/>
      <c r="O59" s="233"/>
      <c r="P59" s="233"/>
      <c r="Q59" s="233"/>
      <c r="R59" s="277"/>
    </row>
    <row r="60" spans="1:18" x14ac:dyDescent="0.25">
      <c r="C60" s="232"/>
      <c r="D60" s="232"/>
      <c r="E60" s="233"/>
      <c r="F60" s="233"/>
      <c r="G60" s="233"/>
      <c r="H60" s="233"/>
      <c r="I60" s="233"/>
      <c r="J60" s="233"/>
      <c r="K60" s="233"/>
      <c r="L60" s="233"/>
      <c r="M60" s="233"/>
      <c r="N60" s="233"/>
      <c r="O60" s="233"/>
      <c r="P60" s="233"/>
      <c r="Q60" s="233"/>
      <c r="R60" s="278"/>
    </row>
    <row r="61" spans="1:18" ht="14.25" x14ac:dyDescent="0.2">
      <c r="A61" s="232"/>
      <c r="B61" s="232"/>
      <c r="C61" s="232"/>
      <c r="D61" s="232"/>
      <c r="E61" s="233"/>
      <c r="F61" s="233"/>
      <c r="G61" s="233"/>
      <c r="H61" s="233"/>
      <c r="I61" s="233"/>
      <c r="J61" s="233"/>
      <c r="K61" s="233"/>
      <c r="L61" s="233"/>
      <c r="M61" s="233"/>
      <c r="N61" s="233"/>
      <c r="O61" s="233"/>
      <c r="P61" s="233"/>
      <c r="Q61" s="233"/>
      <c r="R61" s="271"/>
    </row>
    <row r="62" spans="1:18" x14ac:dyDescent="0.25">
      <c r="C62" s="232"/>
      <c r="D62" s="232"/>
      <c r="E62" s="233"/>
      <c r="F62" s="233"/>
      <c r="G62" s="233"/>
      <c r="H62" s="233"/>
      <c r="I62" s="233"/>
      <c r="J62" s="233"/>
      <c r="K62" s="233"/>
      <c r="L62" s="233"/>
      <c r="M62" s="233"/>
      <c r="N62" s="233"/>
      <c r="O62" s="233"/>
      <c r="P62" s="233"/>
      <c r="Q62" s="233"/>
      <c r="R62" s="271"/>
    </row>
    <row r="63" spans="1:18" x14ac:dyDescent="0.25">
      <c r="C63" s="232"/>
      <c r="D63" s="232"/>
      <c r="E63" s="233"/>
      <c r="F63" s="233"/>
      <c r="G63" s="233"/>
      <c r="H63" s="233"/>
      <c r="I63" s="233"/>
      <c r="J63" s="233"/>
      <c r="K63" s="233"/>
      <c r="L63" s="233"/>
      <c r="M63" s="233"/>
      <c r="N63" s="233"/>
      <c r="O63" s="233"/>
      <c r="P63" s="233"/>
      <c r="Q63" s="233"/>
      <c r="R63" s="278"/>
    </row>
    <row r="64" spans="1:18" x14ac:dyDescent="0.25">
      <c r="C64" s="232"/>
      <c r="D64" s="232"/>
      <c r="E64" s="233"/>
      <c r="F64" s="233"/>
      <c r="G64" s="233"/>
      <c r="H64" s="233"/>
      <c r="I64" s="233"/>
      <c r="J64" s="233"/>
      <c r="K64" s="233"/>
      <c r="L64" s="233"/>
      <c r="M64" s="233"/>
      <c r="N64" s="233"/>
      <c r="O64" s="233"/>
      <c r="P64" s="233"/>
      <c r="Q64" s="233"/>
      <c r="R64" s="273"/>
    </row>
    <row r="65" spans="3:18" x14ac:dyDescent="0.25">
      <c r="C65" s="232"/>
      <c r="D65" s="232"/>
      <c r="E65" s="233"/>
      <c r="F65" s="233"/>
      <c r="G65" s="233"/>
      <c r="H65" s="233"/>
      <c r="I65" s="233"/>
      <c r="J65" s="233"/>
      <c r="K65" s="233"/>
      <c r="L65" s="233"/>
      <c r="M65" s="233"/>
      <c r="N65" s="233"/>
      <c r="O65" s="233"/>
      <c r="P65" s="233"/>
      <c r="Q65" s="233"/>
      <c r="R65" s="272"/>
    </row>
    <row r="66" spans="3:18" x14ac:dyDescent="0.25">
      <c r="C66" s="232"/>
      <c r="D66" s="232"/>
      <c r="E66" s="233"/>
      <c r="F66" s="233"/>
      <c r="G66" s="233"/>
      <c r="H66" s="233"/>
      <c r="I66" s="233"/>
      <c r="J66" s="233"/>
      <c r="K66" s="233"/>
      <c r="L66" s="233"/>
      <c r="M66" s="233"/>
      <c r="N66" s="233"/>
      <c r="O66" s="233"/>
      <c r="P66" s="233"/>
      <c r="Q66" s="233"/>
      <c r="R66" s="278"/>
    </row>
    <row r="67" spans="3:18" x14ac:dyDescent="0.25">
      <c r="C67" s="232"/>
      <c r="D67" s="232"/>
      <c r="E67" s="233"/>
      <c r="F67" s="233"/>
      <c r="G67" s="233"/>
      <c r="H67" s="233"/>
      <c r="I67" s="233"/>
      <c r="J67" s="233"/>
      <c r="K67" s="233"/>
      <c r="L67" s="233"/>
      <c r="M67" s="233"/>
      <c r="N67" s="233"/>
      <c r="O67" s="233"/>
      <c r="P67" s="233"/>
      <c r="Q67" s="233"/>
      <c r="R67" s="278"/>
    </row>
    <row r="68" spans="3:18" x14ac:dyDescent="0.25">
      <c r="C68" s="232"/>
      <c r="D68" s="232"/>
      <c r="E68" s="233"/>
      <c r="F68" s="233"/>
      <c r="G68" s="233"/>
      <c r="H68" s="233"/>
      <c r="I68" s="233"/>
      <c r="J68" s="233"/>
      <c r="K68" s="233"/>
      <c r="L68" s="233"/>
      <c r="M68" s="233"/>
      <c r="N68" s="233"/>
      <c r="O68" s="233"/>
      <c r="P68" s="233"/>
      <c r="Q68" s="233"/>
      <c r="R68" s="274"/>
    </row>
    <row r="69" spans="3:18" x14ac:dyDescent="0.25">
      <c r="C69" s="232"/>
      <c r="D69" s="232"/>
      <c r="E69" s="233"/>
      <c r="F69" s="233"/>
      <c r="G69" s="233"/>
      <c r="H69" s="233"/>
      <c r="I69" s="233"/>
      <c r="J69" s="233"/>
      <c r="K69" s="233"/>
      <c r="L69" s="233"/>
      <c r="M69" s="233"/>
      <c r="N69" s="233"/>
      <c r="O69" s="233"/>
      <c r="P69" s="233"/>
      <c r="Q69" s="233"/>
      <c r="R69" s="274"/>
    </row>
    <row r="70" spans="3:18" x14ac:dyDescent="0.25">
      <c r="C70" s="232"/>
      <c r="D70" s="232"/>
      <c r="E70" s="233"/>
      <c r="F70" s="233"/>
      <c r="G70" s="233"/>
      <c r="H70" s="233"/>
      <c r="I70" s="233"/>
      <c r="J70" s="233"/>
      <c r="K70" s="233"/>
      <c r="L70" s="233"/>
      <c r="M70" s="233"/>
      <c r="N70" s="233"/>
      <c r="O70" s="233"/>
      <c r="P70" s="233"/>
      <c r="Q70" s="233"/>
      <c r="R70" s="274"/>
    </row>
    <row r="71" spans="3:18" x14ac:dyDescent="0.25">
      <c r="C71" s="232"/>
      <c r="D71" s="232"/>
      <c r="E71" s="233"/>
      <c r="F71" s="233"/>
      <c r="G71" s="233"/>
      <c r="H71" s="233"/>
      <c r="I71" s="233"/>
      <c r="J71" s="233"/>
      <c r="K71" s="233"/>
      <c r="L71" s="233"/>
      <c r="M71" s="233"/>
      <c r="N71" s="233"/>
      <c r="O71" s="233"/>
      <c r="P71" s="233"/>
      <c r="Q71" s="233"/>
      <c r="R71" s="274"/>
    </row>
    <row r="72" spans="3:18" x14ac:dyDescent="0.25">
      <c r="C72" s="232"/>
      <c r="D72" s="232"/>
      <c r="E72" s="233"/>
      <c r="F72" s="233"/>
      <c r="G72" s="233"/>
      <c r="H72" s="233"/>
      <c r="I72" s="233"/>
      <c r="J72" s="233"/>
      <c r="K72" s="233"/>
      <c r="L72" s="233"/>
      <c r="M72" s="233"/>
      <c r="N72" s="233"/>
      <c r="O72" s="233"/>
      <c r="P72" s="233"/>
      <c r="Q72" s="233"/>
      <c r="R72" s="274"/>
    </row>
    <row r="73" spans="3:18" x14ac:dyDescent="0.25">
      <c r="C73" s="232"/>
      <c r="D73" s="232"/>
      <c r="E73" s="233"/>
      <c r="F73" s="233"/>
      <c r="G73" s="233"/>
      <c r="H73" s="233"/>
      <c r="I73" s="233"/>
      <c r="J73" s="233"/>
      <c r="K73" s="233"/>
      <c r="L73" s="233"/>
      <c r="M73" s="233"/>
      <c r="N73" s="233"/>
      <c r="O73" s="233"/>
      <c r="P73" s="233"/>
      <c r="Q73" s="233"/>
      <c r="R73" s="274"/>
    </row>
    <row r="74" spans="3:18" x14ac:dyDescent="0.25">
      <c r="C74" s="232"/>
      <c r="D74" s="232"/>
      <c r="E74" s="233"/>
      <c r="F74" s="233"/>
      <c r="G74" s="233"/>
      <c r="H74" s="233"/>
      <c r="I74" s="233"/>
      <c r="J74" s="233"/>
      <c r="K74" s="233"/>
      <c r="L74" s="233"/>
      <c r="M74" s="233"/>
      <c r="N74" s="233"/>
      <c r="O74" s="233"/>
      <c r="P74" s="233"/>
      <c r="Q74" s="233"/>
      <c r="R74" s="274"/>
    </row>
    <row r="75" spans="3:18" x14ac:dyDescent="0.25">
      <c r="C75" s="232"/>
      <c r="D75" s="232"/>
      <c r="E75" s="233"/>
      <c r="F75" s="233"/>
      <c r="G75" s="233"/>
      <c r="H75" s="233"/>
      <c r="I75" s="233"/>
      <c r="J75" s="233"/>
      <c r="K75" s="233"/>
      <c r="L75" s="233"/>
      <c r="M75" s="233"/>
      <c r="N75" s="233"/>
      <c r="O75" s="233"/>
      <c r="P75" s="233"/>
      <c r="Q75" s="233"/>
      <c r="R75" s="274"/>
    </row>
    <row r="76" spans="3:18" x14ac:dyDescent="0.25">
      <c r="C76" s="274"/>
      <c r="E76" s="274"/>
      <c r="F76" s="274"/>
      <c r="G76" s="274"/>
      <c r="H76" s="274"/>
      <c r="I76" s="274"/>
      <c r="J76" s="274"/>
      <c r="K76" s="274"/>
      <c r="L76" s="274"/>
      <c r="M76" s="274"/>
      <c r="N76" s="274"/>
      <c r="O76" s="274"/>
      <c r="P76" s="274"/>
      <c r="Q76" s="274"/>
      <c r="R76" s="274"/>
    </row>
    <row r="77" spans="3:18" x14ac:dyDescent="0.25">
      <c r="C77" s="274"/>
      <c r="E77" s="274"/>
      <c r="F77" s="274"/>
      <c r="G77" s="274"/>
      <c r="H77" s="274"/>
      <c r="I77" s="274"/>
      <c r="J77" s="274"/>
      <c r="K77" s="274"/>
      <c r="L77" s="274"/>
      <c r="M77" s="274"/>
      <c r="N77" s="274"/>
      <c r="O77" s="274"/>
      <c r="P77" s="274"/>
      <c r="Q77" s="274"/>
      <c r="R77" s="274"/>
    </row>
    <row r="78" spans="3:18" x14ac:dyDescent="0.25">
      <c r="C78" s="274"/>
      <c r="E78" s="274"/>
      <c r="F78" s="274"/>
      <c r="G78" s="274"/>
      <c r="H78" s="274"/>
      <c r="I78" s="274"/>
      <c r="J78" s="274"/>
      <c r="K78" s="274"/>
      <c r="L78" s="274"/>
      <c r="M78" s="274"/>
      <c r="N78" s="274"/>
      <c r="O78" s="274"/>
      <c r="P78" s="274"/>
      <c r="Q78" s="274"/>
      <c r="R78" s="274"/>
    </row>
    <row r="79" spans="3:18" x14ac:dyDescent="0.25">
      <c r="C79" s="274"/>
      <c r="E79" s="274"/>
      <c r="F79" s="274"/>
      <c r="G79" s="274"/>
      <c r="H79" s="274"/>
      <c r="I79" s="274"/>
      <c r="J79" s="274"/>
      <c r="K79" s="274"/>
      <c r="L79" s="274"/>
      <c r="M79" s="274"/>
      <c r="N79" s="274"/>
      <c r="O79" s="274"/>
      <c r="P79" s="274"/>
      <c r="Q79" s="274"/>
      <c r="R79" s="274"/>
    </row>
    <row r="80" spans="3:18" x14ac:dyDescent="0.25">
      <c r="C80" s="274"/>
      <c r="E80" s="274"/>
      <c r="F80" s="274"/>
      <c r="G80" s="274"/>
      <c r="H80" s="274"/>
      <c r="I80" s="274"/>
      <c r="J80" s="274"/>
      <c r="K80" s="274"/>
      <c r="L80" s="274"/>
      <c r="M80" s="274"/>
      <c r="N80" s="274"/>
      <c r="O80" s="274"/>
      <c r="P80" s="274"/>
      <c r="Q80" s="274"/>
      <c r="R80" s="274"/>
    </row>
    <row r="81" spans="3:18" x14ac:dyDescent="0.25">
      <c r="C81" s="274"/>
      <c r="E81" s="274"/>
      <c r="F81" s="274"/>
      <c r="G81" s="274"/>
      <c r="H81" s="274"/>
      <c r="I81" s="274"/>
      <c r="J81" s="274"/>
      <c r="K81" s="274"/>
      <c r="L81" s="274"/>
      <c r="M81" s="274"/>
      <c r="N81" s="274"/>
      <c r="O81" s="274"/>
      <c r="P81" s="274"/>
      <c r="Q81" s="274"/>
      <c r="R81" s="274"/>
    </row>
    <row r="82" spans="3:18" x14ac:dyDescent="0.25">
      <c r="C82" s="274"/>
      <c r="E82" s="274"/>
      <c r="F82" s="274"/>
      <c r="G82" s="274"/>
      <c r="H82" s="274"/>
      <c r="I82" s="274"/>
      <c r="J82" s="274"/>
      <c r="K82" s="274"/>
      <c r="L82" s="274"/>
      <c r="M82" s="274"/>
      <c r="N82" s="274"/>
      <c r="O82" s="274"/>
      <c r="P82" s="274"/>
      <c r="Q82" s="274"/>
      <c r="R82" s="274"/>
    </row>
    <row r="83" spans="3:18" x14ac:dyDescent="0.25">
      <c r="C83" s="274"/>
      <c r="E83" s="274"/>
      <c r="F83" s="274"/>
      <c r="G83" s="274"/>
      <c r="H83" s="274"/>
      <c r="I83" s="274"/>
      <c r="J83" s="274"/>
      <c r="K83" s="274"/>
      <c r="L83" s="274"/>
      <c r="M83" s="274"/>
      <c r="N83" s="274"/>
      <c r="O83" s="274"/>
      <c r="P83" s="274"/>
      <c r="Q83" s="274"/>
      <c r="R83" s="274"/>
    </row>
    <row r="84" spans="3:18" x14ac:dyDescent="0.25">
      <c r="C84" s="274"/>
      <c r="E84" s="274"/>
      <c r="F84" s="274"/>
      <c r="G84" s="274"/>
      <c r="H84" s="274"/>
      <c r="I84" s="274"/>
      <c r="J84" s="274"/>
      <c r="K84" s="274"/>
      <c r="L84" s="274"/>
      <c r="M84" s="274"/>
      <c r="N84" s="274"/>
      <c r="O84" s="274"/>
      <c r="P84" s="274"/>
      <c r="Q84" s="274"/>
      <c r="R84" s="274"/>
    </row>
    <row r="85" spans="3:18" x14ac:dyDescent="0.25">
      <c r="C85" s="274"/>
      <c r="E85" s="274"/>
      <c r="F85" s="274"/>
      <c r="G85" s="274"/>
      <c r="H85" s="274"/>
      <c r="I85" s="274"/>
      <c r="J85" s="274"/>
      <c r="K85" s="274"/>
      <c r="L85" s="274"/>
      <c r="M85" s="274"/>
      <c r="N85" s="274"/>
      <c r="O85" s="274"/>
      <c r="P85" s="274"/>
      <c r="Q85" s="274"/>
      <c r="R85" s="274"/>
    </row>
    <row r="86" spans="3:18" x14ac:dyDescent="0.25">
      <c r="C86" s="274"/>
      <c r="E86" s="274"/>
      <c r="F86" s="274"/>
      <c r="G86" s="274"/>
      <c r="H86" s="274"/>
      <c r="I86" s="274"/>
      <c r="J86" s="274"/>
      <c r="K86" s="274"/>
      <c r="L86" s="274"/>
      <c r="M86" s="274"/>
      <c r="N86" s="274"/>
      <c r="O86" s="274"/>
      <c r="P86" s="274"/>
      <c r="Q86" s="274"/>
      <c r="R86" s="274"/>
    </row>
    <row r="87" spans="3:18" x14ac:dyDescent="0.25">
      <c r="C87" s="274"/>
      <c r="E87" s="274"/>
      <c r="F87" s="274"/>
      <c r="G87" s="274"/>
      <c r="H87" s="274"/>
      <c r="I87" s="274"/>
      <c r="J87" s="274"/>
      <c r="K87" s="274"/>
      <c r="L87" s="274"/>
      <c r="M87" s="274"/>
      <c r="N87" s="274"/>
      <c r="O87" s="274"/>
      <c r="P87" s="274"/>
      <c r="Q87" s="274"/>
      <c r="R87" s="274"/>
    </row>
    <row r="88" spans="3:18" x14ac:dyDescent="0.25">
      <c r="C88" s="274"/>
      <c r="E88" s="274"/>
      <c r="F88" s="274"/>
      <c r="G88" s="274"/>
      <c r="H88" s="274"/>
      <c r="I88" s="274"/>
      <c r="J88" s="274"/>
      <c r="K88" s="274"/>
      <c r="L88" s="274"/>
      <c r="M88" s="274"/>
      <c r="N88" s="274"/>
      <c r="O88" s="274"/>
      <c r="P88" s="274"/>
      <c r="Q88" s="274"/>
      <c r="R88" s="274"/>
    </row>
    <row r="89" spans="3:18" x14ac:dyDescent="0.25">
      <c r="C89" s="274"/>
      <c r="E89" s="274"/>
      <c r="F89" s="274"/>
      <c r="G89" s="274"/>
      <c r="H89" s="274"/>
      <c r="I89" s="274"/>
      <c r="J89" s="274"/>
      <c r="K89" s="274"/>
      <c r="L89" s="274"/>
      <c r="M89" s="274"/>
      <c r="N89" s="274"/>
      <c r="O89" s="274"/>
      <c r="P89" s="274"/>
      <c r="Q89" s="274"/>
      <c r="R89" s="274"/>
    </row>
    <row r="90" spans="3:18" x14ac:dyDescent="0.25">
      <c r="C90" s="274"/>
      <c r="E90" s="274"/>
      <c r="F90" s="274"/>
      <c r="G90" s="274"/>
      <c r="H90" s="274"/>
      <c r="I90" s="274"/>
      <c r="J90" s="274"/>
      <c r="K90" s="274"/>
      <c r="L90" s="274"/>
      <c r="M90" s="274"/>
      <c r="N90" s="274"/>
      <c r="O90" s="274"/>
      <c r="P90" s="274"/>
      <c r="Q90" s="274"/>
      <c r="R90" s="274"/>
    </row>
    <row r="91" spans="3:18" x14ac:dyDescent="0.25">
      <c r="C91" s="274"/>
      <c r="E91" s="274"/>
      <c r="F91" s="274"/>
      <c r="G91" s="274"/>
      <c r="H91" s="274"/>
      <c r="I91" s="274"/>
      <c r="J91" s="274"/>
      <c r="K91" s="274"/>
      <c r="L91" s="274"/>
      <c r="M91" s="274"/>
      <c r="N91" s="274"/>
      <c r="O91" s="274"/>
      <c r="P91" s="274"/>
      <c r="Q91" s="274"/>
      <c r="R91" s="274"/>
    </row>
    <row r="92" spans="3:18" x14ac:dyDescent="0.25">
      <c r="C92" s="274"/>
      <c r="E92" s="274"/>
      <c r="F92" s="274"/>
      <c r="G92" s="274"/>
      <c r="H92" s="274"/>
      <c r="I92" s="274"/>
      <c r="J92" s="274"/>
      <c r="K92" s="274"/>
      <c r="L92" s="274"/>
      <c r="M92" s="274"/>
      <c r="N92" s="274"/>
      <c r="O92" s="274"/>
      <c r="P92" s="274"/>
      <c r="Q92" s="274"/>
      <c r="R92" s="274"/>
    </row>
    <row r="93" spans="3:18" x14ac:dyDescent="0.25">
      <c r="C93" s="274"/>
      <c r="E93" s="274"/>
      <c r="F93" s="274"/>
      <c r="G93" s="274"/>
      <c r="H93" s="274"/>
      <c r="I93" s="274"/>
      <c r="J93" s="274"/>
      <c r="K93" s="274"/>
      <c r="L93" s="274"/>
      <c r="M93" s="274"/>
      <c r="N93" s="274"/>
      <c r="O93" s="274"/>
      <c r="P93" s="274"/>
      <c r="Q93" s="274"/>
      <c r="R93" s="274"/>
    </row>
    <row r="94" spans="3:18" x14ac:dyDescent="0.25">
      <c r="C94" s="274"/>
      <c r="E94" s="274"/>
      <c r="F94" s="274"/>
      <c r="G94" s="274"/>
      <c r="H94" s="274"/>
      <c r="I94" s="274"/>
      <c r="J94" s="274"/>
      <c r="K94" s="274"/>
      <c r="L94" s="274"/>
      <c r="M94" s="274"/>
      <c r="N94" s="274"/>
      <c r="O94" s="274"/>
      <c r="P94" s="274"/>
      <c r="Q94" s="274"/>
      <c r="R94" s="274"/>
    </row>
    <row r="95" spans="3:18" x14ac:dyDescent="0.25">
      <c r="C95" s="274"/>
      <c r="E95" s="274"/>
      <c r="F95" s="274"/>
      <c r="G95" s="274"/>
      <c r="H95" s="274"/>
      <c r="I95" s="274"/>
      <c r="J95" s="274"/>
      <c r="K95" s="274"/>
      <c r="L95" s="274"/>
      <c r="M95" s="274"/>
      <c r="N95" s="274"/>
      <c r="O95" s="274"/>
      <c r="P95" s="274"/>
      <c r="Q95" s="274"/>
      <c r="R95" s="274"/>
    </row>
    <row r="96" spans="3:18" x14ac:dyDescent="0.25">
      <c r="C96" s="274"/>
      <c r="E96" s="274"/>
      <c r="F96" s="274"/>
      <c r="G96" s="274"/>
      <c r="H96" s="274"/>
      <c r="I96" s="274"/>
      <c r="J96" s="274"/>
      <c r="K96" s="274"/>
      <c r="L96" s="274"/>
      <c r="M96" s="274"/>
      <c r="N96" s="274"/>
      <c r="O96" s="274"/>
      <c r="P96" s="274"/>
      <c r="Q96" s="274"/>
      <c r="R96" s="274"/>
    </row>
    <row r="97" spans="3:18" x14ac:dyDescent="0.25">
      <c r="C97" s="274"/>
      <c r="E97" s="274"/>
      <c r="F97" s="274"/>
      <c r="G97" s="274"/>
      <c r="H97" s="274"/>
      <c r="I97" s="274"/>
      <c r="J97" s="274"/>
      <c r="K97" s="274"/>
      <c r="L97" s="274"/>
      <c r="M97" s="274"/>
      <c r="N97" s="274"/>
      <c r="O97" s="274"/>
      <c r="P97" s="274"/>
      <c r="Q97" s="274"/>
      <c r="R97" s="274"/>
    </row>
    <row r="98" spans="3:18" x14ac:dyDescent="0.25">
      <c r="C98" s="274"/>
      <c r="E98" s="274"/>
      <c r="F98" s="274"/>
      <c r="G98" s="274"/>
      <c r="H98" s="274"/>
      <c r="I98" s="274"/>
      <c r="J98" s="274"/>
      <c r="K98" s="274"/>
      <c r="L98" s="274"/>
      <c r="M98" s="274"/>
      <c r="N98" s="274"/>
      <c r="O98" s="274"/>
      <c r="P98" s="274"/>
      <c r="Q98" s="274"/>
      <c r="R98" s="274"/>
    </row>
    <row r="99" spans="3:18" x14ac:dyDescent="0.25">
      <c r="C99" s="274"/>
      <c r="E99" s="274"/>
      <c r="F99" s="274"/>
      <c r="G99" s="274"/>
      <c r="H99" s="274"/>
      <c r="I99" s="274"/>
      <c r="J99" s="274"/>
      <c r="K99" s="274"/>
      <c r="L99" s="274"/>
      <c r="M99" s="274"/>
      <c r="N99" s="274"/>
      <c r="O99" s="274"/>
      <c r="P99" s="274"/>
      <c r="Q99" s="274"/>
      <c r="R99" s="274"/>
    </row>
    <row r="100" spans="3:18" x14ac:dyDescent="0.25">
      <c r="C100" s="274"/>
      <c r="E100" s="274"/>
      <c r="F100" s="274"/>
      <c r="G100" s="274"/>
      <c r="H100" s="274"/>
      <c r="I100" s="274"/>
      <c r="J100" s="274"/>
      <c r="K100" s="274"/>
      <c r="L100" s="274"/>
      <c r="M100" s="274"/>
      <c r="N100" s="274"/>
      <c r="O100" s="274"/>
      <c r="P100" s="274"/>
      <c r="Q100" s="274"/>
      <c r="R100" s="274"/>
    </row>
    <row r="101" spans="3:18" x14ac:dyDescent="0.25">
      <c r="C101" s="274"/>
      <c r="E101" s="274"/>
      <c r="F101" s="274"/>
      <c r="G101" s="274"/>
      <c r="H101" s="274"/>
      <c r="I101" s="274"/>
      <c r="J101" s="274"/>
      <c r="K101" s="274"/>
      <c r="L101" s="274"/>
      <c r="M101" s="274"/>
      <c r="N101" s="274"/>
      <c r="O101" s="274"/>
      <c r="P101" s="274"/>
      <c r="Q101" s="274"/>
      <c r="R101" s="274"/>
    </row>
    <row r="102" spans="3:18" x14ac:dyDescent="0.25">
      <c r="C102" s="274"/>
      <c r="E102" s="274"/>
      <c r="F102" s="274"/>
      <c r="G102" s="274"/>
      <c r="H102" s="274"/>
      <c r="I102" s="274"/>
      <c r="J102" s="274"/>
      <c r="K102" s="274"/>
      <c r="L102" s="274"/>
      <c r="M102" s="274"/>
      <c r="N102" s="274"/>
      <c r="O102" s="274"/>
      <c r="P102" s="274"/>
      <c r="Q102" s="274"/>
      <c r="R102" s="274"/>
    </row>
    <row r="103" spans="3:18" x14ac:dyDescent="0.25">
      <c r="C103" s="274"/>
      <c r="E103" s="274"/>
      <c r="F103" s="274"/>
      <c r="G103" s="274"/>
      <c r="H103" s="274"/>
      <c r="I103" s="274"/>
      <c r="J103" s="274"/>
      <c r="K103" s="274"/>
      <c r="L103" s="274"/>
      <c r="M103" s="274"/>
      <c r="N103" s="274"/>
      <c r="O103" s="274"/>
      <c r="P103" s="274"/>
      <c r="Q103" s="274"/>
      <c r="R103" s="274"/>
    </row>
    <row r="104" spans="3:18" x14ac:dyDescent="0.25">
      <c r="C104" s="274"/>
      <c r="E104" s="274"/>
      <c r="F104" s="274"/>
      <c r="G104" s="274"/>
      <c r="H104" s="274"/>
      <c r="I104" s="274"/>
      <c r="J104" s="274"/>
      <c r="K104" s="274"/>
      <c r="L104" s="274"/>
      <c r="M104" s="274"/>
      <c r="N104" s="274"/>
      <c r="O104" s="274"/>
      <c r="P104" s="274"/>
      <c r="Q104" s="274"/>
      <c r="R104" s="274"/>
    </row>
    <row r="105" spans="3:18" x14ac:dyDescent="0.25">
      <c r="C105" s="274"/>
      <c r="E105" s="274"/>
      <c r="F105" s="274"/>
      <c r="G105" s="274"/>
      <c r="H105" s="274"/>
      <c r="I105" s="274"/>
      <c r="J105" s="274"/>
      <c r="K105" s="274"/>
      <c r="L105" s="274"/>
      <c r="M105" s="274"/>
      <c r="N105" s="274"/>
      <c r="O105" s="274"/>
      <c r="P105" s="274"/>
      <c r="Q105" s="274"/>
      <c r="R105" s="274"/>
    </row>
    <row r="106" spans="3:18" x14ac:dyDescent="0.25">
      <c r="C106" s="274"/>
      <c r="E106" s="274"/>
      <c r="F106" s="274"/>
      <c r="G106" s="274"/>
      <c r="H106" s="274"/>
      <c r="I106" s="274"/>
      <c r="J106" s="274"/>
      <c r="K106" s="274"/>
      <c r="L106" s="274"/>
      <c r="M106" s="274"/>
      <c r="N106" s="274"/>
      <c r="O106" s="274"/>
      <c r="P106" s="274"/>
      <c r="Q106" s="274"/>
      <c r="R106" s="274"/>
    </row>
    <row r="107" spans="3:18" x14ac:dyDescent="0.25">
      <c r="C107" s="274"/>
      <c r="E107" s="274"/>
      <c r="F107" s="274"/>
      <c r="G107" s="274"/>
      <c r="H107" s="274"/>
      <c r="I107" s="274"/>
      <c r="J107" s="274"/>
      <c r="K107" s="274"/>
      <c r="L107" s="274"/>
      <c r="M107" s="274"/>
      <c r="N107" s="274"/>
      <c r="O107" s="274"/>
      <c r="P107" s="274"/>
      <c r="Q107" s="274"/>
      <c r="R107" s="274"/>
    </row>
    <row r="108" spans="3:18" x14ac:dyDescent="0.25">
      <c r="C108" s="274"/>
      <c r="E108" s="274"/>
      <c r="F108" s="274"/>
      <c r="G108" s="274"/>
      <c r="H108" s="274"/>
      <c r="I108" s="274"/>
      <c r="J108" s="274"/>
      <c r="K108" s="274"/>
      <c r="L108" s="274"/>
      <c r="M108" s="274"/>
      <c r="N108" s="274"/>
      <c r="O108" s="274"/>
      <c r="P108" s="274"/>
      <c r="Q108" s="274"/>
      <c r="R108" s="274"/>
    </row>
    <row r="109" spans="3:18" x14ac:dyDescent="0.25">
      <c r="C109" s="274"/>
      <c r="E109" s="274"/>
      <c r="F109" s="274"/>
      <c r="G109" s="274"/>
      <c r="H109" s="274"/>
      <c r="I109" s="274"/>
      <c r="J109" s="274"/>
      <c r="K109" s="274"/>
      <c r="L109" s="274"/>
      <c r="M109" s="274"/>
      <c r="N109" s="274"/>
      <c r="O109" s="274"/>
      <c r="P109" s="274"/>
      <c r="Q109" s="274"/>
      <c r="R109" s="274"/>
    </row>
    <row r="110" spans="3:18" x14ac:dyDescent="0.25">
      <c r="C110" s="274"/>
      <c r="E110" s="274"/>
      <c r="F110" s="274"/>
      <c r="G110" s="274"/>
      <c r="H110" s="274"/>
      <c r="I110" s="274"/>
      <c r="J110" s="274"/>
      <c r="K110" s="274"/>
      <c r="L110" s="274"/>
      <c r="M110" s="274"/>
      <c r="N110" s="274"/>
      <c r="O110" s="274"/>
      <c r="P110" s="274"/>
      <c r="Q110" s="274"/>
      <c r="R110" s="274"/>
    </row>
    <row r="111" spans="3:18" x14ac:dyDescent="0.25">
      <c r="C111" s="274"/>
      <c r="E111" s="274"/>
      <c r="F111" s="274"/>
      <c r="G111" s="274"/>
      <c r="H111" s="274"/>
      <c r="I111" s="274"/>
      <c r="J111" s="274"/>
      <c r="K111" s="274"/>
      <c r="L111" s="274"/>
      <c r="M111" s="274"/>
      <c r="N111" s="274"/>
      <c r="O111" s="274"/>
      <c r="P111" s="274"/>
      <c r="Q111" s="274"/>
      <c r="R111" s="274"/>
    </row>
    <row r="112" spans="3:18" x14ac:dyDescent="0.25">
      <c r="C112" s="274"/>
      <c r="E112" s="274"/>
      <c r="F112" s="274"/>
      <c r="G112" s="274"/>
      <c r="H112" s="274"/>
      <c r="I112" s="274"/>
      <c r="J112" s="274"/>
      <c r="K112" s="274"/>
      <c r="L112" s="274"/>
      <c r="M112" s="274"/>
      <c r="N112" s="274"/>
      <c r="O112" s="274"/>
      <c r="P112" s="274"/>
      <c r="Q112" s="274"/>
      <c r="R112" s="274"/>
    </row>
    <row r="113" spans="3:18" x14ac:dyDescent="0.25">
      <c r="C113" s="274"/>
      <c r="E113" s="274"/>
      <c r="F113" s="274"/>
      <c r="G113" s="274"/>
      <c r="H113" s="274"/>
      <c r="I113" s="274"/>
      <c r="J113" s="274"/>
      <c r="K113" s="274"/>
      <c r="L113" s="274"/>
      <c r="M113" s="274"/>
      <c r="N113" s="274"/>
      <c r="O113" s="274"/>
      <c r="P113" s="274"/>
      <c r="Q113" s="274"/>
      <c r="R113" s="274"/>
    </row>
    <row r="114" spans="3:18" x14ac:dyDescent="0.25">
      <c r="C114" s="274"/>
      <c r="E114" s="274"/>
      <c r="F114" s="274"/>
      <c r="G114" s="274"/>
      <c r="H114" s="274"/>
      <c r="I114" s="274"/>
      <c r="J114" s="274"/>
      <c r="K114" s="274"/>
      <c r="L114" s="274"/>
      <c r="M114" s="274"/>
      <c r="N114" s="274"/>
      <c r="O114" s="274"/>
      <c r="P114" s="274"/>
      <c r="Q114" s="274"/>
      <c r="R114" s="274"/>
    </row>
    <row r="115" spans="3:18" x14ac:dyDescent="0.25">
      <c r="C115" s="274"/>
      <c r="E115" s="274"/>
      <c r="F115" s="274"/>
      <c r="G115" s="274"/>
      <c r="H115" s="274"/>
      <c r="I115" s="274"/>
      <c r="J115" s="274"/>
      <c r="K115" s="274"/>
      <c r="L115" s="274"/>
      <c r="M115" s="274"/>
      <c r="N115" s="274"/>
      <c r="O115" s="274"/>
      <c r="P115" s="274"/>
      <c r="Q115" s="274"/>
      <c r="R115" s="274"/>
    </row>
    <row r="116" spans="3:18" x14ac:dyDescent="0.25">
      <c r="C116" s="274"/>
      <c r="E116" s="274"/>
      <c r="F116" s="274"/>
      <c r="G116" s="274"/>
      <c r="H116" s="274"/>
      <c r="I116" s="274"/>
      <c r="J116" s="274"/>
      <c r="K116" s="274"/>
      <c r="L116" s="274"/>
      <c r="M116" s="274"/>
      <c r="N116" s="274"/>
      <c r="O116" s="274"/>
      <c r="P116" s="274"/>
      <c r="Q116" s="274"/>
      <c r="R116" s="274"/>
    </row>
    <row r="117" spans="3:18" x14ac:dyDescent="0.25">
      <c r="C117" s="274"/>
      <c r="E117" s="274"/>
      <c r="F117" s="274"/>
      <c r="G117" s="274"/>
      <c r="H117" s="274"/>
      <c r="I117" s="274"/>
      <c r="J117" s="274"/>
      <c r="K117" s="274"/>
      <c r="L117" s="274"/>
      <c r="M117" s="274"/>
      <c r="N117" s="274"/>
      <c r="O117" s="274"/>
      <c r="P117" s="274"/>
      <c r="Q117" s="274"/>
      <c r="R117" s="274"/>
    </row>
    <row r="118" spans="3:18" x14ac:dyDescent="0.25">
      <c r="C118" s="274"/>
      <c r="E118" s="274"/>
      <c r="F118" s="274"/>
      <c r="G118" s="274"/>
      <c r="H118" s="274"/>
      <c r="I118" s="274"/>
      <c r="J118" s="274"/>
      <c r="K118" s="274"/>
      <c r="L118" s="274"/>
      <c r="M118" s="274"/>
      <c r="N118" s="274"/>
      <c r="O118" s="274"/>
      <c r="P118" s="274"/>
      <c r="Q118" s="274"/>
      <c r="R118" s="274"/>
    </row>
    <row r="119" spans="3:18" x14ac:dyDescent="0.25">
      <c r="C119" s="274"/>
      <c r="E119" s="274"/>
      <c r="F119" s="274"/>
      <c r="G119" s="274"/>
      <c r="H119" s="274"/>
      <c r="I119" s="274"/>
      <c r="J119" s="274"/>
      <c r="K119" s="274"/>
      <c r="L119" s="274"/>
      <c r="M119" s="274"/>
      <c r="N119" s="274"/>
      <c r="O119" s="274"/>
      <c r="P119" s="274"/>
      <c r="Q119" s="274"/>
      <c r="R119" s="274"/>
    </row>
    <row r="120" spans="3:18" x14ac:dyDescent="0.25">
      <c r="C120" s="274"/>
      <c r="E120" s="274"/>
      <c r="F120" s="274"/>
      <c r="G120" s="274"/>
      <c r="H120" s="274"/>
      <c r="I120" s="274"/>
      <c r="J120" s="274"/>
      <c r="K120" s="274"/>
      <c r="L120" s="274"/>
      <c r="M120" s="274"/>
      <c r="N120" s="274"/>
      <c r="O120" s="274"/>
      <c r="P120" s="274"/>
      <c r="Q120" s="274"/>
      <c r="R120" s="274"/>
    </row>
    <row r="121" spans="3:18" x14ac:dyDescent="0.25">
      <c r="C121" s="274"/>
      <c r="E121" s="274"/>
      <c r="F121" s="274"/>
      <c r="G121" s="274"/>
      <c r="H121" s="274"/>
      <c r="I121" s="274"/>
      <c r="J121" s="274"/>
      <c r="K121" s="274"/>
      <c r="L121" s="274"/>
      <c r="M121" s="274"/>
      <c r="N121" s="274"/>
      <c r="O121" s="274"/>
      <c r="P121" s="274"/>
      <c r="Q121" s="274"/>
      <c r="R121" s="274"/>
    </row>
    <row r="122" spans="3:18" x14ac:dyDescent="0.25">
      <c r="C122" s="274"/>
      <c r="E122" s="274"/>
      <c r="F122" s="274"/>
      <c r="G122" s="274"/>
      <c r="H122" s="274"/>
      <c r="I122" s="274"/>
      <c r="J122" s="274"/>
      <c r="K122" s="274"/>
      <c r="L122" s="274"/>
      <c r="M122" s="274"/>
      <c r="N122" s="274"/>
      <c r="O122" s="274"/>
      <c r="P122" s="274"/>
      <c r="Q122" s="274"/>
      <c r="R122" s="274"/>
    </row>
    <row r="123" spans="3:18" x14ac:dyDescent="0.25">
      <c r="C123" s="274"/>
      <c r="E123" s="274"/>
      <c r="F123" s="274"/>
      <c r="G123" s="274"/>
      <c r="H123" s="274"/>
      <c r="I123" s="274"/>
      <c r="J123" s="274"/>
      <c r="K123" s="274"/>
      <c r="L123" s="274"/>
      <c r="M123" s="274"/>
      <c r="N123" s="274"/>
      <c r="O123" s="274"/>
      <c r="P123" s="274"/>
      <c r="Q123" s="274"/>
      <c r="R123" s="274"/>
    </row>
    <row r="124" spans="3:18" x14ac:dyDescent="0.25">
      <c r="C124" s="274"/>
      <c r="E124" s="274"/>
      <c r="F124" s="274"/>
      <c r="G124" s="274"/>
      <c r="H124" s="274"/>
      <c r="I124" s="274"/>
      <c r="J124" s="274"/>
      <c r="K124" s="274"/>
      <c r="L124" s="274"/>
      <c r="M124" s="274"/>
      <c r="N124" s="274"/>
      <c r="O124" s="274"/>
      <c r="P124" s="274"/>
      <c r="Q124" s="274"/>
      <c r="R124" s="274"/>
    </row>
    <row r="125" spans="3:18" x14ac:dyDescent="0.25">
      <c r="C125" s="274"/>
      <c r="E125" s="274"/>
      <c r="F125" s="274"/>
      <c r="G125" s="274"/>
      <c r="H125" s="274"/>
      <c r="I125" s="274"/>
      <c r="J125" s="274"/>
      <c r="K125" s="274"/>
      <c r="L125" s="274"/>
      <c r="M125" s="274"/>
      <c r="N125" s="274"/>
      <c r="O125" s="274"/>
      <c r="P125" s="274"/>
      <c r="Q125" s="274"/>
      <c r="R125" s="274"/>
    </row>
    <row r="126" spans="3:18" x14ac:dyDescent="0.25">
      <c r="C126" s="274"/>
      <c r="E126" s="274"/>
      <c r="F126" s="274"/>
      <c r="G126" s="274"/>
      <c r="H126" s="274"/>
      <c r="I126" s="274"/>
      <c r="J126" s="274"/>
      <c r="K126" s="274"/>
      <c r="L126" s="274"/>
      <c r="M126" s="274"/>
      <c r="N126" s="274"/>
      <c r="O126" s="274"/>
      <c r="P126" s="274"/>
      <c r="Q126" s="274"/>
      <c r="R126" s="274"/>
    </row>
    <row r="127" spans="3:18" x14ac:dyDescent="0.25">
      <c r="C127" s="274"/>
      <c r="E127" s="274"/>
      <c r="F127" s="274"/>
      <c r="G127" s="274"/>
      <c r="H127" s="274"/>
      <c r="I127" s="274"/>
      <c r="J127" s="274"/>
      <c r="K127" s="274"/>
      <c r="L127" s="274"/>
      <c r="M127" s="274"/>
      <c r="N127" s="274"/>
      <c r="O127" s="274"/>
      <c r="P127" s="274"/>
      <c r="Q127" s="274"/>
      <c r="R127" s="274"/>
    </row>
    <row r="128" spans="3:18" x14ac:dyDescent="0.25">
      <c r="C128" s="274"/>
      <c r="E128" s="274"/>
      <c r="F128" s="274"/>
      <c r="G128" s="274"/>
      <c r="H128" s="274"/>
      <c r="I128" s="274"/>
      <c r="J128" s="274"/>
      <c r="K128" s="274"/>
      <c r="L128" s="274"/>
      <c r="M128" s="274"/>
      <c r="N128" s="274"/>
      <c r="O128" s="274"/>
      <c r="P128" s="274"/>
      <c r="Q128" s="274"/>
      <c r="R128" s="274"/>
    </row>
    <row r="129" spans="3:18" x14ac:dyDescent="0.25">
      <c r="C129" s="274"/>
      <c r="E129" s="274"/>
      <c r="F129" s="274"/>
      <c r="G129" s="274"/>
      <c r="H129" s="274"/>
      <c r="I129" s="274"/>
      <c r="J129" s="274"/>
      <c r="K129" s="274"/>
      <c r="L129" s="274"/>
      <c r="M129" s="274"/>
      <c r="N129" s="274"/>
      <c r="O129" s="274"/>
      <c r="P129" s="274"/>
      <c r="Q129" s="274"/>
      <c r="R129" s="274"/>
    </row>
    <row r="130" spans="3:18" x14ac:dyDescent="0.25">
      <c r="C130" s="274"/>
      <c r="E130" s="274"/>
      <c r="F130" s="274"/>
      <c r="G130" s="274"/>
      <c r="H130" s="274"/>
      <c r="I130" s="274"/>
      <c r="J130" s="274"/>
      <c r="K130" s="274"/>
      <c r="L130" s="274"/>
      <c r="M130" s="274"/>
      <c r="N130" s="274"/>
      <c r="O130" s="274"/>
      <c r="P130" s="274"/>
      <c r="Q130" s="274"/>
      <c r="R130" s="274"/>
    </row>
    <row r="131" spans="3:18" x14ac:dyDescent="0.25">
      <c r="C131" s="274"/>
      <c r="E131" s="274"/>
      <c r="F131" s="274"/>
      <c r="G131" s="274"/>
      <c r="H131" s="274"/>
      <c r="I131" s="274"/>
      <c r="J131" s="274"/>
      <c r="K131" s="274"/>
      <c r="L131" s="274"/>
      <c r="M131" s="274"/>
      <c r="N131" s="274"/>
      <c r="O131" s="274"/>
      <c r="P131" s="274"/>
      <c r="Q131" s="274"/>
      <c r="R131" s="274"/>
    </row>
    <row r="132" spans="3:18" x14ac:dyDescent="0.25">
      <c r="C132" s="274"/>
      <c r="E132" s="274"/>
      <c r="F132" s="274"/>
      <c r="G132" s="274"/>
      <c r="H132" s="274"/>
      <c r="I132" s="274"/>
      <c r="J132" s="274"/>
      <c r="K132" s="274"/>
      <c r="L132" s="274"/>
      <c r="M132" s="274"/>
      <c r="N132" s="274"/>
      <c r="O132" s="274"/>
      <c r="P132" s="274"/>
      <c r="Q132" s="274"/>
      <c r="R132" s="274"/>
    </row>
    <row r="133" spans="3:18" x14ac:dyDescent="0.25">
      <c r="C133" s="274"/>
      <c r="E133" s="274"/>
      <c r="F133" s="274"/>
      <c r="G133" s="274"/>
      <c r="H133" s="274"/>
      <c r="I133" s="274"/>
      <c r="J133" s="274"/>
      <c r="K133" s="274"/>
      <c r="L133" s="274"/>
      <c r="M133" s="274"/>
      <c r="N133" s="274"/>
      <c r="O133" s="274"/>
      <c r="P133" s="274"/>
      <c r="Q133" s="274"/>
      <c r="R133" s="274"/>
    </row>
    <row r="134" spans="3:18" x14ac:dyDescent="0.25">
      <c r="C134" s="274"/>
      <c r="E134" s="274"/>
      <c r="F134" s="274"/>
      <c r="G134" s="274"/>
      <c r="H134" s="274"/>
      <c r="I134" s="274"/>
      <c r="J134" s="274"/>
      <c r="K134" s="274"/>
      <c r="L134" s="274"/>
      <c r="M134" s="274"/>
      <c r="N134" s="274"/>
      <c r="O134" s="274"/>
      <c r="P134" s="274"/>
      <c r="Q134" s="274"/>
      <c r="R134" s="274"/>
    </row>
    <row r="135" spans="3:18" x14ac:dyDescent="0.25">
      <c r="C135" s="274"/>
      <c r="E135" s="274"/>
      <c r="F135" s="274"/>
      <c r="G135" s="274"/>
      <c r="H135" s="274"/>
      <c r="I135" s="274"/>
      <c r="J135" s="274"/>
      <c r="K135" s="274"/>
      <c r="L135" s="274"/>
      <c r="M135" s="274"/>
      <c r="N135" s="274"/>
      <c r="O135" s="274"/>
      <c r="P135" s="274"/>
      <c r="Q135" s="274"/>
      <c r="R135" s="274"/>
    </row>
    <row r="136" spans="3:18" x14ac:dyDescent="0.25">
      <c r="C136" s="274"/>
      <c r="E136" s="274"/>
      <c r="F136" s="274"/>
      <c r="G136" s="274"/>
      <c r="H136" s="274"/>
      <c r="I136" s="274"/>
      <c r="J136" s="274"/>
      <c r="K136" s="274"/>
      <c r="L136" s="274"/>
      <c r="M136" s="274"/>
      <c r="N136" s="274"/>
      <c r="O136" s="274"/>
      <c r="P136" s="274"/>
      <c r="Q136" s="274"/>
      <c r="R136" s="274"/>
    </row>
    <row r="137" spans="3:18" x14ac:dyDescent="0.25">
      <c r="C137" s="274"/>
      <c r="E137" s="274"/>
      <c r="F137" s="274"/>
      <c r="G137" s="274"/>
      <c r="H137" s="274"/>
      <c r="I137" s="274"/>
      <c r="J137" s="274"/>
      <c r="K137" s="274"/>
      <c r="L137" s="274"/>
      <c r="M137" s="274"/>
      <c r="N137" s="274"/>
      <c r="O137" s="274"/>
      <c r="P137" s="274"/>
      <c r="Q137" s="274"/>
      <c r="R137" s="274"/>
    </row>
    <row r="138" spans="3:18" x14ac:dyDescent="0.25">
      <c r="C138" s="274"/>
      <c r="E138" s="274"/>
      <c r="F138" s="274"/>
      <c r="G138" s="274"/>
      <c r="H138" s="274"/>
      <c r="I138" s="274"/>
      <c r="J138" s="274"/>
      <c r="K138" s="274"/>
      <c r="L138" s="274"/>
      <c r="M138" s="274"/>
      <c r="N138" s="274"/>
      <c r="O138" s="274"/>
      <c r="P138" s="274"/>
      <c r="Q138" s="274"/>
      <c r="R138" s="274"/>
    </row>
    <row r="139" spans="3:18" x14ac:dyDescent="0.25">
      <c r="C139" s="274"/>
      <c r="E139" s="274"/>
      <c r="F139" s="274"/>
      <c r="G139" s="274"/>
      <c r="H139" s="274"/>
      <c r="I139" s="274"/>
      <c r="J139" s="274"/>
      <c r="K139" s="274"/>
      <c r="L139" s="274"/>
      <c r="M139" s="274"/>
      <c r="N139" s="274"/>
      <c r="O139" s="274"/>
      <c r="P139" s="274"/>
      <c r="Q139" s="274"/>
      <c r="R139" s="274"/>
    </row>
    <row r="140" spans="3:18" x14ac:dyDescent="0.25">
      <c r="C140" s="274"/>
      <c r="E140" s="274"/>
      <c r="F140" s="274"/>
      <c r="G140" s="274"/>
      <c r="H140" s="274"/>
      <c r="I140" s="274"/>
      <c r="J140" s="274"/>
      <c r="K140" s="274"/>
      <c r="L140" s="274"/>
      <c r="M140" s="274"/>
      <c r="N140" s="274"/>
      <c r="O140" s="274"/>
      <c r="P140" s="274"/>
      <c r="Q140" s="274"/>
      <c r="R140" s="274"/>
    </row>
    <row r="141" spans="3:18" x14ac:dyDescent="0.25">
      <c r="C141" s="274"/>
      <c r="E141" s="274"/>
      <c r="F141" s="274"/>
      <c r="G141" s="274"/>
      <c r="H141" s="274"/>
      <c r="I141" s="274"/>
      <c r="J141" s="274"/>
      <c r="K141" s="274"/>
      <c r="L141" s="274"/>
      <c r="M141" s="274"/>
      <c r="N141" s="274"/>
      <c r="O141" s="274"/>
      <c r="P141" s="274"/>
      <c r="Q141" s="274"/>
      <c r="R141" s="274"/>
    </row>
    <row r="142" spans="3:18" x14ac:dyDescent="0.25">
      <c r="C142" s="274"/>
      <c r="E142" s="274"/>
      <c r="F142" s="274"/>
      <c r="G142" s="274"/>
      <c r="H142" s="274"/>
      <c r="I142" s="274"/>
      <c r="J142" s="274"/>
      <c r="K142" s="274"/>
      <c r="L142" s="274"/>
      <c r="M142" s="274"/>
      <c r="N142" s="274"/>
      <c r="O142" s="274"/>
      <c r="P142" s="274"/>
      <c r="Q142" s="274"/>
      <c r="R142" s="274"/>
    </row>
    <row r="143" spans="3:18" x14ac:dyDescent="0.25">
      <c r="C143" s="274"/>
      <c r="E143" s="274"/>
      <c r="F143" s="274"/>
      <c r="G143" s="274"/>
      <c r="H143" s="274"/>
      <c r="I143" s="274"/>
      <c r="J143" s="274"/>
      <c r="K143" s="274"/>
      <c r="L143" s="274"/>
      <c r="M143" s="274"/>
      <c r="N143" s="274"/>
      <c r="O143" s="274"/>
      <c r="P143" s="274"/>
      <c r="Q143" s="274"/>
      <c r="R143" s="274"/>
    </row>
    <row r="144" spans="3:18" x14ac:dyDescent="0.25">
      <c r="C144" s="274"/>
      <c r="E144" s="274"/>
      <c r="F144" s="274"/>
      <c r="G144" s="274"/>
      <c r="H144" s="274"/>
      <c r="I144" s="274"/>
      <c r="J144" s="274"/>
      <c r="K144" s="274"/>
      <c r="L144" s="274"/>
      <c r="M144" s="274"/>
      <c r="N144" s="274"/>
      <c r="O144" s="274"/>
      <c r="P144" s="274"/>
      <c r="Q144" s="274"/>
      <c r="R144" s="274"/>
    </row>
    <row r="145" spans="3:18" x14ac:dyDescent="0.25">
      <c r="C145" s="274"/>
      <c r="E145" s="274"/>
      <c r="F145" s="274"/>
      <c r="G145" s="274"/>
      <c r="H145" s="274"/>
      <c r="I145" s="274"/>
      <c r="J145" s="274"/>
      <c r="K145" s="274"/>
      <c r="L145" s="274"/>
      <c r="M145" s="274"/>
      <c r="N145" s="274"/>
      <c r="O145" s="274"/>
      <c r="P145" s="274"/>
      <c r="Q145" s="274"/>
      <c r="R145" s="274"/>
    </row>
    <row r="146" spans="3:18" x14ac:dyDescent="0.25">
      <c r="C146" s="274"/>
      <c r="E146" s="274"/>
      <c r="F146" s="274"/>
      <c r="G146" s="274"/>
      <c r="H146" s="274"/>
      <c r="I146" s="274"/>
      <c r="J146" s="274"/>
      <c r="K146" s="274"/>
      <c r="L146" s="274"/>
      <c r="M146" s="274"/>
      <c r="N146" s="274"/>
      <c r="O146" s="274"/>
      <c r="P146" s="274"/>
      <c r="Q146" s="274"/>
      <c r="R146" s="274"/>
    </row>
    <row r="147" spans="3:18" x14ac:dyDescent="0.25">
      <c r="C147" s="274"/>
      <c r="E147" s="274"/>
      <c r="F147" s="274"/>
      <c r="G147" s="274"/>
      <c r="H147" s="274"/>
      <c r="I147" s="274"/>
      <c r="J147" s="274"/>
      <c r="K147" s="274"/>
      <c r="L147" s="274"/>
      <c r="M147" s="274"/>
      <c r="N147" s="274"/>
      <c r="O147" s="274"/>
      <c r="P147" s="274"/>
      <c r="Q147" s="274"/>
      <c r="R147" s="274"/>
    </row>
    <row r="148" spans="3:18" x14ac:dyDescent="0.25">
      <c r="C148" s="274"/>
      <c r="E148" s="274"/>
      <c r="F148" s="274"/>
      <c r="G148" s="274"/>
      <c r="H148" s="274"/>
      <c r="I148" s="274"/>
      <c r="J148" s="274"/>
      <c r="K148" s="274"/>
      <c r="L148" s="274"/>
      <c r="M148" s="274"/>
      <c r="N148" s="274"/>
      <c r="O148" s="274"/>
      <c r="P148" s="274"/>
      <c r="Q148" s="274"/>
      <c r="R148" s="274"/>
    </row>
    <row r="149" spans="3:18" x14ac:dyDescent="0.25">
      <c r="C149" s="274"/>
      <c r="E149" s="274"/>
      <c r="F149" s="274"/>
      <c r="G149" s="274"/>
      <c r="H149" s="274"/>
      <c r="I149" s="274"/>
      <c r="J149" s="274"/>
      <c r="K149" s="274"/>
      <c r="L149" s="274"/>
      <c r="M149" s="274"/>
      <c r="N149" s="274"/>
      <c r="O149" s="274"/>
      <c r="P149" s="274"/>
      <c r="Q149" s="274"/>
      <c r="R149" s="274"/>
    </row>
    <row r="150" spans="3:18" x14ac:dyDescent="0.25">
      <c r="C150" s="274"/>
    </row>
    <row r="151" spans="3:18" x14ac:dyDescent="0.25">
      <c r="C151" s="274"/>
    </row>
    <row r="152" spans="3:18" x14ac:dyDescent="0.25">
      <c r="C152" s="274"/>
    </row>
    <row r="153" spans="3:18" x14ac:dyDescent="0.25">
      <c r="C153" s="274"/>
    </row>
  </sheetData>
  <pageMargins left="0.511811024" right="0.511811024" top="0.78740157499999996" bottom="0.78740157499999996" header="0.31496062000000002" footer="0.31496062000000002"/>
  <pageSetup paperSize="9" orientation="portrait" r:id="rId1"/>
  <ignoredErrors>
    <ignoredError sqref="E2"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3"/>
  <sheetViews>
    <sheetView showGridLines="0" zoomScale="80" zoomScaleNormal="80" workbookViewId="0">
      <pane xSplit="3" ySplit="2" topLeftCell="D3" activePane="bottomRight" state="frozen"/>
      <selection activeCell="D16" sqref="D16"/>
      <selection pane="topRight" activeCell="D16" sqref="D16"/>
      <selection pane="bottomLeft" activeCell="D16" sqref="D16"/>
      <selection pane="bottomRight"/>
    </sheetView>
  </sheetViews>
  <sheetFormatPr defaultColWidth="12.625" defaultRowHeight="15" customHeight="1" x14ac:dyDescent="0.2"/>
  <cols>
    <col min="1" max="1" width="3.375" style="64" customWidth="1"/>
    <col min="2" max="2" width="45.625" style="64" customWidth="1"/>
    <col min="3" max="3" width="30" style="64" customWidth="1"/>
    <col min="4" max="23" width="11.375" style="64" customWidth="1"/>
    <col min="24" max="24" width="12.125" style="64" customWidth="1"/>
    <col min="25" max="39" width="11.375" style="64" customWidth="1"/>
    <col min="40" max="40" width="3.625" style="64" customWidth="1"/>
    <col min="41" max="49" width="11.375" style="64" customWidth="1"/>
    <col min="50" max="16384" width="12.625" style="64"/>
  </cols>
  <sheetData>
    <row r="1" spans="2:50" ht="37.5" customHeight="1" x14ac:dyDescent="0.2"/>
    <row r="2" spans="2:50" ht="33.75" customHeight="1" x14ac:dyDescent="0.2">
      <c r="B2" s="99" t="s">
        <v>788</v>
      </c>
      <c r="C2" s="99" t="s">
        <v>858</v>
      </c>
      <c r="D2" s="99" t="s">
        <v>1092</v>
      </c>
      <c r="E2" s="99" t="s">
        <v>1010</v>
      </c>
      <c r="F2" s="99" t="s">
        <v>1007</v>
      </c>
      <c r="G2" s="99" t="s">
        <v>1004</v>
      </c>
      <c r="H2" s="99" t="s">
        <v>986</v>
      </c>
      <c r="I2" s="99" t="s">
        <v>894</v>
      </c>
      <c r="J2" s="99" t="s">
        <v>893</v>
      </c>
      <c r="K2" s="99" t="s">
        <v>876</v>
      </c>
      <c r="L2" s="99" t="s">
        <v>846</v>
      </c>
      <c r="M2" s="99" t="s">
        <v>838</v>
      </c>
      <c r="N2" s="99" t="s">
        <v>823</v>
      </c>
      <c r="O2" s="99" t="s">
        <v>762</v>
      </c>
      <c r="P2" s="99" t="s">
        <v>742</v>
      </c>
      <c r="Q2" s="99" t="s">
        <v>718</v>
      </c>
      <c r="R2" s="99" t="s">
        <v>703</v>
      </c>
      <c r="S2" s="99" t="s">
        <v>685</v>
      </c>
      <c r="T2" s="99" t="s">
        <v>670</v>
      </c>
      <c r="U2" s="99" t="s">
        <v>630</v>
      </c>
      <c r="V2" s="99" t="s">
        <v>618</v>
      </c>
      <c r="W2" s="99" t="s">
        <v>591</v>
      </c>
      <c r="X2" s="99" t="s">
        <v>551</v>
      </c>
      <c r="Y2" s="99" t="s">
        <v>153</v>
      </c>
      <c r="Z2" s="99" t="s">
        <v>0</v>
      </c>
      <c r="AA2" s="99" t="s">
        <v>1</v>
      </c>
      <c r="AB2" s="101" t="s">
        <v>2</v>
      </c>
      <c r="AC2" s="101" t="s">
        <v>3</v>
      </c>
      <c r="AD2" s="101" t="s">
        <v>4</v>
      </c>
      <c r="AE2" s="101" t="s">
        <v>5</v>
      </c>
      <c r="AF2" s="103" t="s">
        <v>6</v>
      </c>
      <c r="AG2" s="103" t="s">
        <v>7</v>
      </c>
      <c r="AH2" s="103" t="s">
        <v>8</v>
      </c>
      <c r="AI2" s="103" t="s">
        <v>9</v>
      </c>
      <c r="AJ2" s="103" t="s">
        <v>10</v>
      </c>
      <c r="AK2" s="103" t="s">
        <v>11</v>
      </c>
      <c r="AL2" s="103" t="s">
        <v>12</v>
      </c>
      <c r="AM2" s="106" t="s">
        <v>13</v>
      </c>
      <c r="AO2" s="107">
        <v>2017</v>
      </c>
      <c r="AP2" s="107">
        <v>2018</v>
      </c>
      <c r="AQ2" s="107">
        <v>2019</v>
      </c>
      <c r="AR2" s="107">
        <v>2020</v>
      </c>
      <c r="AS2" s="107">
        <v>2021</v>
      </c>
      <c r="AT2" s="107">
        <v>2022</v>
      </c>
      <c r="AU2" s="107">
        <v>2023</v>
      </c>
      <c r="AV2" s="107">
        <v>2024</v>
      </c>
      <c r="AW2" s="107">
        <v>2025</v>
      </c>
    </row>
    <row r="3" spans="2:50" s="73" customFormat="1" ht="14.45" customHeight="1" x14ac:dyDescent="0.2">
      <c r="B3" s="109" t="s">
        <v>88</v>
      </c>
      <c r="C3" s="109" t="s">
        <v>89</v>
      </c>
      <c r="D3" s="112">
        <v>3015626</v>
      </c>
      <c r="E3" s="112">
        <v>2399866</v>
      </c>
      <c r="F3" s="112">
        <v>2297903</v>
      </c>
      <c r="G3" s="112">
        <v>1965274</v>
      </c>
      <c r="H3" s="112">
        <v>2744393</v>
      </c>
      <c r="I3" s="112">
        <v>2226288</v>
      </c>
      <c r="J3" s="112">
        <v>2156317</v>
      </c>
      <c r="K3" s="112">
        <v>1882579</v>
      </c>
      <c r="L3" s="112">
        <v>2676586.3285252452</v>
      </c>
      <c r="M3" s="110">
        <v>2250039.4249947462</v>
      </c>
      <c r="N3" s="110">
        <v>2008000.1350307364</v>
      </c>
      <c r="O3" s="110">
        <v>1850123.2810792557</v>
      </c>
      <c r="P3" s="110">
        <v>2509679.9908876559</v>
      </c>
      <c r="Q3" s="110">
        <v>1870443.9731251099</v>
      </c>
      <c r="R3" s="110">
        <v>1842606.6104430803</v>
      </c>
      <c r="S3" s="110">
        <v>1633108</v>
      </c>
      <c r="T3" s="110">
        <v>2114803</v>
      </c>
      <c r="U3" s="110">
        <v>1862618</v>
      </c>
      <c r="V3" s="110">
        <v>1385701.6495300001</v>
      </c>
      <c r="W3" s="110">
        <v>1026470.3504700001</v>
      </c>
      <c r="X3" s="110">
        <v>1374020</v>
      </c>
      <c r="Y3" s="110">
        <v>724281</v>
      </c>
      <c r="Z3" s="110">
        <v>312859.58984999999</v>
      </c>
      <c r="AA3" s="110">
        <v>639395.41015000001</v>
      </c>
      <c r="AB3" s="110">
        <v>1065689</v>
      </c>
      <c r="AC3" s="110">
        <v>777335</v>
      </c>
      <c r="AD3" s="110">
        <v>685769</v>
      </c>
      <c r="AE3" s="110">
        <v>664272.59423000028</v>
      </c>
      <c r="AF3" s="111">
        <v>908521.40560999885</v>
      </c>
      <c r="AG3" s="111">
        <v>707407.50207000005</v>
      </c>
      <c r="AH3" s="111">
        <v>648891.67522000044</v>
      </c>
      <c r="AI3" s="111">
        <v>579979.41710000078</v>
      </c>
      <c r="AJ3" s="111">
        <v>778964.21305999998</v>
      </c>
      <c r="AK3" s="111">
        <v>610749.27028000017</v>
      </c>
      <c r="AL3" s="111">
        <v>549113.24590999982</v>
      </c>
      <c r="AM3" s="111">
        <v>539644.29209</v>
      </c>
      <c r="AN3" s="72"/>
      <c r="AO3" s="111">
        <v>2478471.02134</v>
      </c>
      <c r="AP3" s="111">
        <v>2844800</v>
      </c>
      <c r="AQ3" s="110">
        <v>3193065</v>
      </c>
      <c r="AR3" s="110">
        <v>3050556</v>
      </c>
      <c r="AS3" s="110">
        <v>6389593</v>
      </c>
      <c r="AT3" s="110">
        <v>7855838.5744558461</v>
      </c>
      <c r="AU3" s="112">
        <v>8784749.1696299836</v>
      </c>
      <c r="AV3" s="112">
        <v>9009577</v>
      </c>
      <c r="AW3" s="112">
        <v>9678669</v>
      </c>
      <c r="AX3" s="47"/>
    </row>
    <row r="4" spans="2:50" s="73" customFormat="1" ht="14.45" customHeight="1" x14ac:dyDescent="0.2">
      <c r="B4" s="41" t="s">
        <v>577</v>
      </c>
      <c r="C4" s="42" t="s">
        <v>580</v>
      </c>
      <c r="D4" s="43">
        <v>1634384.6534500003</v>
      </c>
      <c r="E4" s="43">
        <v>1300070.2147100004</v>
      </c>
      <c r="F4" s="43">
        <v>1203890.5312500009</v>
      </c>
      <c r="G4" s="43">
        <v>1043755.92448</v>
      </c>
      <c r="H4" s="43">
        <v>1397556.6657199997</v>
      </c>
      <c r="I4" s="43">
        <v>1117408.9573499996</v>
      </c>
      <c r="J4" s="43">
        <v>1072881.6201249689</v>
      </c>
      <c r="K4" s="43">
        <v>926717.13021400012</v>
      </c>
      <c r="L4" s="43">
        <v>1336089.03195</v>
      </c>
      <c r="M4" s="43">
        <v>1106203.552250002</v>
      </c>
      <c r="N4" s="43">
        <v>1000993.9459499818</v>
      </c>
      <c r="O4" s="43">
        <v>879693.52714001585</v>
      </c>
      <c r="P4" s="43">
        <v>1433063.7550400002</v>
      </c>
      <c r="Q4" s="43">
        <v>1089038.5818699999</v>
      </c>
      <c r="R4" s="43">
        <v>969312.52083000063</v>
      </c>
      <c r="S4" s="43">
        <v>852632.53050999914</v>
      </c>
      <c r="T4" s="43">
        <v>1307335.8360199989</v>
      </c>
      <c r="U4" s="43">
        <v>965877.02745999955</v>
      </c>
      <c r="V4" s="43">
        <v>773255.78542000079</v>
      </c>
      <c r="W4" s="43">
        <v>604879.19973000023</v>
      </c>
      <c r="X4" s="43">
        <v>1163327.05103</v>
      </c>
      <c r="Y4" s="43">
        <v>724281</v>
      </c>
      <c r="Z4" s="43">
        <v>312859.58984999999</v>
      </c>
      <c r="AA4" s="43">
        <v>639395.41015000001</v>
      </c>
      <c r="AB4" s="43">
        <v>1065689.021029999</v>
      </c>
      <c r="AC4" s="43">
        <v>777335.04507000023</v>
      </c>
      <c r="AD4" s="43">
        <v>685768.5160900004</v>
      </c>
      <c r="AE4" s="43">
        <v>664272.59423000028</v>
      </c>
      <c r="AF4" s="44">
        <v>908521.40560999885</v>
      </c>
      <c r="AG4" s="44">
        <v>707407.50207000005</v>
      </c>
      <c r="AH4" s="44">
        <v>648891.67522000044</v>
      </c>
      <c r="AI4" s="44">
        <v>579979.41710000078</v>
      </c>
      <c r="AJ4" s="44">
        <v>778964.21305999998</v>
      </c>
      <c r="AK4" s="44">
        <v>610749.27028000017</v>
      </c>
      <c r="AL4" s="44">
        <v>549113.24590999982</v>
      </c>
      <c r="AM4" s="44">
        <v>539644.29209</v>
      </c>
      <c r="AN4" s="72"/>
      <c r="AO4" s="44">
        <v>2478471.02134</v>
      </c>
      <c r="AP4" s="44">
        <v>2844800</v>
      </c>
      <c r="AQ4" s="43">
        <v>3193065.1764199999</v>
      </c>
      <c r="AR4" s="43">
        <v>2839862.9661999997</v>
      </c>
      <c r="AS4" s="43">
        <v>3651347.8486299994</v>
      </c>
      <c r="AT4" s="43">
        <v>4344047.3882499998</v>
      </c>
      <c r="AU4" s="39">
        <v>4322980.0572899999</v>
      </c>
      <c r="AV4" s="39">
        <v>4514564.3734089686</v>
      </c>
      <c r="AW4" s="39">
        <v>5182101.3238900024</v>
      </c>
      <c r="AX4" s="47"/>
    </row>
    <row r="5" spans="2:50" s="73" customFormat="1" ht="14.45" customHeight="1" x14ac:dyDescent="0.2">
      <c r="B5" s="41" t="s">
        <v>578</v>
      </c>
      <c r="C5" s="42" t="s">
        <v>581</v>
      </c>
      <c r="D5" s="43">
        <v>1655455.6745299909</v>
      </c>
      <c r="E5" s="43">
        <v>1283318.1406400001</v>
      </c>
      <c r="F5" s="43">
        <v>1318192.5667900001</v>
      </c>
      <c r="G5" s="43">
        <v>1041306.0963099997</v>
      </c>
      <c r="H5" s="43">
        <v>1535339.0717200004</v>
      </c>
      <c r="I5" s="43">
        <v>1226391.3539199999</v>
      </c>
      <c r="J5" s="43">
        <v>1253239.1379699998</v>
      </c>
      <c r="K5" s="43">
        <v>1106747.2727000001</v>
      </c>
      <c r="L5" s="43">
        <v>1544331.9175052536</v>
      </c>
      <c r="M5" s="43">
        <v>1324609.6102847443</v>
      </c>
      <c r="N5" s="43">
        <v>1151331.342750754</v>
      </c>
      <c r="O5" s="43">
        <v>1081531.6072992396</v>
      </c>
      <c r="P5" s="43">
        <v>1261103.4214994498</v>
      </c>
      <c r="Q5" s="43">
        <v>929353.63980664453</v>
      </c>
      <c r="R5" s="43">
        <v>1003138.7358205867</v>
      </c>
      <c r="S5" s="43">
        <v>895061.07138249383</v>
      </c>
      <c r="T5" s="43">
        <v>962255.4902262385</v>
      </c>
      <c r="U5" s="43">
        <v>1046320.4801535318</v>
      </c>
      <c r="V5" s="43">
        <v>728432.33355999994</v>
      </c>
      <c r="W5" s="43">
        <v>492831.66644</v>
      </c>
      <c r="X5" s="43">
        <v>240330</v>
      </c>
      <c r="Y5" s="45">
        <v>0</v>
      </c>
      <c r="Z5" s="45">
        <v>0</v>
      </c>
      <c r="AA5" s="45">
        <v>0</v>
      </c>
      <c r="AB5" s="45">
        <v>0</v>
      </c>
      <c r="AC5" s="45">
        <v>0</v>
      </c>
      <c r="AD5" s="45">
        <v>0</v>
      </c>
      <c r="AE5" s="45">
        <v>0</v>
      </c>
      <c r="AF5" s="43">
        <v>0</v>
      </c>
      <c r="AG5" s="43">
        <v>0</v>
      </c>
      <c r="AH5" s="43">
        <v>0</v>
      </c>
      <c r="AI5" s="43">
        <v>0</v>
      </c>
      <c r="AJ5" s="43">
        <v>0</v>
      </c>
      <c r="AK5" s="43">
        <v>0</v>
      </c>
      <c r="AL5" s="43">
        <v>0</v>
      </c>
      <c r="AM5" s="43">
        <v>0</v>
      </c>
      <c r="AN5" s="47"/>
      <c r="AO5" s="43">
        <v>0</v>
      </c>
      <c r="AP5" s="43">
        <v>0</v>
      </c>
      <c r="AQ5" s="43">
        <v>0</v>
      </c>
      <c r="AR5" s="43">
        <v>240330</v>
      </c>
      <c r="AS5" s="43">
        <v>3229839.9703797703</v>
      </c>
      <c r="AT5" s="43">
        <v>4088656.8685091799</v>
      </c>
      <c r="AU5" s="39">
        <v>5101804.4778399915</v>
      </c>
      <c r="AV5" s="39">
        <v>5121716.8363099992</v>
      </c>
      <c r="AW5" s="39">
        <v>5298272.4782699915</v>
      </c>
      <c r="AX5" s="47"/>
    </row>
    <row r="6" spans="2:50" s="73" customFormat="1" ht="14.45" customHeight="1" x14ac:dyDescent="0.2">
      <c r="B6" s="41" t="s">
        <v>810</v>
      </c>
      <c r="C6" s="42" t="s">
        <v>582</v>
      </c>
      <c r="D6" s="43">
        <v>-274214.32797999121</v>
      </c>
      <c r="E6" s="43">
        <v>-183522.35535000078</v>
      </c>
      <c r="F6" s="43">
        <v>-224180.098040001</v>
      </c>
      <c r="G6" s="43">
        <v>-119788.02078999975</v>
      </c>
      <c r="H6" s="43">
        <v>-188502.73744000029</v>
      </c>
      <c r="I6" s="43">
        <v>-117512.31126999948</v>
      </c>
      <c r="J6" s="43">
        <v>-169803.75809496874</v>
      </c>
      <c r="K6" s="43">
        <v>-150885.40291400021</v>
      </c>
      <c r="L6" s="43">
        <v>-203834.62093000859</v>
      </c>
      <c r="M6" s="46">
        <v>-180773.73753999919</v>
      </c>
      <c r="N6" s="46">
        <v>-144325.15366999921</v>
      </c>
      <c r="O6" s="46">
        <v>-111101.85335999983</v>
      </c>
      <c r="P6" s="46">
        <v>-184487.18565179408</v>
      </c>
      <c r="Q6" s="46">
        <v>-147948.24855153449</v>
      </c>
      <c r="R6" s="46">
        <v>-129844.646207507</v>
      </c>
      <c r="S6" s="46">
        <v>-114585.60189249297</v>
      </c>
      <c r="T6" s="46">
        <v>-154788.32624623738</v>
      </c>
      <c r="U6" s="46">
        <v>-149579.50761353131</v>
      </c>
      <c r="V6" s="46">
        <v>-115986.46945000067</v>
      </c>
      <c r="W6" s="46">
        <v>-71240.515700000222</v>
      </c>
      <c r="X6" s="46">
        <v>-29637.051029999973</v>
      </c>
      <c r="Y6" s="45">
        <v>0</v>
      </c>
      <c r="Z6" s="45">
        <v>0</v>
      </c>
      <c r="AA6" s="45">
        <v>0</v>
      </c>
      <c r="AB6" s="45">
        <v>0</v>
      </c>
      <c r="AC6" s="45">
        <v>0</v>
      </c>
      <c r="AD6" s="45">
        <v>0</v>
      </c>
      <c r="AE6" s="47">
        <v>0</v>
      </c>
      <c r="AF6" s="46">
        <v>0</v>
      </c>
      <c r="AG6" s="46">
        <v>0</v>
      </c>
      <c r="AH6" s="46">
        <v>0</v>
      </c>
      <c r="AI6" s="46">
        <v>0</v>
      </c>
      <c r="AJ6" s="46">
        <v>0</v>
      </c>
      <c r="AK6" s="46">
        <v>0</v>
      </c>
      <c r="AL6" s="46">
        <v>0</v>
      </c>
      <c r="AM6" s="46">
        <v>0</v>
      </c>
      <c r="AN6" s="47"/>
      <c r="AO6" s="46">
        <v>0</v>
      </c>
      <c r="AP6" s="46">
        <v>0</v>
      </c>
      <c r="AQ6" s="43">
        <v>0</v>
      </c>
      <c r="AR6" s="46">
        <v>-29636.966199999675</v>
      </c>
      <c r="AS6" s="46">
        <v>-491594.81900976959</v>
      </c>
      <c r="AT6" s="46">
        <v>-576865.68230332853</v>
      </c>
      <c r="AU6" s="44">
        <v>-640035.36550000682</v>
      </c>
      <c r="AV6" s="44">
        <v>-626704.20971896872</v>
      </c>
      <c r="AW6" s="44">
        <v>-801704.80215999275</v>
      </c>
      <c r="AX6" s="47"/>
    </row>
    <row r="7" spans="2:50" s="73" customFormat="1" ht="14.45" customHeight="1" x14ac:dyDescent="0.2">
      <c r="B7" s="109" t="s">
        <v>94</v>
      </c>
      <c r="C7" s="109" t="s">
        <v>95</v>
      </c>
      <c r="D7" s="112">
        <v>2427832</v>
      </c>
      <c r="E7" s="112">
        <v>1936522</v>
      </c>
      <c r="F7" s="112">
        <v>1817700</v>
      </c>
      <c r="G7" s="112">
        <v>1554359</v>
      </c>
      <c r="H7" s="112">
        <v>2172270</v>
      </c>
      <c r="I7" s="112">
        <v>1770288</v>
      </c>
      <c r="J7" s="112">
        <v>1713937</v>
      </c>
      <c r="K7" s="112">
        <v>1495219</v>
      </c>
      <c r="L7" s="112">
        <v>2130140.4620500002</v>
      </c>
      <c r="M7" s="110">
        <v>1793263.1564700003</v>
      </c>
      <c r="N7" s="110">
        <v>1593145.2825799999</v>
      </c>
      <c r="O7" s="110">
        <v>1472121.84133</v>
      </c>
      <c r="P7" s="110">
        <v>1983092.9971000003</v>
      </c>
      <c r="Q7" s="110">
        <v>1469979.72609</v>
      </c>
      <c r="R7" s="110">
        <v>1463007.07124</v>
      </c>
      <c r="S7" s="110">
        <v>1344627.20267</v>
      </c>
      <c r="T7" s="110">
        <v>1683464.3418999999</v>
      </c>
      <c r="U7" s="110">
        <v>1491315.6138299999</v>
      </c>
      <c r="V7" s="110">
        <v>1122845.9350400001</v>
      </c>
      <c r="W7" s="110">
        <v>812836.45112999994</v>
      </c>
      <c r="X7" s="110">
        <v>1074032.9015799998</v>
      </c>
      <c r="Y7" s="110">
        <v>569038</v>
      </c>
      <c r="Z7" s="110">
        <v>239372</v>
      </c>
      <c r="AA7" s="110">
        <v>505615</v>
      </c>
      <c r="AB7" s="110">
        <v>851709</v>
      </c>
      <c r="AC7" s="110">
        <v>621003</v>
      </c>
      <c r="AD7" s="110">
        <v>545533.17558999942</v>
      </c>
      <c r="AE7" s="110">
        <v>527176.82441000058</v>
      </c>
      <c r="AF7" s="113">
        <v>729711</v>
      </c>
      <c r="AG7" s="113">
        <v>565292</v>
      </c>
      <c r="AH7" s="113">
        <v>519193</v>
      </c>
      <c r="AI7" s="113">
        <v>460861</v>
      </c>
      <c r="AJ7" s="113">
        <v>623570</v>
      </c>
      <c r="AK7" s="113">
        <v>486306</v>
      </c>
      <c r="AL7" s="113">
        <v>434172.64930000005</v>
      </c>
      <c r="AM7" s="113">
        <v>424523</v>
      </c>
      <c r="AN7" s="46"/>
      <c r="AO7" s="113">
        <v>1968571.6493000002</v>
      </c>
      <c r="AP7" s="113">
        <v>2275057</v>
      </c>
      <c r="AQ7" s="110">
        <v>2545422</v>
      </c>
      <c r="AR7" s="110">
        <v>2388057.9015799998</v>
      </c>
      <c r="AS7" s="110">
        <v>5110461.9351300001</v>
      </c>
      <c r="AT7" s="110">
        <v>6260706.6496000001</v>
      </c>
      <c r="AU7" s="112">
        <v>6988670.7424300006</v>
      </c>
      <c r="AV7" s="112">
        <v>7151714</v>
      </c>
      <c r="AW7" s="112">
        <v>7736413</v>
      </c>
      <c r="AX7" s="47"/>
    </row>
    <row r="8" spans="2:50" s="73" customFormat="1" ht="14.45" customHeight="1" x14ac:dyDescent="0.2">
      <c r="B8" s="41" t="s">
        <v>592</v>
      </c>
      <c r="C8" s="42" t="s">
        <v>593</v>
      </c>
      <c r="D8" s="43">
        <v>1279837.3504700002</v>
      </c>
      <c r="E8" s="43">
        <v>1025039.4190600007</v>
      </c>
      <c r="F8" s="43">
        <v>940682.4850700004</v>
      </c>
      <c r="G8" s="43">
        <v>821436.15658000007</v>
      </c>
      <c r="H8" s="43">
        <v>1105083.0341299998</v>
      </c>
      <c r="I8" s="43">
        <v>894360.53274999978</v>
      </c>
      <c r="J8" s="43">
        <v>859853.83473340014</v>
      </c>
      <c r="K8" s="43">
        <v>738789.86782999989</v>
      </c>
      <c r="L8" s="43">
        <v>1071155.6924500004</v>
      </c>
      <c r="M8" s="43">
        <v>882733.04930000147</v>
      </c>
      <c r="N8" s="43">
        <v>802913.54060998175</v>
      </c>
      <c r="O8" s="43">
        <v>704593.56804001622</v>
      </c>
      <c r="P8" s="43">
        <v>1148216.3349600006</v>
      </c>
      <c r="Q8" s="43">
        <v>868724.05903000152</v>
      </c>
      <c r="R8" s="43">
        <v>788962.62094999978</v>
      </c>
      <c r="S8" s="43">
        <v>698577.06928000005</v>
      </c>
      <c r="T8" s="43">
        <v>1058314.8080500001</v>
      </c>
      <c r="U8" s="43">
        <v>782913.66737999977</v>
      </c>
      <c r="V8" s="43">
        <v>636786.95153000101</v>
      </c>
      <c r="W8" s="43">
        <v>477242.81540999998</v>
      </c>
      <c r="X8" s="43">
        <v>909792.38634999981</v>
      </c>
      <c r="Y8" s="43">
        <v>569038</v>
      </c>
      <c r="Z8" s="43">
        <v>239372</v>
      </c>
      <c r="AA8" s="43">
        <v>505615</v>
      </c>
      <c r="AB8" s="43">
        <v>851709</v>
      </c>
      <c r="AC8" s="43">
        <v>621003</v>
      </c>
      <c r="AD8" s="43">
        <v>545533.17558999942</v>
      </c>
      <c r="AE8" s="43">
        <v>527176.82441000058</v>
      </c>
      <c r="AF8" s="46">
        <v>729711</v>
      </c>
      <c r="AG8" s="46">
        <v>565292</v>
      </c>
      <c r="AH8" s="46">
        <v>519193</v>
      </c>
      <c r="AI8" s="46">
        <v>460861</v>
      </c>
      <c r="AJ8" s="46">
        <v>623570</v>
      </c>
      <c r="AK8" s="46">
        <v>486306</v>
      </c>
      <c r="AL8" s="46">
        <v>434172.64930000005</v>
      </c>
      <c r="AM8" s="46">
        <v>424523</v>
      </c>
      <c r="AN8" s="74"/>
      <c r="AO8" s="46">
        <v>1968571.6493000002</v>
      </c>
      <c r="AP8" s="46">
        <v>2275057</v>
      </c>
      <c r="AQ8" s="43">
        <v>2545422</v>
      </c>
      <c r="AR8" s="43">
        <v>2223817.3863499998</v>
      </c>
      <c r="AS8" s="43">
        <v>2955258.2421800001</v>
      </c>
      <c r="AT8" s="43">
        <v>3504480.4619100001</v>
      </c>
      <c r="AU8" s="39">
        <v>3461395.8503999999</v>
      </c>
      <c r="AV8" s="39">
        <v>3598087.2694433997</v>
      </c>
      <c r="AW8" s="39">
        <v>4066995.4111800017</v>
      </c>
      <c r="AX8" s="47"/>
    </row>
    <row r="9" spans="2:50" s="73" customFormat="1" ht="14.45" customHeight="1" x14ac:dyDescent="0.2">
      <c r="B9" s="41" t="s">
        <v>594</v>
      </c>
      <c r="C9" s="42" t="s">
        <v>595</v>
      </c>
      <c r="D9" s="43">
        <v>1379795.0503702033</v>
      </c>
      <c r="E9" s="43">
        <v>1061326.6159399995</v>
      </c>
      <c r="F9" s="43">
        <v>1046597.8915800002</v>
      </c>
      <c r="G9" s="43">
        <v>825362.92460999999</v>
      </c>
      <c r="H9" s="43">
        <v>1219875.3766300003</v>
      </c>
      <c r="I9" s="43">
        <v>971569.23207999999</v>
      </c>
      <c r="J9" s="43">
        <v>990631.52813999995</v>
      </c>
      <c r="K9" s="43">
        <v>877457.80990999995</v>
      </c>
      <c r="L9" s="43">
        <v>1224538.1691199997</v>
      </c>
      <c r="M9" s="43">
        <v>1057654.12078</v>
      </c>
      <c r="N9" s="43">
        <v>905979.76926999993</v>
      </c>
      <c r="O9" s="43">
        <v>855916.42077999993</v>
      </c>
      <c r="P9" s="43">
        <v>968838.68027966283</v>
      </c>
      <c r="Q9" s="43">
        <v>719244.4727599998</v>
      </c>
      <c r="R9" s="43">
        <v>783552.20714000007</v>
      </c>
      <c r="S9" s="43">
        <v>734496.61571000004</v>
      </c>
      <c r="T9" s="43">
        <v>746486.61857197434</v>
      </c>
      <c r="U9" s="43">
        <v>824856.81326999993</v>
      </c>
      <c r="V9" s="43">
        <v>574801.42054999992</v>
      </c>
      <c r="W9" s="43">
        <v>390777.91</v>
      </c>
      <c r="X9" s="43">
        <v>188294</v>
      </c>
      <c r="Y9" s="45">
        <v>0</v>
      </c>
      <c r="Z9" s="43">
        <v>0</v>
      </c>
      <c r="AA9" s="43">
        <v>0</v>
      </c>
      <c r="AB9" s="43">
        <v>0</v>
      </c>
      <c r="AC9" s="43">
        <v>0</v>
      </c>
      <c r="AD9" s="43">
        <v>0</v>
      </c>
      <c r="AE9" s="43">
        <v>0</v>
      </c>
      <c r="AF9" s="43">
        <v>0</v>
      </c>
      <c r="AG9" s="43">
        <v>0</v>
      </c>
      <c r="AH9" s="43">
        <v>0</v>
      </c>
      <c r="AI9" s="43">
        <v>0</v>
      </c>
      <c r="AJ9" s="43">
        <v>0</v>
      </c>
      <c r="AK9" s="43">
        <v>0</v>
      </c>
      <c r="AL9" s="43">
        <v>0</v>
      </c>
      <c r="AM9" s="43">
        <v>0</v>
      </c>
      <c r="AO9" s="43">
        <v>0</v>
      </c>
      <c r="AP9" s="43">
        <v>0</v>
      </c>
      <c r="AQ9" s="43">
        <v>0</v>
      </c>
      <c r="AR9" s="43">
        <v>188294</v>
      </c>
      <c r="AS9" s="43">
        <v>2536922.7623919742</v>
      </c>
      <c r="AT9" s="43">
        <v>3206131.9758896627</v>
      </c>
      <c r="AU9" s="39">
        <v>4044088.4799499996</v>
      </c>
      <c r="AV9" s="39">
        <v>4059533.9467600002</v>
      </c>
      <c r="AW9" s="39">
        <v>4313082.482500203</v>
      </c>
      <c r="AX9" s="47"/>
    </row>
    <row r="10" spans="2:50" s="73" customFormat="1" ht="14.45" customHeight="1" x14ac:dyDescent="0.2">
      <c r="B10" s="41" t="s">
        <v>810</v>
      </c>
      <c r="C10" s="42" t="s">
        <v>582</v>
      </c>
      <c r="D10" s="43">
        <v>-231800.40084020328</v>
      </c>
      <c r="E10" s="43">
        <v>-149844.03500000015</v>
      </c>
      <c r="F10" s="43">
        <v>-169580.37665000046</v>
      </c>
      <c r="G10" s="43">
        <v>-92440.081190000055</v>
      </c>
      <c r="H10" s="43">
        <v>-152688.41076000035</v>
      </c>
      <c r="I10" s="43">
        <v>-95641.764829999767</v>
      </c>
      <c r="J10" s="43">
        <v>-136548.3628734001</v>
      </c>
      <c r="K10" s="43">
        <v>-121028.67773999972</v>
      </c>
      <c r="L10" s="43">
        <v>-165553.39951999998</v>
      </c>
      <c r="M10" s="46">
        <v>-147124.01361000119</v>
      </c>
      <c r="N10" s="46">
        <v>-115748.0272999818</v>
      </c>
      <c r="O10" s="46">
        <v>-88388.147490016185</v>
      </c>
      <c r="P10" s="46">
        <v>-133962.01813966315</v>
      </c>
      <c r="Q10" s="46">
        <v>-117988.80570000131</v>
      </c>
      <c r="R10" s="46">
        <v>-109508.16871999996</v>
      </c>
      <c r="S10" s="46">
        <v>-88446.482319999952</v>
      </c>
      <c r="T10" s="46">
        <v>-121337.42662197445</v>
      </c>
      <c r="U10" s="46">
        <v>-116454.86681999988</v>
      </c>
      <c r="V10" s="46">
        <v>-88742.437040000921</v>
      </c>
      <c r="W10" s="46">
        <v>-55184.274280000012</v>
      </c>
      <c r="X10" s="46">
        <v>-24053.484769999981</v>
      </c>
      <c r="Y10" s="47">
        <v>0</v>
      </c>
      <c r="Z10" s="46">
        <v>0</v>
      </c>
      <c r="AA10" s="46">
        <v>0</v>
      </c>
      <c r="AB10" s="46">
        <v>0</v>
      </c>
      <c r="AC10" s="46">
        <v>0</v>
      </c>
      <c r="AD10" s="46">
        <v>0</v>
      </c>
      <c r="AE10" s="46">
        <v>0</v>
      </c>
      <c r="AF10" s="46">
        <v>0</v>
      </c>
      <c r="AG10" s="46">
        <v>0</v>
      </c>
      <c r="AH10" s="46">
        <v>0</v>
      </c>
      <c r="AI10" s="46">
        <v>0</v>
      </c>
      <c r="AJ10" s="46">
        <v>0</v>
      </c>
      <c r="AK10" s="46">
        <v>0</v>
      </c>
      <c r="AL10" s="46">
        <v>0</v>
      </c>
      <c r="AM10" s="46">
        <v>0</v>
      </c>
      <c r="AO10" s="46">
        <v>0</v>
      </c>
      <c r="AP10" s="46">
        <v>0</v>
      </c>
      <c r="AQ10" s="46">
        <v>0</v>
      </c>
      <c r="AR10" s="46">
        <v>-24053.484769999981</v>
      </c>
      <c r="AS10" s="46">
        <v>-381719.06944197416</v>
      </c>
      <c r="AT10" s="46">
        <v>-449905.78819966223</v>
      </c>
      <c r="AU10" s="44">
        <v>-516813.58791999915</v>
      </c>
      <c r="AV10" s="44">
        <v>-505907.21620339993</v>
      </c>
      <c r="AW10" s="44">
        <v>-643664.89368020394</v>
      </c>
      <c r="AX10" s="47"/>
    </row>
    <row r="11" spans="2:50" s="73" customFormat="1" ht="14.45" customHeight="1" x14ac:dyDescent="0.2">
      <c r="B11" s="42" t="s">
        <v>96</v>
      </c>
      <c r="C11" s="42" t="s">
        <v>97</v>
      </c>
      <c r="D11" s="43">
        <v>-1274693</v>
      </c>
      <c r="E11" s="43">
        <v>-1018825</v>
      </c>
      <c r="F11" s="43">
        <v>-925792</v>
      </c>
      <c r="G11" s="43">
        <v>-782020</v>
      </c>
      <c r="H11" s="43">
        <v>-1126113</v>
      </c>
      <c r="I11" s="43">
        <v>-886387</v>
      </c>
      <c r="J11" s="43">
        <v>-861122</v>
      </c>
      <c r="K11" s="43">
        <v>-764967</v>
      </c>
      <c r="L11" s="43">
        <v>-1145366.2922799997</v>
      </c>
      <c r="M11" s="43">
        <v>-957704.80376000027</v>
      </c>
      <c r="N11" s="43">
        <v>-835544.04778999998</v>
      </c>
      <c r="O11" s="43">
        <v>-735385.26653000002</v>
      </c>
      <c r="P11" s="43">
        <v>-1038966.9057599995</v>
      </c>
      <c r="Q11" s="43">
        <v>-765313.21778999991</v>
      </c>
      <c r="R11" s="43">
        <v>-792590.21688000008</v>
      </c>
      <c r="S11" s="43">
        <v>-722905.20267000003</v>
      </c>
      <c r="T11" s="43">
        <v>-873636</v>
      </c>
      <c r="U11" s="43">
        <v>-821238.26358000003</v>
      </c>
      <c r="V11" s="43">
        <v>-599846.94941999996</v>
      </c>
      <c r="W11" s="43">
        <v>-464129.78700000001</v>
      </c>
      <c r="X11" s="43">
        <v>-609863.27744000009</v>
      </c>
      <c r="Y11" s="43">
        <v>-321115</v>
      </c>
      <c r="Z11" s="43">
        <v>-155860.99999999997</v>
      </c>
      <c r="AA11" s="43">
        <v>-259232.00000000003</v>
      </c>
      <c r="AB11" s="43">
        <v>-441355</v>
      </c>
      <c r="AC11" s="43">
        <v>-314016</v>
      </c>
      <c r="AD11" s="43">
        <v>-268419.98999000073</v>
      </c>
      <c r="AE11" s="43">
        <v>-263019.01000999927</v>
      </c>
      <c r="AF11" s="48">
        <v>-375318</v>
      </c>
      <c r="AG11" s="48">
        <v>-291974</v>
      </c>
      <c r="AH11" s="48">
        <v>-256825</v>
      </c>
      <c r="AI11" s="48">
        <v>-235007</v>
      </c>
      <c r="AJ11" s="48">
        <v>-314457</v>
      </c>
      <c r="AK11" s="48">
        <v>-251679</v>
      </c>
      <c r="AL11" s="48">
        <v>-216648</v>
      </c>
      <c r="AM11" s="48">
        <v>-223818</v>
      </c>
      <c r="AN11" s="75"/>
      <c r="AO11" s="44">
        <v>-1006602</v>
      </c>
      <c r="AP11" s="44">
        <v>-1159124</v>
      </c>
      <c r="AQ11" s="43">
        <v>-1286810</v>
      </c>
      <c r="AR11" s="43">
        <v>-1346071.2774400001</v>
      </c>
      <c r="AS11" s="43">
        <v>-2758850.8601299999</v>
      </c>
      <c r="AT11" s="43">
        <v>-3319775.15227</v>
      </c>
      <c r="AU11" s="39">
        <v>-3674000.4103600006</v>
      </c>
      <c r="AV11" s="39">
        <v>-3638589</v>
      </c>
      <c r="AW11" s="39">
        <v>-4001330</v>
      </c>
      <c r="AX11" s="47"/>
    </row>
    <row r="12" spans="2:50" s="73" customFormat="1" ht="14.45" customHeight="1" x14ac:dyDescent="0.2">
      <c r="B12" s="109" t="s">
        <v>98</v>
      </c>
      <c r="C12" s="109" t="s">
        <v>99</v>
      </c>
      <c r="D12" s="112">
        <v>1153139</v>
      </c>
      <c r="E12" s="112">
        <v>917697</v>
      </c>
      <c r="F12" s="112">
        <v>891908</v>
      </c>
      <c r="G12" s="112">
        <v>772339</v>
      </c>
      <c r="H12" s="112">
        <v>1046157</v>
      </c>
      <c r="I12" s="112">
        <v>883901</v>
      </c>
      <c r="J12" s="112">
        <v>852815</v>
      </c>
      <c r="K12" s="112">
        <v>730252</v>
      </c>
      <c r="L12" s="112">
        <v>984774.1697700005</v>
      </c>
      <c r="M12" s="110">
        <v>835558.35271000001</v>
      </c>
      <c r="N12" s="110">
        <v>757601.65998999996</v>
      </c>
      <c r="O12" s="110">
        <v>736736.57479999994</v>
      </c>
      <c r="P12" s="110">
        <v>944126.09134000074</v>
      </c>
      <c r="Q12" s="110">
        <v>704666.5083000001</v>
      </c>
      <c r="R12" s="110">
        <v>670416.85435999988</v>
      </c>
      <c r="S12" s="110">
        <v>621722</v>
      </c>
      <c r="T12" s="110">
        <v>809828</v>
      </c>
      <c r="U12" s="110">
        <v>670078</v>
      </c>
      <c r="V12" s="110">
        <v>522999</v>
      </c>
      <c r="W12" s="110">
        <v>348706.66412999993</v>
      </c>
      <c r="X12" s="110">
        <v>464170</v>
      </c>
      <c r="Y12" s="110">
        <v>247923</v>
      </c>
      <c r="Z12" s="110">
        <v>83511</v>
      </c>
      <c r="AA12" s="110">
        <v>246383</v>
      </c>
      <c r="AB12" s="110">
        <v>410354</v>
      </c>
      <c r="AC12" s="110">
        <v>306987</v>
      </c>
      <c r="AD12" s="110">
        <v>277113.18559999869</v>
      </c>
      <c r="AE12" s="110">
        <v>264157.81440000131</v>
      </c>
      <c r="AF12" s="111">
        <v>354393</v>
      </c>
      <c r="AG12" s="111">
        <v>273318</v>
      </c>
      <c r="AH12" s="111">
        <v>262368</v>
      </c>
      <c r="AI12" s="111">
        <v>225854</v>
      </c>
      <c r="AJ12" s="111">
        <v>309113</v>
      </c>
      <c r="AK12" s="111">
        <v>234627</v>
      </c>
      <c r="AL12" s="111">
        <v>217525</v>
      </c>
      <c r="AM12" s="111">
        <v>200705</v>
      </c>
      <c r="AN12" s="75"/>
      <c r="AO12" s="111">
        <v>961970</v>
      </c>
      <c r="AP12" s="111">
        <v>1115933</v>
      </c>
      <c r="AQ12" s="110">
        <v>1258612</v>
      </c>
      <c r="AR12" s="110">
        <v>1041986.6241399999</v>
      </c>
      <c r="AS12" s="110">
        <v>2351611.0750000002</v>
      </c>
      <c r="AT12" s="110">
        <v>2940931.4973300006</v>
      </c>
      <c r="AU12" s="112">
        <v>3314670.7572700004</v>
      </c>
      <c r="AV12" s="112">
        <v>3513125</v>
      </c>
      <c r="AW12" s="112">
        <v>3735083</v>
      </c>
      <c r="AX12" s="47"/>
    </row>
    <row r="13" spans="2:50" s="73" customFormat="1" ht="14.45" customHeight="1" x14ac:dyDescent="0.2">
      <c r="B13" s="41" t="s">
        <v>811</v>
      </c>
      <c r="C13" s="42" t="s">
        <v>1001</v>
      </c>
      <c r="D13" s="43">
        <v>633492.14790000126</v>
      </c>
      <c r="E13" s="43">
        <v>510492.362178393</v>
      </c>
      <c r="F13" s="43">
        <v>482985.19556851528</v>
      </c>
      <c r="G13" s="43">
        <v>416701.43895000004</v>
      </c>
      <c r="H13" s="43">
        <v>546671.32338999992</v>
      </c>
      <c r="I13" s="43">
        <v>450567.74221999972</v>
      </c>
      <c r="J13" s="43">
        <v>435395.4089888545</v>
      </c>
      <c r="K13" s="43">
        <v>364632.66051999992</v>
      </c>
      <c r="L13" s="43">
        <v>517879.64292000188</v>
      </c>
      <c r="M13" s="43">
        <v>419691.85869000247</v>
      </c>
      <c r="N13" s="43">
        <v>414420.15095998056</v>
      </c>
      <c r="O13" s="43">
        <v>362711.82937001635</v>
      </c>
      <c r="P13" s="43">
        <v>534716.46358240605</v>
      </c>
      <c r="Q13" s="43">
        <v>406797.96</v>
      </c>
      <c r="R13" s="43">
        <v>397811.87057999999</v>
      </c>
      <c r="S13" s="43">
        <v>339122</v>
      </c>
      <c r="T13" s="43">
        <v>547227.80003000004</v>
      </c>
      <c r="U13" s="43">
        <v>392999.47462999995</v>
      </c>
      <c r="V13" s="43">
        <v>324762.78168000013</v>
      </c>
      <c r="W13" s="43">
        <v>214210.14095999999</v>
      </c>
      <c r="X13" s="43">
        <v>407236.38540999987</v>
      </c>
      <c r="Y13" s="43">
        <v>247923</v>
      </c>
      <c r="Z13" s="43">
        <v>83511</v>
      </c>
      <c r="AA13" s="43">
        <v>246383</v>
      </c>
      <c r="AB13" s="43">
        <v>410354</v>
      </c>
      <c r="AC13" s="43">
        <v>306987</v>
      </c>
      <c r="AD13" s="43">
        <v>277113.18559999869</v>
      </c>
      <c r="AE13" s="43">
        <v>264157.81440000131</v>
      </c>
      <c r="AF13" s="46">
        <v>354393</v>
      </c>
      <c r="AG13" s="46">
        <v>273318</v>
      </c>
      <c r="AH13" s="46">
        <v>262368</v>
      </c>
      <c r="AI13" s="46">
        <v>225854</v>
      </c>
      <c r="AJ13" s="46">
        <v>309113</v>
      </c>
      <c r="AK13" s="46">
        <v>234627</v>
      </c>
      <c r="AL13" s="46">
        <v>217525</v>
      </c>
      <c r="AM13" s="46">
        <v>200705</v>
      </c>
      <c r="AN13" s="74"/>
      <c r="AO13" s="46">
        <v>961970</v>
      </c>
      <c r="AP13" s="46">
        <v>1115933</v>
      </c>
      <c r="AQ13" s="43">
        <v>1258612</v>
      </c>
      <c r="AR13" s="43">
        <v>985053.38540999987</v>
      </c>
      <c r="AS13" s="43">
        <v>1479200.1973000001</v>
      </c>
      <c r="AT13" s="43">
        <v>1678448.4335924061</v>
      </c>
      <c r="AU13" s="39">
        <v>1714703.4819400012</v>
      </c>
      <c r="AV13" s="39">
        <v>1797267.1351188542</v>
      </c>
      <c r="AW13" s="39">
        <v>2043671.1445969096</v>
      </c>
      <c r="AX13" s="47"/>
    </row>
    <row r="14" spans="2:50" s="73" customFormat="1" ht="14.45" customHeight="1" x14ac:dyDescent="0.2">
      <c r="B14" s="41" t="s">
        <v>812</v>
      </c>
      <c r="C14" s="42" t="s">
        <v>1002</v>
      </c>
      <c r="D14" s="43">
        <v>546378.29726000014</v>
      </c>
      <c r="E14" s="43">
        <v>424756.32902000006</v>
      </c>
      <c r="F14" s="43">
        <v>423494.7805800002</v>
      </c>
      <c r="G14" s="43">
        <v>360389.83098999999</v>
      </c>
      <c r="H14" s="43">
        <v>518618.7888900002</v>
      </c>
      <c r="I14" s="43">
        <v>432649.8029400002</v>
      </c>
      <c r="J14" s="43">
        <v>435574.26708999998</v>
      </c>
      <c r="K14" s="43">
        <v>381209.10586999997</v>
      </c>
      <c r="L14" s="43">
        <v>491995.60380000016</v>
      </c>
      <c r="M14" s="43">
        <v>441850.70672999998</v>
      </c>
      <c r="N14" s="43">
        <v>374282.98379999993</v>
      </c>
      <c r="O14" s="43">
        <v>372850.14805999992</v>
      </c>
      <c r="P14" s="43">
        <v>412982.37241000007</v>
      </c>
      <c r="Q14" s="43">
        <v>310137.39990999992</v>
      </c>
      <c r="R14" s="43">
        <v>285152.94420999993</v>
      </c>
      <c r="S14" s="43">
        <v>294645</v>
      </c>
      <c r="T14" s="43">
        <v>272094.67205999978</v>
      </c>
      <c r="U14" s="43">
        <v>290660.10206</v>
      </c>
      <c r="V14" s="43">
        <v>207332.65812000001</v>
      </c>
      <c r="W14" s="43">
        <v>146898.57756999994</v>
      </c>
      <c r="X14" s="43">
        <v>64984</v>
      </c>
      <c r="Y14" s="43">
        <v>0</v>
      </c>
      <c r="Z14" s="43">
        <v>0</v>
      </c>
      <c r="AA14" s="43">
        <v>0</v>
      </c>
      <c r="AB14" s="43">
        <v>0</v>
      </c>
      <c r="AC14" s="43">
        <v>0</v>
      </c>
      <c r="AD14" s="43">
        <v>0</v>
      </c>
      <c r="AE14" s="43">
        <v>0</v>
      </c>
      <c r="AF14" s="43">
        <v>0</v>
      </c>
      <c r="AG14" s="43">
        <v>0</v>
      </c>
      <c r="AH14" s="43">
        <v>0</v>
      </c>
      <c r="AI14" s="43">
        <v>0</v>
      </c>
      <c r="AJ14" s="43">
        <v>0</v>
      </c>
      <c r="AK14" s="43">
        <v>0</v>
      </c>
      <c r="AL14" s="43">
        <v>0</v>
      </c>
      <c r="AM14" s="43">
        <v>0</v>
      </c>
      <c r="AO14" s="43">
        <v>0</v>
      </c>
      <c r="AP14" s="43">
        <v>0</v>
      </c>
      <c r="AQ14" s="43">
        <v>0</v>
      </c>
      <c r="AR14" s="43">
        <v>64984</v>
      </c>
      <c r="AS14" s="43">
        <v>916986.00980999973</v>
      </c>
      <c r="AT14" s="43">
        <v>1302918.04109</v>
      </c>
      <c r="AU14" s="39">
        <v>1680979.44239</v>
      </c>
      <c r="AV14" s="39">
        <v>1768051.9647900006</v>
      </c>
      <c r="AW14" s="39">
        <v>1755019.2378500004</v>
      </c>
      <c r="AX14" s="47"/>
    </row>
    <row r="15" spans="2:50" s="73" customFormat="1" ht="14.45" customHeight="1" x14ac:dyDescent="0.2">
      <c r="B15" s="41" t="s">
        <v>810</v>
      </c>
      <c r="C15" s="42" t="s">
        <v>582</v>
      </c>
      <c r="D15" s="43">
        <v>-26731.445160001516</v>
      </c>
      <c r="E15" s="43">
        <v>-17551.691198393004</v>
      </c>
      <c r="F15" s="43">
        <v>-14571.976148515474</v>
      </c>
      <c r="G15" s="43">
        <v>-4752.2699400000274</v>
      </c>
      <c r="H15" s="43">
        <v>-19133.112280000001</v>
      </c>
      <c r="I15" s="43">
        <v>683.45484000002034</v>
      </c>
      <c r="J15" s="43">
        <v>-18154.676078854478</v>
      </c>
      <c r="K15" s="43">
        <v>-15589.766389999888</v>
      </c>
      <c r="L15" s="43">
        <v>-25101.07695000153</v>
      </c>
      <c r="M15" s="46">
        <v>-25984.212710002437</v>
      </c>
      <c r="N15" s="46">
        <v>-31101.47476998053</v>
      </c>
      <c r="O15" s="46">
        <v>1174.5973699836759</v>
      </c>
      <c r="P15" s="46">
        <v>-3572.7446524053812</v>
      </c>
      <c r="Q15" s="46">
        <v>-12268.85160999978</v>
      </c>
      <c r="R15" s="46">
        <v>-12547.960430000094</v>
      </c>
      <c r="S15" s="46">
        <v>-12044.826650000061</v>
      </c>
      <c r="T15" s="46">
        <v>-9493.5137199996971</v>
      </c>
      <c r="U15" s="46">
        <v>-13581.576690000016</v>
      </c>
      <c r="V15" s="46">
        <v>-9096.4398000001675</v>
      </c>
      <c r="W15" s="46">
        <v>-12402.054400000023</v>
      </c>
      <c r="X15" s="46">
        <v>-8050.3854099998716</v>
      </c>
      <c r="Y15" s="46">
        <v>0</v>
      </c>
      <c r="Z15" s="46">
        <v>0</v>
      </c>
      <c r="AA15" s="46">
        <v>0</v>
      </c>
      <c r="AB15" s="46">
        <v>0</v>
      </c>
      <c r="AC15" s="46">
        <v>0</v>
      </c>
      <c r="AD15" s="46">
        <v>0</v>
      </c>
      <c r="AE15" s="46">
        <v>0</v>
      </c>
      <c r="AF15" s="46">
        <v>0</v>
      </c>
      <c r="AG15" s="46">
        <v>0</v>
      </c>
      <c r="AH15" s="46">
        <v>0</v>
      </c>
      <c r="AI15" s="46">
        <v>0</v>
      </c>
      <c r="AJ15" s="46">
        <v>0</v>
      </c>
      <c r="AK15" s="46">
        <v>0</v>
      </c>
      <c r="AL15" s="46">
        <v>0</v>
      </c>
      <c r="AM15" s="46">
        <v>0</v>
      </c>
      <c r="AO15" s="46">
        <v>0</v>
      </c>
      <c r="AP15" s="46">
        <v>0</v>
      </c>
      <c r="AQ15" s="46">
        <v>0</v>
      </c>
      <c r="AR15" s="46">
        <v>-8050.7612700000172</v>
      </c>
      <c r="AS15" s="46">
        <v>-44575.132109999598</v>
      </c>
      <c r="AT15" s="46">
        <v>-40434.977352405433</v>
      </c>
      <c r="AU15" s="44">
        <v>-81012.167060000822</v>
      </c>
      <c r="AV15" s="44">
        <v>-52194.099908854347</v>
      </c>
      <c r="AW15" s="44">
        <v>-63607.382446910022</v>
      </c>
      <c r="AX15" s="47"/>
    </row>
    <row r="16" spans="2:50" s="76" customFormat="1" ht="14.45" customHeight="1" x14ac:dyDescent="0.2">
      <c r="B16" s="49" t="s">
        <v>697</v>
      </c>
      <c r="C16" s="49" t="s">
        <v>698</v>
      </c>
      <c r="D16" s="217">
        <v>0.47496655452271819</v>
      </c>
      <c r="E16" s="217">
        <v>0.47388927159102762</v>
      </c>
      <c r="F16" s="217">
        <v>0.49067943004896297</v>
      </c>
      <c r="G16" s="217">
        <v>0.4968858545548358</v>
      </c>
      <c r="H16" s="217">
        <v>0.48159621041583228</v>
      </c>
      <c r="I16" s="217">
        <v>0.49929785436042046</v>
      </c>
      <c r="J16" s="217">
        <v>0.49757663204656882</v>
      </c>
      <c r="K16" s="217">
        <v>0.48839133264090412</v>
      </c>
      <c r="L16" s="217">
        <v>0.462304804455137</v>
      </c>
      <c r="M16" s="50">
        <v>0.46594296531178309</v>
      </c>
      <c r="N16" s="50">
        <v>0.47559799624744364</v>
      </c>
      <c r="O16" s="50">
        <v>0.50045896617795549</v>
      </c>
      <c r="P16" s="50">
        <v>0.47608765333781866</v>
      </c>
      <c r="Q16" s="50">
        <v>0.4793712922462311</v>
      </c>
      <c r="R16" s="50">
        <v>0.45824580587418151</v>
      </c>
      <c r="S16" s="50">
        <v>0.46237547188206329</v>
      </c>
      <c r="T16" s="50">
        <v>0.48104907137861141</v>
      </c>
      <c r="U16" s="50">
        <v>0.44931914038548443</v>
      </c>
      <c r="V16" s="50">
        <v>0.46577984002887157</v>
      </c>
      <c r="W16" s="50">
        <v>0.42899978666708438</v>
      </c>
      <c r="X16" s="50">
        <v>0.43217484242537058</v>
      </c>
      <c r="Y16" s="50">
        <v>0.43568795054108866</v>
      </c>
      <c r="Z16" s="50">
        <v>0.3488753906054175</v>
      </c>
      <c r="AA16" s="50">
        <v>0.48729369184062971</v>
      </c>
      <c r="AB16" s="50">
        <v>0.4818007089275797</v>
      </c>
      <c r="AC16" s="50">
        <v>0.49434060705020749</v>
      </c>
      <c r="AD16" s="50">
        <v>0.50796761406911339</v>
      </c>
      <c r="AE16" s="50">
        <v>0.50108009716784929</v>
      </c>
      <c r="AF16" s="35">
        <v>0.48566213199472119</v>
      </c>
      <c r="AG16" s="35">
        <v>0.4834987935438676</v>
      </c>
      <c r="AH16" s="35">
        <v>0.50533809200046997</v>
      </c>
      <c r="AI16" s="35">
        <v>0.49006967393639295</v>
      </c>
      <c r="AJ16" s="35">
        <v>0.49571499591064355</v>
      </c>
      <c r="AK16" s="35">
        <v>0.48246782889785444</v>
      </c>
      <c r="AL16" s="35">
        <v>0.50101037076081889</v>
      </c>
      <c r="AM16" s="35">
        <v>0.47277768224572048</v>
      </c>
      <c r="AN16" s="75"/>
      <c r="AO16" s="35">
        <v>0.48866395101344912</v>
      </c>
      <c r="AP16" s="35">
        <v>0.490507710356268</v>
      </c>
      <c r="AQ16" s="50">
        <v>0.49446103632325011</v>
      </c>
      <c r="AR16" s="50">
        <v>0.43633222772806096</v>
      </c>
      <c r="AS16" s="50">
        <v>0.46015626470764032</v>
      </c>
      <c r="AT16" s="50">
        <v>0.46974433748910727</v>
      </c>
      <c r="AU16" s="34">
        <v>0.47429201910254404</v>
      </c>
      <c r="AV16" s="34">
        <v>0.49122839643755328</v>
      </c>
      <c r="AW16" s="34">
        <v>0.48279260685798442</v>
      </c>
      <c r="AX16" s="47"/>
    </row>
    <row r="17" spans="1:50" ht="14.45" customHeight="1" x14ac:dyDescent="0.2">
      <c r="B17" s="114" t="s">
        <v>768</v>
      </c>
      <c r="C17" s="114" t="s">
        <v>761</v>
      </c>
      <c r="D17" s="112">
        <v>-972305.4919629998</v>
      </c>
      <c r="E17" s="112">
        <v>-754116.41439999989</v>
      </c>
      <c r="F17" s="112">
        <v>-754280.23820000014</v>
      </c>
      <c r="G17" s="112">
        <v>-625248.21044000005</v>
      </c>
      <c r="H17" s="112">
        <v>-842917.27082000033</v>
      </c>
      <c r="I17" s="112">
        <v>-682767.1985099999</v>
      </c>
      <c r="J17" s="112">
        <v>-705877.90078000003</v>
      </c>
      <c r="K17" s="112">
        <v>-570627.31351999997</v>
      </c>
      <c r="L17" s="112">
        <v>-774604.47319999977</v>
      </c>
      <c r="M17" s="112">
        <v>-634286.83421999984</v>
      </c>
      <c r="N17" s="112">
        <v>-676174.70807999989</v>
      </c>
      <c r="O17" s="112">
        <v>-604021.10652000003</v>
      </c>
      <c r="P17" s="112">
        <v>-737300.90347999986</v>
      </c>
      <c r="Q17" s="112">
        <v>-625196.62159000011</v>
      </c>
      <c r="R17" s="112">
        <v>-580985.43247999996</v>
      </c>
      <c r="S17" s="112">
        <v>-506782.39108999993</v>
      </c>
      <c r="T17" s="112">
        <v>-621255.84505999798</v>
      </c>
      <c r="U17" s="112">
        <v>-476833.27933999884</v>
      </c>
      <c r="V17" s="112">
        <v>-410245.03527000319</v>
      </c>
      <c r="W17" s="112">
        <v>-365629.28856999998</v>
      </c>
      <c r="X17" s="112">
        <v>-398922.04832000012</v>
      </c>
      <c r="Y17" s="112">
        <v>-263957</v>
      </c>
      <c r="Z17" s="112">
        <v>-177583.6666</v>
      </c>
      <c r="AA17" s="112">
        <v>-238890.666</v>
      </c>
      <c r="AB17" s="112">
        <v>-156649</v>
      </c>
      <c r="AC17" s="112">
        <v>-226437</v>
      </c>
      <c r="AD17" s="112">
        <v>-135753</v>
      </c>
      <c r="AE17" s="112">
        <v>-217452.55</v>
      </c>
      <c r="AF17" s="118">
        <v>-261457</v>
      </c>
      <c r="AG17" s="118">
        <v>-191314</v>
      </c>
      <c r="AH17" s="118">
        <v>-211454</v>
      </c>
      <c r="AI17" s="118">
        <v>-190995</v>
      </c>
      <c r="AJ17" s="115">
        <v>-224402.33798000013</v>
      </c>
      <c r="AK17" s="115">
        <v>-177163.35816999988</v>
      </c>
      <c r="AL17" s="115">
        <v>-165038.82153999992</v>
      </c>
      <c r="AM17" s="115">
        <v>-151106</v>
      </c>
      <c r="AN17" s="77"/>
      <c r="AO17" s="115">
        <v>-717710.51768999989</v>
      </c>
      <c r="AP17" s="115">
        <v>-855220</v>
      </c>
      <c r="AQ17" s="110">
        <v>-736291.55</v>
      </c>
      <c r="AR17" s="110">
        <v>-1079353.3809200001</v>
      </c>
      <c r="AS17" s="110">
        <v>-1873963.4482399998</v>
      </c>
      <c r="AT17" s="110">
        <v>-2450265.34864</v>
      </c>
      <c r="AU17" s="112">
        <v>-2689087.1220199992</v>
      </c>
      <c r="AV17" s="112">
        <v>-2802189.6836300003</v>
      </c>
      <c r="AW17" s="112">
        <v>-3105950.3550029998</v>
      </c>
      <c r="AX17" s="47"/>
    </row>
    <row r="18" spans="1:50" ht="14.45" customHeight="1" x14ac:dyDescent="0.2">
      <c r="B18" s="41" t="s">
        <v>820</v>
      </c>
      <c r="C18" s="42" t="s">
        <v>857</v>
      </c>
      <c r="D18" s="43">
        <v>-753606.72832299978</v>
      </c>
      <c r="E18" s="43">
        <v>-618472.8973999999</v>
      </c>
      <c r="F18" s="43">
        <v>-604539.67106000008</v>
      </c>
      <c r="G18" s="43">
        <v>-530971.74291000003</v>
      </c>
      <c r="H18" s="43">
        <v>-645131.20491000032</v>
      </c>
      <c r="I18" s="43">
        <v>-570264.35627999995</v>
      </c>
      <c r="J18" s="43">
        <v>-556129.37505999999</v>
      </c>
      <c r="K18" s="43">
        <v>-476991.13232999999</v>
      </c>
      <c r="L18" s="43">
        <v>-623558.22681999975</v>
      </c>
      <c r="M18" s="39">
        <v>-554199.25187999988</v>
      </c>
      <c r="N18" s="39">
        <v>-590805.43907999992</v>
      </c>
      <c r="O18" s="39">
        <v>-489201.30245000013</v>
      </c>
      <c r="P18" s="39">
        <v>-611123.02506999997</v>
      </c>
      <c r="Q18" s="39">
        <v>-532369.70225000009</v>
      </c>
      <c r="R18" s="39">
        <v>-475836.50500999996</v>
      </c>
      <c r="S18" s="39">
        <v>-401106.79081999994</v>
      </c>
      <c r="T18" s="39">
        <v>-467857.608989998</v>
      </c>
      <c r="U18" s="39">
        <v>-419502.27853999898</v>
      </c>
      <c r="V18" s="39">
        <v>-323591.36475000298</v>
      </c>
      <c r="W18" s="39">
        <v>-313941.93839999998</v>
      </c>
      <c r="X18" s="39">
        <v>-286583.81607000012</v>
      </c>
      <c r="Y18" s="39">
        <v>-208438</v>
      </c>
      <c r="Z18" s="39">
        <v>-148267.6666</v>
      </c>
      <c r="AA18" s="39">
        <v>-205110.666</v>
      </c>
      <c r="AB18" s="39">
        <v>-261324</v>
      </c>
      <c r="AC18" s="39">
        <v>-204282</v>
      </c>
      <c r="AD18" s="39">
        <v>-189791</v>
      </c>
      <c r="AE18" s="39">
        <v>-180430</v>
      </c>
      <c r="AF18" s="51">
        <v>-214325</v>
      </c>
      <c r="AG18" s="51">
        <v>-175214</v>
      </c>
      <c r="AH18" s="51">
        <v>-170759</v>
      </c>
      <c r="AI18" s="51">
        <v>-157446</v>
      </c>
      <c r="AJ18" s="52">
        <v>-213198.33798000013</v>
      </c>
      <c r="AK18" s="52">
        <v>-179078.35816999988</v>
      </c>
      <c r="AL18" s="52">
        <v>-165100.82153999992</v>
      </c>
      <c r="AM18" s="52">
        <v>-149183</v>
      </c>
      <c r="AN18" s="75"/>
      <c r="AO18" s="44">
        <v>-706560.51768999989</v>
      </c>
      <c r="AP18" s="44">
        <v>-717744</v>
      </c>
      <c r="AQ18" s="43">
        <v>-835827</v>
      </c>
      <c r="AR18" s="43">
        <v>-848400.14867000002</v>
      </c>
      <c r="AS18" s="43">
        <v>-1524893.19068</v>
      </c>
      <c r="AT18" s="43">
        <v>-2020436.02315</v>
      </c>
      <c r="AU18" s="39">
        <v>-2257764.2202299996</v>
      </c>
      <c r="AV18" s="39">
        <v>-2248516.0685800002</v>
      </c>
      <c r="AW18" s="39">
        <v>-2507591.0396929998</v>
      </c>
      <c r="AX18" s="47"/>
    </row>
    <row r="19" spans="1:50" ht="14.45" customHeight="1" x14ac:dyDescent="0.2">
      <c r="B19" s="41" t="s">
        <v>797</v>
      </c>
      <c r="C19" s="53" t="s">
        <v>868</v>
      </c>
      <c r="D19" s="43">
        <v>-165732.16012000002</v>
      </c>
      <c r="E19" s="43">
        <v>-136976.43187999999</v>
      </c>
      <c r="F19" s="43">
        <v>-149674.83599999998</v>
      </c>
      <c r="G19" s="43">
        <v>-98053.589000000007</v>
      </c>
      <c r="H19" s="43">
        <v>-188662.04463000002</v>
      </c>
      <c r="I19" s="43">
        <v>-122775.80351000006</v>
      </c>
      <c r="J19" s="43">
        <v>-153737.85791999998</v>
      </c>
      <c r="K19" s="43">
        <v>-101672.84894</v>
      </c>
      <c r="L19" s="43">
        <v>-137366.74903000001</v>
      </c>
      <c r="M19" s="39">
        <v>-89153.382339999982</v>
      </c>
      <c r="N19" s="39">
        <v>-92991.01569</v>
      </c>
      <c r="O19" s="39">
        <v>-115590.29549999999</v>
      </c>
      <c r="P19" s="39">
        <v>-145117.75096999999</v>
      </c>
      <c r="Q19" s="39">
        <v>-89832.20756000001</v>
      </c>
      <c r="R19" s="39">
        <v>-102521.51590000001</v>
      </c>
      <c r="S19" s="39">
        <v>-92659.525569999998</v>
      </c>
      <c r="T19" s="39">
        <v>-134307.66715999998</v>
      </c>
      <c r="U19" s="39">
        <v>-57875.094079999821</v>
      </c>
      <c r="V19" s="39">
        <v>-78177.426090000183</v>
      </c>
      <c r="W19" s="39">
        <v>-49843.882039999997</v>
      </c>
      <c r="X19" s="39">
        <v>-112681.69995000001</v>
      </c>
      <c r="Y19" s="39">
        <v>-39881</v>
      </c>
      <c r="Z19" s="39">
        <v>-23581</v>
      </c>
      <c r="AA19" s="39">
        <v>-37972</v>
      </c>
      <c r="AB19" s="39">
        <v>-196772</v>
      </c>
      <c r="AC19" s="39">
        <v>-29744</v>
      </c>
      <c r="AD19" s="39">
        <v>-30573</v>
      </c>
      <c r="AE19" s="39">
        <v>-37024</v>
      </c>
      <c r="AF19" s="51">
        <v>-51171</v>
      </c>
      <c r="AG19" s="51">
        <v>-14449</v>
      </c>
      <c r="AH19" s="51">
        <v>-41004</v>
      </c>
      <c r="AI19" s="51">
        <v>-33555</v>
      </c>
      <c r="AJ19" s="43">
        <v>0</v>
      </c>
      <c r="AK19" s="43">
        <v>0</v>
      </c>
      <c r="AL19" s="43">
        <v>0</v>
      </c>
      <c r="AM19" s="43">
        <v>0</v>
      </c>
      <c r="AO19" s="43">
        <v>0</v>
      </c>
      <c r="AP19" s="44">
        <v>-140179</v>
      </c>
      <c r="AQ19" s="43">
        <v>-294113</v>
      </c>
      <c r="AR19" s="43">
        <v>-214115.69995000001</v>
      </c>
      <c r="AS19" s="43">
        <v>-320204.06936999998</v>
      </c>
      <c r="AT19" s="43">
        <v>-430131</v>
      </c>
      <c r="AU19" s="39">
        <v>-435101.44256</v>
      </c>
      <c r="AV19" s="39">
        <v>-566848.55500000005</v>
      </c>
      <c r="AW19" s="39">
        <v>-550437.01699999999</v>
      </c>
      <c r="AX19" s="47"/>
    </row>
    <row r="20" spans="1:50" ht="14.45" customHeight="1" x14ac:dyDescent="0.2">
      <c r="B20" s="41" t="s">
        <v>769</v>
      </c>
      <c r="C20" s="53" t="s">
        <v>869</v>
      </c>
      <c r="D20" s="43">
        <v>-52966.603520000004</v>
      </c>
      <c r="E20" s="43">
        <v>1332.9148800000016</v>
      </c>
      <c r="F20" s="43">
        <v>-65.731139999999414</v>
      </c>
      <c r="G20" s="43">
        <v>3777.1214699999991</v>
      </c>
      <c r="H20" s="43">
        <v>-9124.021279999999</v>
      </c>
      <c r="I20" s="43">
        <v>10272.961279999994</v>
      </c>
      <c r="J20" s="43">
        <v>3989.3321999999989</v>
      </c>
      <c r="K20" s="43">
        <v>8036.6677500000005</v>
      </c>
      <c r="L20" s="43">
        <v>-13679.497349999994</v>
      </c>
      <c r="M20" s="39">
        <v>9065.8000000000011</v>
      </c>
      <c r="N20" s="39">
        <v>7621.7466900000027</v>
      </c>
      <c r="O20" s="39">
        <v>770.49143000000799</v>
      </c>
      <c r="P20" s="39">
        <v>18939.87256</v>
      </c>
      <c r="Q20" s="39">
        <v>-2994.7117800000015</v>
      </c>
      <c r="R20" s="39">
        <v>-2627.4115699999993</v>
      </c>
      <c r="S20" s="39">
        <v>-13016.074700000001</v>
      </c>
      <c r="T20" s="39">
        <v>-19090.568910000002</v>
      </c>
      <c r="U20" s="39">
        <v>544.09327999999743</v>
      </c>
      <c r="V20" s="39">
        <v>-8476.2444299999952</v>
      </c>
      <c r="W20" s="39">
        <v>-1843.46813</v>
      </c>
      <c r="X20" s="39">
        <v>343.46769999999555</v>
      </c>
      <c r="Y20" s="39">
        <v>-15638</v>
      </c>
      <c r="Z20" s="39">
        <v>-5735</v>
      </c>
      <c r="AA20" s="39">
        <v>4192</v>
      </c>
      <c r="AB20" s="39">
        <v>301447</v>
      </c>
      <c r="AC20" s="39">
        <v>7589</v>
      </c>
      <c r="AD20" s="39">
        <v>84611</v>
      </c>
      <c r="AE20" s="39">
        <v>1.45</v>
      </c>
      <c r="AF20" s="44">
        <v>4040</v>
      </c>
      <c r="AG20" s="44">
        <v>-1651</v>
      </c>
      <c r="AH20" s="44">
        <v>308</v>
      </c>
      <c r="AI20" s="44">
        <v>6</v>
      </c>
      <c r="AJ20" s="44">
        <v>-11204</v>
      </c>
      <c r="AK20" s="44">
        <v>1915</v>
      </c>
      <c r="AL20" s="44">
        <v>62</v>
      </c>
      <c r="AM20" s="44">
        <v>-1923</v>
      </c>
      <c r="AN20" s="75"/>
      <c r="AO20" s="44">
        <v>-11150</v>
      </c>
      <c r="AP20" s="44">
        <v>2703</v>
      </c>
      <c r="AQ20" s="43">
        <v>393648.45</v>
      </c>
      <c r="AR20" s="43">
        <v>-16837.532300000006</v>
      </c>
      <c r="AS20" s="43">
        <v>-28866.188190000001</v>
      </c>
      <c r="AT20" s="43">
        <v>301.67450999999818</v>
      </c>
      <c r="AU20" s="39">
        <v>3778.5407700000178</v>
      </c>
      <c r="AV20" s="39">
        <v>13174.939949999994</v>
      </c>
      <c r="AW20" s="39">
        <v>-47922.298309999998</v>
      </c>
      <c r="AX20" s="47"/>
    </row>
    <row r="21" spans="1:50" ht="14.45" customHeight="1" x14ac:dyDescent="0.2">
      <c r="B21" s="116" t="s">
        <v>790</v>
      </c>
      <c r="C21" s="104" t="s">
        <v>105</v>
      </c>
      <c r="D21" s="112">
        <v>180832.94063000055</v>
      </c>
      <c r="E21" s="112">
        <v>163581.23149999988</v>
      </c>
      <c r="F21" s="112">
        <v>137627.45495000016</v>
      </c>
      <c r="G21" s="112">
        <v>147090.86605999988</v>
      </c>
      <c r="H21" s="112">
        <v>203238.64941000019</v>
      </c>
      <c r="I21" s="112">
        <v>201134.06259000005</v>
      </c>
      <c r="J21" s="112">
        <v>146937.21059999987</v>
      </c>
      <c r="K21" s="112">
        <v>159624.97038000001</v>
      </c>
      <c r="L21" s="112">
        <v>210170.05616000073</v>
      </c>
      <c r="M21" s="112">
        <v>201270.52126999962</v>
      </c>
      <c r="N21" s="112">
        <v>81427.221990000195</v>
      </c>
      <c r="O21" s="112">
        <v>132715.19770999998</v>
      </c>
      <c r="P21" s="112">
        <v>206825.44529000064</v>
      </c>
      <c r="Q21" s="112">
        <v>79468.52903000002</v>
      </c>
      <c r="R21" s="112">
        <v>89431.258729999725</v>
      </c>
      <c r="S21" s="112">
        <v>114940.67367000009</v>
      </c>
      <c r="T21" s="112">
        <v>188573.11421999958</v>
      </c>
      <c r="U21" s="112">
        <v>193243.18782000011</v>
      </c>
      <c r="V21" s="112">
        <v>112754.16169000024</v>
      </c>
      <c r="W21" s="112">
        <v>-16922.837130000007</v>
      </c>
      <c r="X21" s="112">
        <v>65247.146599999876</v>
      </c>
      <c r="Y21" s="112">
        <v>-16033.932859999943</v>
      </c>
      <c r="Z21" s="112">
        <v>-94072.572209999984</v>
      </c>
      <c r="AA21" s="112">
        <v>7492.5722099999839</v>
      </c>
      <c r="AB21" s="112">
        <v>253704.94519</v>
      </c>
      <c r="AC21" s="112">
        <v>80550</v>
      </c>
      <c r="AD21" s="112">
        <v>141361</v>
      </c>
      <c r="AE21" s="112">
        <v>46705</v>
      </c>
      <c r="AF21" s="111">
        <v>92936</v>
      </c>
      <c r="AG21" s="111">
        <v>82004</v>
      </c>
      <c r="AH21" s="111">
        <v>50914</v>
      </c>
      <c r="AI21" s="111">
        <v>34859</v>
      </c>
      <c r="AJ21" s="111">
        <v>65310.331009999936</v>
      </c>
      <c r="AK21" s="111">
        <v>36866.668990000064</v>
      </c>
      <c r="AL21" s="111">
        <v>32583</v>
      </c>
      <c r="AM21" s="111">
        <v>29910</v>
      </c>
      <c r="AN21" s="75"/>
      <c r="AO21" s="111">
        <v>164670</v>
      </c>
      <c r="AP21" s="111">
        <v>260713</v>
      </c>
      <c r="AQ21" s="112">
        <v>522320.94519</v>
      </c>
      <c r="AR21" s="112">
        <v>-37366.786260000066</v>
      </c>
      <c r="AS21" s="112">
        <v>477647.62659999996</v>
      </c>
      <c r="AT21" s="112">
        <v>490665.90672000049</v>
      </c>
      <c r="AU21" s="112">
        <v>625582.9971300005</v>
      </c>
      <c r="AV21" s="112">
        <v>710934.89298000024</v>
      </c>
      <c r="AW21" s="112">
        <v>629132.4931400005</v>
      </c>
      <c r="AX21" s="47"/>
    </row>
    <row r="22" spans="1:50" s="78" customFormat="1" ht="14.45" customHeight="1" x14ac:dyDescent="0.2">
      <c r="B22" s="49" t="s">
        <v>798</v>
      </c>
      <c r="C22" s="54" t="s">
        <v>859</v>
      </c>
      <c r="D22" s="217">
        <v>7.4483300586696499E-2</v>
      </c>
      <c r="E22" s="217">
        <v>8.4471661824652586E-2</v>
      </c>
      <c r="F22" s="217">
        <v>7.5715164741156499E-2</v>
      </c>
      <c r="G22" s="217">
        <v>9.4631205570913729E-2</v>
      </c>
      <c r="H22" s="217">
        <v>9.3560491748263419E-2</v>
      </c>
      <c r="I22" s="217">
        <v>0.11361657684512354</v>
      </c>
      <c r="J22" s="217">
        <v>8.5730811925992537E-2</v>
      </c>
      <c r="K22" s="217">
        <v>0.10675691679947888</v>
      </c>
      <c r="L22" s="217">
        <v>9.8664881449994954E-2</v>
      </c>
      <c r="M22" s="34">
        <v>0.11223702474666143</v>
      </c>
      <c r="N22" s="34">
        <v>5.1117395411925379E-2</v>
      </c>
      <c r="O22" s="34">
        <v>9.0152318907310958E-2</v>
      </c>
      <c r="P22" s="34">
        <v>0.10429437529780716</v>
      </c>
      <c r="Q22" s="34">
        <v>5.4060982206584431E-2</v>
      </c>
      <c r="R22" s="34">
        <v>6.1128384467889506E-2</v>
      </c>
      <c r="S22" s="34">
        <v>8.5481443065977422E-2</v>
      </c>
      <c r="T22" s="34">
        <v>0.11201491443957243</v>
      </c>
      <c r="U22" s="34">
        <v>0.12957903661491019</v>
      </c>
      <c r="V22" s="34">
        <v>0.10041819467065488</v>
      </c>
      <c r="W22" s="34">
        <v>-2.0819486018957428E-2</v>
      </c>
      <c r="X22" s="34">
        <v>6.0749672104099796E-2</v>
      </c>
      <c r="Y22" s="34">
        <v>-2.8177262080915408E-2</v>
      </c>
      <c r="Z22" s="34">
        <v>-0.39299739405611345</v>
      </c>
      <c r="AA22" s="34">
        <v>1.4818730081188223E-2</v>
      </c>
      <c r="AB22" s="34">
        <v>0.29787749711462486</v>
      </c>
      <c r="AC22" s="34">
        <v>0.12970951831150573</v>
      </c>
      <c r="AD22" s="34">
        <v>0.25912447917968823</v>
      </c>
      <c r="AE22" s="34">
        <v>8.8594562274756178E-2</v>
      </c>
      <c r="AF22" s="35">
        <v>0.12736000964765504</v>
      </c>
      <c r="AG22" s="35">
        <v>0.14506485143960998</v>
      </c>
      <c r="AH22" s="35">
        <v>9.8063725820648581E-2</v>
      </c>
      <c r="AI22" s="35">
        <v>7.563885857123949E-2</v>
      </c>
      <c r="AJ22" s="35">
        <v>0.1047361659637249</v>
      </c>
      <c r="AK22" s="35">
        <v>7.5809611623134543E-2</v>
      </c>
      <c r="AL22" s="35">
        <v>7.5046182785885582E-2</v>
      </c>
      <c r="AM22" s="35">
        <v>7.0455546578159486E-2</v>
      </c>
      <c r="AN22" s="68"/>
      <c r="AO22" s="35">
        <v>8.364948263811206E-2</v>
      </c>
      <c r="AP22" s="35">
        <v>0.11459624967638174</v>
      </c>
      <c r="AQ22" s="34">
        <v>0.20520013781211918</v>
      </c>
      <c r="AR22" s="34">
        <v>-1.5647353539994677E-2</v>
      </c>
      <c r="AS22" s="34">
        <v>9.3464667707744031E-2</v>
      </c>
      <c r="AT22" s="34">
        <v>7.8372288334472504E-2</v>
      </c>
      <c r="AU22" s="34">
        <v>8.9513874696074427E-2</v>
      </c>
      <c r="AV22" s="34">
        <v>9.9407623540314988E-2</v>
      </c>
      <c r="AW22" s="34">
        <v>8.1320954961944317E-2</v>
      </c>
      <c r="AX22" s="47"/>
    </row>
    <row r="23" spans="1:50" ht="14.45" customHeight="1" x14ac:dyDescent="0.2">
      <c r="B23" s="117" t="s">
        <v>799</v>
      </c>
      <c r="C23" s="104" t="s">
        <v>763</v>
      </c>
      <c r="D23" s="112">
        <v>-57251.338519999932</v>
      </c>
      <c r="E23" s="112">
        <v>-54200.846909999993</v>
      </c>
      <c r="F23" s="112">
        <v>-58385.511770000005</v>
      </c>
      <c r="G23" s="112">
        <v>-57846.149919999974</v>
      </c>
      <c r="H23" s="112">
        <v>-54739.800950000004</v>
      </c>
      <c r="I23" s="112">
        <v>-52338.736539999969</v>
      </c>
      <c r="J23" s="112">
        <v>-51448.454049999993</v>
      </c>
      <c r="K23" s="112">
        <v>-50953.451609999982</v>
      </c>
      <c r="L23" s="112">
        <v>-31176.920329999935</v>
      </c>
      <c r="M23" s="112">
        <v>-50177.212200000038</v>
      </c>
      <c r="N23" s="112">
        <v>-48532.874294979498</v>
      </c>
      <c r="O23" s="112">
        <v>-50311.709239999996</v>
      </c>
      <c r="P23" s="112">
        <v>-41101.450419999994</v>
      </c>
      <c r="Q23" s="112">
        <v>-46178.764949999997</v>
      </c>
      <c r="R23" s="112">
        <v>-38410.141810000016</v>
      </c>
      <c r="S23" s="112">
        <v>-39442.15972000004</v>
      </c>
      <c r="T23" s="112">
        <v>-29764.934764223901</v>
      </c>
      <c r="U23" s="112">
        <v>-32525.251680000008</v>
      </c>
      <c r="V23" s="112">
        <v>-32887.180909999995</v>
      </c>
      <c r="W23" s="112">
        <v>-32240.252379999998</v>
      </c>
      <c r="X23" s="112">
        <v>-36841.836204968</v>
      </c>
      <c r="Y23" s="112">
        <v>-25092</v>
      </c>
      <c r="Z23" s="112">
        <v>-24788.286110000005</v>
      </c>
      <c r="AA23" s="112">
        <v>-24444.713889999995</v>
      </c>
      <c r="AB23" s="112">
        <v>-23909</v>
      </c>
      <c r="AC23" s="112">
        <v>-22696</v>
      </c>
      <c r="AD23" s="112">
        <v>-22188</v>
      </c>
      <c r="AE23" s="112">
        <v>-22324</v>
      </c>
      <c r="AF23" s="111">
        <v>-20195</v>
      </c>
      <c r="AG23" s="111">
        <v>-19667</v>
      </c>
      <c r="AH23" s="111">
        <v>-20474</v>
      </c>
      <c r="AI23" s="111">
        <v>-20430</v>
      </c>
      <c r="AJ23" s="111">
        <v>-19400.331009999943</v>
      </c>
      <c r="AK23" s="111">
        <v>-20596.668990000057</v>
      </c>
      <c r="AL23" s="111">
        <v>-19903.589230000038</v>
      </c>
      <c r="AM23" s="111">
        <v>-19689</v>
      </c>
      <c r="AN23" s="75"/>
      <c r="AO23" s="111">
        <v>-79589.589230000041</v>
      </c>
      <c r="AP23" s="111">
        <v>-80766</v>
      </c>
      <c r="AQ23" s="112">
        <v>-91117</v>
      </c>
      <c r="AR23" s="112">
        <v>-111166.836204968</v>
      </c>
      <c r="AS23" s="112">
        <v>-127417.6197342239</v>
      </c>
      <c r="AT23" s="112">
        <v>-165132.51690000005</v>
      </c>
      <c r="AU23" s="112">
        <v>-180198.71606497947</v>
      </c>
      <c r="AV23" s="112">
        <v>-209480.44314999995</v>
      </c>
      <c r="AW23" s="112">
        <v>-227683.8471199999</v>
      </c>
      <c r="AX23" s="47"/>
    </row>
    <row r="24" spans="1:50" ht="14.45" customHeight="1" x14ac:dyDescent="0.2">
      <c r="A24" s="56"/>
      <c r="B24" s="57" t="s">
        <v>800</v>
      </c>
      <c r="C24" s="58" t="s">
        <v>860</v>
      </c>
      <c r="D24" s="43">
        <v>123581.60211000062</v>
      </c>
      <c r="E24" s="43">
        <v>109380.38458999989</v>
      </c>
      <c r="F24" s="43">
        <v>79241.943180000148</v>
      </c>
      <c r="G24" s="43">
        <v>89244.716139999917</v>
      </c>
      <c r="H24" s="43">
        <v>148498.84846000018</v>
      </c>
      <c r="I24" s="43">
        <v>148795.32605000006</v>
      </c>
      <c r="J24" s="43">
        <v>95488.756549999889</v>
      </c>
      <c r="K24" s="43">
        <v>108671.51877000004</v>
      </c>
      <c r="L24" s="43">
        <v>178993.1358300008</v>
      </c>
      <c r="M24" s="39">
        <v>151093.30906999958</v>
      </c>
      <c r="N24" s="39">
        <v>32894.347695020697</v>
      </c>
      <c r="O24" s="39">
        <v>82403.488469999982</v>
      </c>
      <c r="P24" s="39">
        <v>165723.99487000066</v>
      </c>
      <c r="Q24" s="39">
        <v>33289.764080000023</v>
      </c>
      <c r="R24" s="39">
        <v>51021.116919999709</v>
      </c>
      <c r="S24" s="39">
        <v>75498.513950000051</v>
      </c>
      <c r="T24" s="39">
        <v>158808.17945577568</v>
      </c>
      <c r="U24" s="39">
        <v>160717.93614000009</v>
      </c>
      <c r="V24" s="39">
        <v>79866.980780000245</v>
      </c>
      <c r="W24" s="39">
        <v>-49163.089510000005</v>
      </c>
      <c r="X24" s="39">
        <v>28405.310395031876</v>
      </c>
      <c r="Y24" s="39">
        <v>-41125.932859999943</v>
      </c>
      <c r="Z24" s="39">
        <v>-118860.85831999998</v>
      </c>
      <c r="AA24" s="39">
        <v>-16952.141680000012</v>
      </c>
      <c r="AB24" s="39">
        <v>229795.94519</v>
      </c>
      <c r="AC24" s="39">
        <v>57854</v>
      </c>
      <c r="AD24" s="39">
        <v>119173</v>
      </c>
      <c r="AE24" s="39">
        <v>24381</v>
      </c>
      <c r="AF24" s="59">
        <v>72741</v>
      </c>
      <c r="AG24" s="59">
        <v>62337</v>
      </c>
      <c r="AH24" s="59">
        <v>30440</v>
      </c>
      <c r="AI24" s="59">
        <v>14429</v>
      </c>
      <c r="AJ24" s="59">
        <v>45910</v>
      </c>
      <c r="AK24" s="59">
        <v>16270.303849999997</v>
      </c>
      <c r="AL24" s="59">
        <v>12679</v>
      </c>
      <c r="AM24" s="59">
        <v>10221</v>
      </c>
      <c r="AN24" s="44"/>
      <c r="AO24" s="59">
        <v>85080.303849999997</v>
      </c>
      <c r="AP24" s="59">
        <v>179947</v>
      </c>
      <c r="AQ24" s="39">
        <v>431203.94519</v>
      </c>
      <c r="AR24" s="39">
        <v>-148533.62246496807</v>
      </c>
      <c r="AS24" s="39">
        <v>350230.00686577603</v>
      </c>
      <c r="AT24" s="39">
        <v>325533.38982000045</v>
      </c>
      <c r="AU24" s="39">
        <v>445384.28106502106</v>
      </c>
      <c r="AV24" s="39">
        <v>501454.44983000017</v>
      </c>
      <c r="AW24" s="39">
        <v>401448.64602000057</v>
      </c>
      <c r="AX24" s="47"/>
    </row>
    <row r="25" spans="1:50" s="77" customFormat="1" ht="14.45" customHeight="1" x14ac:dyDescent="0.2">
      <c r="B25" s="119" t="s">
        <v>801</v>
      </c>
      <c r="C25" s="119" t="s">
        <v>861</v>
      </c>
      <c r="D25" s="112">
        <v>-10441.753769999923</v>
      </c>
      <c r="E25" s="112">
        <v>-34766.698330000036</v>
      </c>
      <c r="F25" s="112">
        <v>-26220.897440000001</v>
      </c>
      <c r="G25" s="112">
        <v>-15664.578509999998</v>
      </c>
      <c r="H25" s="112">
        <v>-27689.926239999972</v>
      </c>
      <c r="I25" s="112">
        <v>-13194.451570000005</v>
      </c>
      <c r="J25" s="112">
        <v>149784.62914000003</v>
      </c>
      <c r="K25" s="112">
        <v>-44602.217240000013</v>
      </c>
      <c r="L25" s="112">
        <v>-47419.748572997836</v>
      </c>
      <c r="M25" s="112">
        <v>-54776.614149999921</v>
      </c>
      <c r="N25" s="112">
        <v>-50652.453148664121</v>
      </c>
      <c r="O25" s="112">
        <v>-53748.758260000002</v>
      </c>
      <c r="P25" s="112">
        <v>21486.77269000002</v>
      </c>
      <c r="Q25" s="112">
        <v>-40705.22383999997</v>
      </c>
      <c r="R25" s="112">
        <v>-22780.107559999986</v>
      </c>
      <c r="S25" s="112">
        <v>-16249.48034999998</v>
      </c>
      <c r="T25" s="112">
        <v>-23060.366271876075</v>
      </c>
      <c r="U25" s="112">
        <v>2248.3185600000506</v>
      </c>
      <c r="V25" s="112">
        <v>-44709.806060000046</v>
      </c>
      <c r="W25" s="112">
        <v>-9984.8969399999969</v>
      </c>
      <c r="X25" s="112">
        <v>-32550.483244329811</v>
      </c>
      <c r="Y25" s="112">
        <v>-6506</v>
      </c>
      <c r="Z25" s="112">
        <v>-18746</v>
      </c>
      <c r="AA25" s="112">
        <v>25822</v>
      </c>
      <c r="AB25" s="112">
        <v>28941</v>
      </c>
      <c r="AC25" s="112">
        <v>-2495</v>
      </c>
      <c r="AD25" s="112">
        <v>17637</v>
      </c>
      <c r="AE25" s="112">
        <v>-21536</v>
      </c>
      <c r="AF25" s="115">
        <v>-23877</v>
      </c>
      <c r="AG25" s="115">
        <v>-21570</v>
      </c>
      <c r="AH25" s="115">
        <v>-22208</v>
      </c>
      <c r="AI25" s="115">
        <v>-24075</v>
      </c>
      <c r="AJ25" s="115">
        <v>-45395</v>
      </c>
      <c r="AK25" s="115">
        <v>-34651</v>
      </c>
      <c r="AL25" s="115">
        <v>-78294.04289000007</v>
      </c>
      <c r="AM25" s="115">
        <v>-45175</v>
      </c>
      <c r="AO25" s="115">
        <v>-203515.04289000007</v>
      </c>
      <c r="AP25" s="115">
        <v>-91730</v>
      </c>
      <c r="AQ25" s="112">
        <v>22547</v>
      </c>
      <c r="AR25" s="112">
        <v>-31980.483244329811</v>
      </c>
      <c r="AS25" s="112">
        <v>-75506.75071187607</v>
      </c>
      <c r="AT25" s="112">
        <v>-58248.039059999915</v>
      </c>
      <c r="AU25" s="112">
        <v>-206597.57413166188</v>
      </c>
      <c r="AV25" s="112">
        <v>64298.034090000045</v>
      </c>
      <c r="AW25" s="112">
        <v>-87093.928049999959</v>
      </c>
      <c r="AX25" s="47"/>
    </row>
    <row r="26" spans="1:50" ht="14.45" customHeight="1" x14ac:dyDescent="0.2">
      <c r="B26" s="60" t="s">
        <v>802</v>
      </c>
      <c r="C26" s="53" t="s">
        <v>764</v>
      </c>
      <c r="D26" s="43">
        <v>88258.512730000017</v>
      </c>
      <c r="E26" s="43">
        <v>97369.877949999995</v>
      </c>
      <c r="F26" s="43">
        <v>54620.62518000001</v>
      </c>
      <c r="G26" s="43">
        <v>39630.260860000002</v>
      </c>
      <c r="H26" s="43">
        <v>80567.744417645037</v>
      </c>
      <c r="I26" s="43">
        <v>62323.275439999983</v>
      </c>
      <c r="J26" s="43">
        <v>48060.004450000008</v>
      </c>
      <c r="K26" s="43">
        <v>30579.01656</v>
      </c>
      <c r="L26" s="43">
        <v>53194.038299999986</v>
      </c>
      <c r="M26" s="39">
        <v>67796.598040000012</v>
      </c>
      <c r="N26" s="39">
        <v>80727.114230000007</v>
      </c>
      <c r="O26" s="39">
        <v>47649.248939999998</v>
      </c>
      <c r="P26" s="39">
        <v>42741.559630000032</v>
      </c>
      <c r="Q26" s="39">
        <v>44330.396319999971</v>
      </c>
      <c r="R26" s="39">
        <v>87027.356220000001</v>
      </c>
      <c r="S26" s="39">
        <v>71752.835160000002</v>
      </c>
      <c r="T26" s="39">
        <v>42282.007110000006</v>
      </c>
      <c r="U26" s="39">
        <v>57190.258790000007</v>
      </c>
      <c r="V26" s="39">
        <v>47700.499419999993</v>
      </c>
      <c r="W26" s="39">
        <v>37878.24179</v>
      </c>
      <c r="X26" s="39">
        <v>27781.490560000006</v>
      </c>
      <c r="Y26" s="39">
        <v>16876</v>
      </c>
      <c r="Z26" s="39">
        <v>16796</v>
      </c>
      <c r="AA26" s="39">
        <v>40874</v>
      </c>
      <c r="AB26" s="39">
        <v>145642</v>
      </c>
      <c r="AC26" s="39">
        <v>11064</v>
      </c>
      <c r="AD26" s="39">
        <v>51830</v>
      </c>
      <c r="AE26" s="39">
        <v>9263</v>
      </c>
      <c r="AF26" s="44">
        <v>15168</v>
      </c>
      <c r="AG26" s="44">
        <v>16773</v>
      </c>
      <c r="AH26" s="44">
        <v>16880</v>
      </c>
      <c r="AI26" s="44">
        <v>12171</v>
      </c>
      <c r="AJ26" s="43">
        <v>0</v>
      </c>
      <c r="AK26" s="43">
        <v>0</v>
      </c>
      <c r="AL26" s="43">
        <v>0</v>
      </c>
      <c r="AM26" s="43">
        <v>0</v>
      </c>
      <c r="AN26" s="43">
        <v>0</v>
      </c>
      <c r="AO26" s="43">
        <v>0</v>
      </c>
      <c r="AP26" s="44">
        <v>60992</v>
      </c>
      <c r="AQ26" s="39">
        <v>217799</v>
      </c>
      <c r="AR26" s="39">
        <v>102327.49056000001</v>
      </c>
      <c r="AS26" s="39">
        <v>185051.00711000001</v>
      </c>
      <c r="AT26" s="39">
        <v>245852.14733000001</v>
      </c>
      <c r="AU26" s="39">
        <v>249366.99950999999</v>
      </c>
      <c r="AV26" s="39">
        <v>221530.04086764503</v>
      </c>
      <c r="AW26" s="39">
        <v>279879.27672000002</v>
      </c>
      <c r="AX26" s="47"/>
    </row>
    <row r="27" spans="1:50" ht="14.45" customHeight="1" x14ac:dyDescent="0.2">
      <c r="B27" s="60" t="s">
        <v>803</v>
      </c>
      <c r="C27" s="53" t="s">
        <v>862</v>
      </c>
      <c r="D27" s="43">
        <v>-98700.266499999911</v>
      </c>
      <c r="E27" s="43">
        <v>-132136.57628000004</v>
      </c>
      <c r="F27" s="43">
        <v>-80841.522620000003</v>
      </c>
      <c r="G27" s="43">
        <v>-55294.839369999994</v>
      </c>
      <c r="H27" s="43">
        <v>-108257.67068764509</v>
      </c>
      <c r="I27" s="43">
        <v>-75517.727010000002</v>
      </c>
      <c r="J27" s="43">
        <v>101724.62469000003</v>
      </c>
      <c r="K27" s="43">
        <v>-75181.233800000016</v>
      </c>
      <c r="L27" s="43">
        <v>-100613.78687299782</v>
      </c>
      <c r="M27" s="39">
        <v>-122573.21218999996</v>
      </c>
      <c r="N27" s="39">
        <v>-131379.5673786641</v>
      </c>
      <c r="O27" s="39">
        <v>-101398.00720000001</v>
      </c>
      <c r="P27" s="39">
        <v>-21254.78694000002</v>
      </c>
      <c r="Q27" s="39">
        <v>-85035.620159999962</v>
      </c>
      <c r="R27" s="39">
        <v>-109807.46377999998</v>
      </c>
      <c r="S27" s="39">
        <v>-88002.315509999971</v>
      </c>
      <c r="T27" s="39">
        <v>-65342.373381876096</v>
      </c>
      <c r="U27" s="39">
        <v>-54941.940229999949</v>
      </c>
      <c r="V27" s="39">
        <v>-92410.305480000039</v>
      </c>
      <c r="W27" s="39">
        <v>-47863.138729999999</v>
      </c>
      <c r="X27" s="39">
        <v>-60331.973804329813</v>
      </c>
      <c r="Y27" s="39">
        <v>-23382</v>
      </c>
      <c r="Z27" s="39">
        <v>-35542</v>
      </c>
      <c r="AA27" s="39">
        <v>-15052</v>
      </c>
      <c r="AB27" s="39">
        <v>-116701</v>
      </c>
      <c r="AC27" s="39">
        <v>-13559</v>
      </c>
      <c r="AD27" s="39">
        <v>-34193</v>
      </c>
      <c r="AE27" s="39">
        <v>-30799</v>
      </c>
      <c r="AF27" s="44">
        <v>-39045</v>
      </c>
      <c r="AG27" s="44">
        <v>-38343</v>
      </c>
      <c r="AH27" s="44">
        <v>-39088</v>
      </c>
      <c r="AI27" s="44">
        <v>-36246</v>
      </c>
      <c r="AJ27" s="43">
        <v>0</v>
      </c>
      <c r="AK27" s="43">
        <v>0</v>
      </c>
      <c r="AL27" s="43">
        <v>0</v>
      </c>
      <c r="AM27" s="43">
        <v>0</v>
      </c>
      <c r="AN27" s="43">
        <v>0</v>
      </c>
      <c r="AO27" s="43">
        <v>0</v>
      </c>
      <c r="AP27" s="44">
        <v>-152722</v>
      </c>
      <c r="AQ27" s="39">
        <v>-195252</v>
      </c>
      <c r="AR27" s="39">
        <v>-134307.97380432981</v>
      </c>
      <c r="AS27" s="39">
        <v>-260557.75782187609</v>
      </c>
      <c r="AT27" s="39">
        <v>-304100.18638999993</v>
      </c>
      <c r="AU27" s="39">
        <v>-455964.5736416619</v>
      </c>
      <c r="AV27" s="39">
        <v>-157232.00680764508</v>
      </c>
      <c r="AW27" s="39">
        <v>-366973.20476999995</v>
      </c>
      <c r="AX27" s="47"/>
    </row>
    <row r="28" spans="1:50" ht="14.45" customHeight="1" x14ac:dyDescent="0.2">
      <c r="B28" s="117" t="s">
        <v>804</v>
      </c>
      <c r="C28" s="104" t="s">
        <v>863</v>
      </c>
      <c r="D28" s="112">
        <v>113139.8483400007</v>
      </c>
      <c r="E28" s="112">
        <v>74613.6862599999</v>
      </c>
      <c r="F28" s="112">
        <v>53021.045740000132</v>
      </c>
      <c r="G28" s="112">
        <v>73580.13762999991</v>
      </c>
      <c r="H28" s="112">
        <v>120808.92222000018</v>
      </c>
      <c r="I28" s="112">
        <v>135600.87448000006</v>
      </c>
      <c r="J28" s="112">
        <v>245273.38568999988</v>
      </c>
      <c r="K28" s="112">
        <v>64069.301530000033</v>
      </c>
      <c r="L28" s="112">
        <v>131573.38725700293</v>
      </c>
      <c r="M28" s="112">
        <v>96316.694919999645</v>
      </c>
      <c r="N28" s="112">
        <v>-17758.105453643428</v>
      </c>
      <c r="O28" s="112">
        <v>28654.73020999998</v>
      </c>
      <c r="P28" s="112">
        <v>187210.76756000076</v>
      </c>
      <c r="Q28" s="112">
        <v>-7415.4597599999688</v>
      </c>
      <c r="R28" s="112">
        <v>28241.009359999734</v>
      </c>
      <c r="S28" s="112">
        <v>59249.033600000068</v>
      </c>
      <c r="T28" s="112">
        <v>135747.81318389953</v>
      </c>
      <c r="U28" s="112">
        <v>162966.25470000014</v>
      </c>
      <c r="V28" s="112">
        <v>35157.174720000214</v>
      </c>
      <c r="W28" s="112">
        <v>-59147.986450000004</v>
      </c>
      <c r="X28" s="112">
        <v>-4145.172849297931</v>
      </c>
      <c r="Y28" s="112">
        <v>-47631.932859999943</v>
      </c>
      <c r="Z28" s="112">
        <v>-137606.85832</v>
      </c>
      <c r="AA28" s="112">
        <v>8869.8583199999885</v>
      </c>
      <c r="AB28" s="112">
        <v>258736.94519</v>
      </c>
      <c r="AC28" s="112">
        <v>55359</v>
      </c>
      <c r="AD28" s="112">
        <v>136810</v>
      </c>
      <c r="AE28" s="112">
        <v>2845</v>
      </c>
      <c r="AF28" s="105">
        <v>48864</v>
      </c>
      <c r="AG28" s="105">
        <v>40767</v>
      </c>
      <c r="AH28" s="105">
        <v>8232</v>
      </c>
      <c r="AI28" s="105">
        <v>-9645</v>
      </c>
      <c r="AJ28" s="105">
        <v>515</v>
      </c>
      <c r="AK28" s="105">
        <v>-18380.696150000003</v>
      </c>
      <c r="AL28" s="105">
        <v>-65615.04289000007</v>
      </c>
      <c r="AM28" s="105">
        <v>-34954.094679999776</v>
      </c>
      <c r="AN28" s="44"/>
      <c r="AO28" s="105">
        <v>-118434.83371999985</v>
      </c>
      <c r="AP28" s="105">
        <v>88218</v>
      </c>
      <c r="AQ28" s="112">
        <v>453750.94519</v>
      </c>
      <c r="AR28" s="112">
        <v>-180514.10570929787</v>
      </c>
      <c r="AS28" s="112">
        <v>274723.25615389989</v>
      </c>
      <c r="AT28" s="112">
        <v>267285.35076000058</v>
      </c>
      <c r="AU28" s="112">
        <v>238786.70693335912</v>
      </c>
      <c r="AV28" s="112">
        <v>565752.48392000014</v>
      </c>
      <c r="AW28" s="112">
        <v>314354.71797000064</v>
      </c>
      <c r="AX28" s="47"/>
    </row>
    <row r="29" spans="1:50" ht="14.45" customHeight="1" x14ac:dyDescent="0.2">
      <c r="B29" s="53" t="s">
        <v>805</v>
      </c>
      <c r="C29" s="53" t="s">
        <v>864</v>
      </c>
      <c r="D29" s="43">
        <v>13925.408626800003</v>
      </c>
      <c r="E29" s="43">
        <v>18363.218951999996</v>
      </c>
      <c r="F29" s="43">
        <v>2967.9870524000012</v>
      </c>
      <c r="G29" s="43">
        <v>-1311.3314912000005</v>
      </c>
      <c r="H29" s="43">
        <v>14270.248196000004</v>
      </c>
      <c r="I29" s="43">
        <v>6888.5978781999966</v>
      </c>
      <c r="J29" s="43">
        <v>-21490.624599399998</v>
      </c>
      <c r="K29" s="43">
        <v>-15479.033820399998</v>
      </c>
      <c r="L29" s="43">
        <v>824.43205840002338</v>
      </c>
      <c r="M29" s="39">
        <v>-8448.6146696000069</v>
      </c>
      <c r="N29" s="39">
        <v>-641.56909459999588</v>
      </c>
      <c r="O29" s="39">
        <v>-17413.045474999999</v>
      </c>
      <c r="P29" s="39">
        <v>-32736.423010000013</v>
      </c>
      <c r="Q29" s="39">
        <v>34337.385590000005</v>
      </c>
      <c r="R29" s="39">
        <v>18519.845485599988</v>
      </c>
      <c r="S29" s="39">
        <v>-33731.658695599996</v>
      </c>
      <c r="T29" s="39">
        <v>162678.52468800003</v>
      </c>
      <c r="U29" s="39">
        <v>73738.779084999987</v>
      </c>
      <c r="V29" s="39">
        <v>-2473.4247468000176</v>
      </c>
      <c r="W29" s="39">
        <v>34544.064280000006</v>
      </c>
      <c r="X29" s="39">
        <v>3528.2206799999694</v>
      </c>
      <c r="Y29" s="39">
        <v>20852</v>
      </c>
      <c r="Z29" s="39">
        <v>48501</v>
      </c>
      <c r="AA29" s="39">
        <v>2192</v>
      </c>
      <c r="AB29" s="39">
        <v>-87521</v>
      </c>
      <c r="AC29" s="39">
        <v>-8605</v>
      </c>
      <c r="AD29" s="39">
        <v>-17878</v>
      </c>
      <c r="AE29" s="39">
        <v>-585</v>
      </c>
      <c r="AF29" s="44">
        <v>74028</v>
      </c>
      <c r="AG29" s="44">
        <v>-2380</v>
      </c>
      <c r="AH29" s="44">
        <v>-10671</v>
      </c>
      <c r="AI29" s="44">
        <v>-446</v>
      </c>
      <c r="AJ29" s="44">
        <v>9286</v>
      </c>
      <c r="AK29" s="44">
        <v>199667</v>
      </c>
      <c r="AL29" s="44">
        <v>149428</v>
      </c>
      <c r="AM29" s="44">
        <v>1065</v>
      </c>
      <c r="AO29" s="44">
        <v>359446</v>
      </c>
      <c r="AP29" s="44">
        <v>60531</v>
      </c>
      <c r="AQ29" s="39">
        <v>-114589</v>
      </c>
      <c r="AR29" s="39">
        <v>75073.220679999969</v>
      </c>
      <c r="AS29" s="39">
        <v>268487.94330620003</v>
      </c>
      <c r="AT29" s="39">
        <v>-13610.850630000015</v>
      </c>
      <c r="AU29" s="39">
        <v>-25678.797180799978</v>
      </c>
      <c r="AV29" s="39">
        <v>-15810.812345599994</v>
      </c>
      <c r="AW29" s="39">
        <v>33945.28314</v>
      </c>
      <c r="AX29" s="47"/>
    </row>
    <row r="30" spans="1:50" ht="14.45" customHeight="1" x14ac:dyDescent="0.2">
      <c r="B30" s="117" t="s">
        <v>806</v>
      </c>
      <c r="C30" s="104" t="s">
        <v>865</v>
      </c>
      <c r="D30" s="112">
        <v>127065.25696680063</v>
      </c>
      <c r="E30" s="112">
        <v>92976.905211999925</v>
      </c>
      <c r="F30" s="112">
        <v>55989.032792400132</v>
      </c>
      <c r="G30" s="112">
        <v>72268.806138799904</v>
      </c>
      <c r="H30" s="112">
        <v>135079.17041600018</v>
      </c>
      <c r="I30" s="112">
        <v>142489.47235820006</v>
      </c>
      <c r="J30" s="112">
        <v>223782.76109059987</v>
      </c>
      <c r="K30" s="112">
        <v>48590.267709600033</v>
      </c>
      <c r="L30" s="112">
        <v>132397.81931540288</v>
      </c>
      <c r="M30" s="112">
        <v>87868.080250399667</v>
      </c>
      <c r="N30" s="112">
        <v>-18399.674548243427</v>
      </c>
      <c r="O30" s="112">
        <v>11241.684734999979</v>
      </c>
      <c r="P30" s="112">
        <v>154474.34455000068</v>
      </c>
      <c r="Q30" s="112">
        <v>26921.925830000037</v>
      </c>
      <c r="R30" s="112">
        <v>46760.854845599722</v>
      </c>
      <c r="S30" s="112">
        <v>25517.374904400076</v>
      </c>
      <c r="T30" s="112">
        <v>298426.3378718996</v>
      </c>
      <c r="U30" s="112">
        <v>236705.03378500012</v>
      </c>
      <c r="V30" s="112">
        <v>32683.749973200196</v>
      </c>
      <c r="W30" s="112">
        <v>-24603.922170000002</v>
      </c>
      <c r="X30" s="112">
        <v>-616.95216929806338</v>
      </c>
      <c r="Y30" s="112">
        <v>-26779.932859999943</v>
      </c>
      <c r="Z30" s="112">
        <v>-89105.858319999985</v>
      </c>
      <c r="AA30" s="112">
        <v>11061.858319999988</v>
      </c>
      <c r="AB30" s="112">
        <v>171215.94519</v>
      </c>
      <c r="AC30" s="112">
        <v>46754</v>
      </c>
      <c r="AD30" s="112">
        <v>118932</v>
      </c>
      <c r="AE30" s="112">
        <v>2260</v>
      </c>
      <c r="AF30" s="105">
        <v>122892</v>
      </c>
      <c r="AG30" s="105">
        <v>38387</v>
      </c>
      <c r="AH30" s="105">
        <v>-2439</v>
      </c>
      <c r="AI30" s="105">
        <v>-10092</v>
      </c>
      <c r="AJ30" s="105">
        <v>9801</v>
      </c>
      <c r="AK30" s="105">
        <v>181286.30385</v>
      </c>
      <c r="AL30" s="105">
        <v>83812.79082999978</v>
      </c>
      <c r="AM30" s="105">
        <v>-33889.094679999776</v>
      </c>
      <c r="AN30" s="44"/>
      <c r="AO30" s="105">
        <v>241010.99999999997</v>
      </c>
      <c r="AP30" s="105">
        <v>148748</v>
      </c>
      <c r="AQ30" s="112">
        <v>339161.94519</v>
      </c>
      <c r="AR30" s="112">
        <v>-105440.88502929801</v>
      </c>
      <c r="AS30" s="112">
        <v>543211.19946009992</v>
      </c>
      <c r="AT30" s="112">
        <v>253674.50013000052</v>
      </c>
      <c r="AU30" s="112">
        <v>213107.90975255909</v>
      </c>
      <c r="AV30" s="112">
        <v>549941.67157440016</v>
      </c>
      <c r="AW30" s="112">
        <v>348300.00111000054</v>
      </c>
      <c r="AX30" s="47"/>
    </row>
    <row r="31" spans="1:50" s="78" customFormat="1" ht="14.45" customHeight="1" x14ac:dyDescent="0.2">
      <c r="B31" s="54" t="s">
        <v>779</v>
      </c>
      <c r="C31" s="54" t="s">
        <v>866</v>
      </c>
      <c r="D31" s="217">
        <v>5.2336923216598441E-2</v>
      </c>
      <c r="E31" s="217">
        <v>4.8012315487249782E-2</v>
      </c>
      <c r="F31" s="217">
        <v>3.0802130600429186E-2</v>
      </c>
      <c r="G31" s="217">
        <v>4.6494282298233484E-2</v>
      </c>
      <c r="H31" s="217">
        <v>6.2183416617639695E-2</v>
      </c>
      <c r="I31" s="217">
        <v>8.0489430170797099E-2</v>
      </c>
      <c r="J31" s="217">
        <v>0.13056650337241094</v>
      </c>
      <c r="K31" s="217">
        <v>3.2497090867357914E-2</v>
      </c>
      <c r="L31" s="217">
        <v>6.2154501862279138E-2</v>
      </c>
      <c r="M31" s="34">
        <v>4.8998988203920991E-2</v>
      </c>
      <c r="N31" s="34">
        <v>-1.1550724884717346E-2</v>
      </c>
      <c r="O31" s="34">
        <v>7.6363820027584069E-3</v>
      </c>
      <c r="P31" s="34">
        <v>7.7895663378317645E-2</v>
      </c>
      <c r="Q31" s="34">
        <v>1.8314492177314401E-2</v>
      </c>
      <c r="R31" s="34">
        <v>3.1962152312747641E-2</v>
      </c>
      <c r="S31" s="34">
        <v>1.89772859374931E-2</v>
      </c>
      <c r="T31" s="34">
        <v>0.17726917668781045</v>
      </c>
      <c r="U31" s="34">
        <v>0.15872233627365992</v>
      </c>
      <c r="V31" s="34">
        <v>2.9107955912077887E-2</v>
      </c>
      <c r="W31" s="34">
        <v>-3.0269216071444373E-2</v>
      </c>
      <c r="X31" s="34">
        <v>-5.7442576329875064E-4</v>
      </c>
      <c r="Y31" s="34">
        <v>-4.7061765400553117E-2</v>
      </c>
      <c r="Z31" s="34">
        <v>-0.37224845980315152</v>
      </c>
      <c r="AA31" s="34">
        <v>2.1878026403488796E-2</v>
      </c>
      <c r="AB31" s="34">
        <v>0.20102634255361868</v>
      </c>
      <c r="AC31" s="34">
        <v>7.5287881056935319E-2</v>
      </c>
      <c r="AD31" s="34">
        <v>0.21801057263176321</v>
      </c>
      <c r="AE31" s="34">
        <v>4.2869866339995495E-3</v>
      </c>
      <c r="AF31" s="61">
        <v>0.16841187812709416</v>
      </c>
      <c r="AG31" s="61">
        <v>6.7906497880741282E-2</v>
      </c>
      <c r="AH31" s="61">
        <v>-4.6976750456959168E-3</v>
      </c>
      <c r="AI31" s="61">
        <v>-2.1898142823975123E-2</v>
      </c>
      <c r="AJ31" s="61">
        <v>1.5717561781355742E-2</v>
      </c>
      <c r="AK31" s="61">
        <v>0.37278237128474662</v>
      </c>
      <c r="AL31" s="61">
        <v>0.19304023633254636</v>
      </c>
      <c r="AM31" s="61">
        <v>-7.9828642217264503E-2</v>
      </c>
      <c r="AN31" s="79"/>
      <c r="AO31" s="61">
        <v>0.12242937669335049</v>
      </c>
      <c r="AP31" s="61">
        <v>6.5382098118860324E-2</v>
      </c>
      <c r="AQ31" s="34">
        <v>0.13324389637160361</v>
      </c>
      <c r="AR31" s="34">
        <v>-4.4153403885029606E-2</v>
      </c>
      <c r="AS31" s="34">
        <v>0.10629395274935781</v>
      </c>
      <c r="AT31" s="34">
        <v>4.0518509223908122E-2</v>
      </c>
      <c r="AU31" s="34">
        <v>3.0493339521452438E-2</v>
      </c>
      <c r="AV31" s="34">
        <v>7.6896485454312088E-2</v>
      </c>
      <c r="AW31" s="34">
        <v>4.5020864463931866E-2</v>
      </c>
      <c r="AX31" s="47"/>
    </row>
    <row r="32" spans="1:50" ht="15.75" customHeight="1" thickBot="1" x14ac:dyDescent="0.25">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62"/>
      <c r="AG32" s="62"/>
      <c r="AH32" s="62"/>
      <c r="AI32" s="62"/>
      <c r="AJ32" s="62"/>
      <c r="AK32" s="62"/>
      <c r="AL32" s="62"/>
      <c r="AM32" s="62"/>
      <c r="AO32" s="63"/>
      <c r="AP32" s="63"/>
      <c r="AQ32" s="37"/>
      <c r="AR32" s="37"/>
      <c r="AS32" s="37"/>
      <c r="AT32" s="37"/>
      <c r="AX32" s="47"/>
    </row>
    <row r="33" spans="2:50" ht="15" customHeight="1" thickBot="1" x14ac:dyDescent="0.25">
      <c r="B33" s="108" t="s">
        <v>789</v>
      </c>
      <c r="C33" s="99" t="s">
        <v>770</v>
      </c>
      <c r="AX33" s="47"/>
    </row>
    <row r="34" spans="2:50" ht="15.6" customHeight="1" x14ac:dyDescent="0.2">
      <c r="B34" s="120" t="s">
        <v>790</v>
      </c>
      <c r="C34" s="109" t="s">
        <v>778</v>
      </c>
      <c r="D34" s="112">
        <v>180832.94063000055</v>
      </c>
      <c r="E34" s="112">
        <v>163581.23149999988</v>
      </c>
      <c r="F34" s="112">
        <v>137627.45495000016</v>
      </c>
      <c r="G34" s="112">
        <v>147090.86605999988</v>
      </c>
      <c r="H34" s="112">
        <v>203238.64941000019</v>
      </c>
      <c r="I34" s="112">
        <v>201134.06259000005</v>
      </c>
      <c r="J34" s="112">
        <v>146937.21059999987</v>
      </c>
      <c r="K34" s="112">
        <v>159624.97038000001</v>
      </c>
      <c r="L34" s="112">
        <v>210170.05616000073</v>
      </c>
      <c r="M34" s="112">
        <v>201270.52126999962</v>
      </c>
      <c r="N34" s="112">
        <v>81427.221990000195</v>
      </c>
      <c r="O34" s="112">
        <v>132715.19770999998</v>
      </c>
      <c r="P34" s="112">
        <v>206825.44529000064</v>
      </c>
      <c r="Q34" s="112">
        <v>79468.52903000002</v>
      </c>
      <c r="R34" s="112">
        <v>89431.258729999725</v>
      </c>
      <c r="S34" s="112">
        <v>114940.67367000009</v>
      </c>
      <c r="T34" s="112">
        <v>188573.11421999958</v>
      </c>
      <c r="U34" s="112">
        <v>193243.18782000011</v>
      </c>
      <c r="V34" s="112">
        <v>112754.16169000024</v>
      </c>
      <c r="W34" s="112">
        <v>-16922.837130000007</v>
      </c>
      <c r="X34" s="112">
        <v>65247.146599999876</v>
      </c>
      <c r="Y34" s="112">
        <v>-16033.932859999943</v>
      </c>
      <c r="Z34" s="112">
        <v>-94072.572209999984</v>
      </c>
      <c r="AA34" s="112">
        <v>7492.5722099999839</v>
      </c>
      <c r="AB34" s="112">
        <v>253704.94519</v>
      </c>
      <c r="AC34" s="112">
        <v>80550</v>
      </c>
      <c r="AD34" s="112">
        <v>141361</v>
      </c>
      <c r="AE34" s="112">
        <v>46705</v>
      </c>
      <c r="AO34" s="105">
        <v>0</v>
      </c>
      <c r="AP34" s="105">
        <v>0</v>
      </c>
      <c r="AQ34" s="112">
        <v>522320.94519</v>
      </c>
      <c r="AR34" s="112">
        <v>-37366.786260000066</v>
      </c>
      <c r="AS34" s="112">
        <v>477647.62659999996</v>
      </c>
      <c r="AT34" s="112">
        <v>490665.90672000049</v>
      </c>
      <c r="AU34" s="112">
        <v>625582.9971300005</v>
      </c>
      <c r="AV34" s="112">
        <v>710934.89298000024</v>
      </c>
      <c r="AW34" s="112">
        <v>629132.4931400005</v>
      </c>
      <c r="AX34" s="47"/>
    </row>
    <row r="35" spans="2:50" ht="15.75" customHeight="1" x14ac:dyDescent="0.2">
      <c r="B35" s="38" t="s">
        <v>765</v>
      </c>
      <c r="C35" s="53" t="s">
        <v>817</v>
      </c>
      <c r="D35" s="39">
        <v>86543.728322999785</v>
      </c>
      <c r="E35" s="39">
        <v>75529.8973999999</v>
      </c>
      <c r="F35" s="39">
        <v>74233.671060000081</v>
      </c>
      <c r="G35" s="39">
        <v>71784.74291000003</v>
      </c>
      <c r="H35" s="39">
        <v>68021.204910000321</v>
      </c>
      <c r="I35" s="39">
        <v>75449.686109999951</v>
      </c>
      <c r="J35" s="39">
        <v>67125.045229999989</v>
      </c>
      <c r="K35" s="39">
        <v>61800.132329999993</v>
      </c>
      <c r="L35" s="39">
        <v>72808.226819999749</v>
      </c>
      <c r="M35" s="39">
        <v>64883.25187999988</v>
      </c>
      <c r="N35" s="39">
        <v>61053.439079999924</v>
      </c>
      <c r="O35" s="39">
        <v>48300.302450000134</v>
      </c>
      <c r="P35" s="39">
        <v>59623.554590000072</v>
      </c>
      <c r="Q35" s="39">
        <v>63398.702250000089</v>
      </c>
      <c r="R35" s="39">
        <v>56095.457439999969</v>
      </c>
      <c r="S35" s="39">
        <v>56513.838389999932</v>
      </c>
      <c r="T35" s="39">
        <v>55357.965359999973</v>
      </c>
      <c r="U35" s="39">
        <v>47782.762729999493</v>
      </c>
      <c r="V35" s="39">
        <v>56237.773520002898</v>
      </c>
      <c r="W35" s="39">
        <v>49257.529630000063</v>
      </c>
      <c r="X35" s="39">
        <v>46130.816070000117</v>
      </c>
      <c r="Y35" s="39">
        <v>40580</v>
      </c>
      <c r="Z35" s="39">
        <v>41177.666599999997</v>
      </c>
      <c r="AA35" s="39">
        <v>37176.665999999997</v>
      </c>
      <c r="AB35" s="39">
        <v>46461</v>
      </c>
      <c r="AC35" s="39">
        <v>32639</v>
      </c>
      <c r="AD35" s="39">
        <v>34980</v>
      </c>
      <c r="AE35" s="39">
        <v>31565</v>
      </c>
      <c r="AO35" s="43">
        <v>0</v>
      </c>
      <c r="AP35" s="43">
        <v>0</v>
      </c>
      <c r="AQ35" s="43">
        <v>145645</v>
      </c>
      <c r="AR35" s="43">
        <v>165065.14867000002</v>
      </c>
      <c r="AS35" s="43">
        <v>208636.03124000225</v>
      </c>
      <c r="AT35" s="43">
        <v>235631.55267000012</v>
      </c>
      <c r="AU35" s="44">
        <v>247045.22022999969</v>
      </c>
      <c r="AV35" s="44">
        <v>272396.06858000025</v>
      </c>
      <c r="AW35" s="44">
        <v>308092.0396929998</v>
      </c>
      <c r="AX35" s="47"/>
    </row>
    <row r="36" spans="2:50" ht="15.75" customHeight="1" x14ac:dyDescent="0.2">
      <c r="B36" s="38" t="s">
        <v>795</v>
      </c>
      <c r="C36" s="53" t="s">
        <v>818</v>
      </c>
      <c r="D36" s="39">
        <v>3297.160120000015</v>
      </c>
      <c r="E36" s="39">
        <v>883.43187999998918</v>
      </c>
      <c r="F36" s="39">
        <v>1104.8359999999811</v>
      </c>
      <c r="G36" s="39">
        <v>1372.5890000000072</v>
      </c>
      <c r="H36" s="39">
        <v>12992.044630000019</v>
      </c>
      <c r="I36" s="39">
        <v>-4608.1964899999439</v>
      </c>
      <c r="J36" s="39">
        <v>4487.8579199999804</v>
      </c>
      <c r="K36" s="39">
        <v>8633.8489399999962</v>
      </c>
      <c r="L36" s="39">
        <v>7693.7490300000063</v>
      </c>
      <c r="M36" s="39">
        <v>5478.3823399999819</v>
      </c>
      <c r="N36" s="39">
        <v>5591.0156900000147</v>
      </c>
      <c r="O36" s="39">
        <v>17201.295499999993</v>
      </c>
      <c r="P36" s="39">
        <v>6402.6247500000172</v>
      </c>
      <c r="Q36" s="39">
        <v>382.20756000000983</v>
      </c>
      <c r="R36" s="39">
        <v>8037.1154800000222</v>
      </c>
      <c r="S36" s="39">
        <v>8898.9259899999888</v>
      </c>
      <c r="T36" s="39">
        <v>7053.0292600002867</v>
      </c>
      <c r="U36" s="39">
        <v>10807.450630000036</v>
      </c>
      <c r="V36" s="39">
        <v>-266.98267999984091</v>
      </c>
      <c r="W36" s="39">
        <v>3271.2908100000059</v>
      </c>
      <c r="X36" s="39">
        <v>6746.6999500000093</v>
      </c>
      <c r="Y36" s="39">
        <v>6228</v>
      </c>
      <c r="Z36" s="39">
        <v>5648</v>
      </c>
      <c r="AA36" s="39">
        <v>1241</v>
      </c>
      <c r="AB36" s="39">
        <v>-1225</v>
      </c>
      <c r="AC36" s="39">
        <v>3886</v>
      </c>
      <c r="AD36" s="39">
        <v>-793</v>
      </c>
      <c r="AE36" s="39">
        <v>3147</v>
      </c>
      <c r="AO36" s="43">
        <v>0</v>
      </c>
      <c r="AP36" s="43">
        <v>0</v>
      </c>
      <c r="AQ36" s="43">
        <v>5015</v>
      </c>
      <c r="AR36" s="43">
        <v>19863.699950000009</v>
      </c>
      <c r="AS36" s="43">
        <v>20864.788020000502</v>
      </c>
      <c r="AT36" s="43">
        <v>23720.873780000024</v>
      </c>
      <c r="AU36" s="44">
        <v>35964.442559999996</v>
      </c>
      <c r="AV36" s="44">
        <v>21505.555000000051</v>
      </c>
      <c r="AW36" s="44">
        <v>6658.0169999999925</v>
      </c>
      <c r="AX36" s="47"/>
    </row>
    <row r="37" spans="2:50" ht="15.75" customHeight="1" x14ac:dyDescent="0.2">
      <c r="B37" s="38" t="s">
        <v>794</v>
      </c>
      <c r="C37" s="53" t="s">
        <v>819</v>
      </c>
      <c r="D37" s="39">
        <v>0.60352000000420958</v>
      </c>
      <c r="E37" s="39">
        <v>2683.0851199999984</v>
      </c>
      <c r="F37" s="39">
        <v>48.731139999999414</v>
      </c>
      <c r="G37" s="39">
        <v>4479.8785300000009</v>
      </c>
      <c r="H37" s="39">
        <v>-2.9787200000009761</v>
      </c>
      <c r="I37" s="39">
        <v>4.0387200000059238</v>
      </c>
      <c r="J37" s="39">
        <v>-1.3321999999989202</v>
      </c>
      <c r="K37" s="39">
        <v>3916.3322499999995</v>
      </c>
      <c r="L37" s="39">
        <v>0.49734999999418505</v>
      </c>
      <c r="M37" s="39">
        <v>5.7299999998576823E-2</v>
      </c>
      <c r="N37" s="39">
        <v>731.39600999999766</v>
      </c>
      <c r="O37" s="39">
        <v>6706.5085699999918</v>
      </c>
      <c r="P37" s="39">
        <v>0.12744000000020606</v>
      </c>
      <c r="Q37" s="39">
        <v>10.711780000001454</v>
      </c>
      <c r="R37" s="39">
        <v>-0.58843000000069878</v>
      </c>
      <c r="S37" s="39">
        <v>-495.92529999999897</v>
      </c>
      <c r="T37" s="39">
        <v>-1353.4310899999982</v>
      </c>
      <c r="U37" s="39">
        <v>332.90672000000257</v>
      </c>
      <c r="V37" s="39">
        <v>669.50525999999445</v>
      </c>
      <c r="W37" s="39">
        <v>-2454.7926999999991</v>
      </c>
      <c r="X37" s="39">
        <v>-178.46769999999555</v>
      </c>
      <c r="Y37" s="39">
        <v>230</v>
      </c>
      <c r="Z37" s="39">
        <v>488</v>
      </c>
      <c r="AA37" s="39">
        <v>-45</v>
      </c>
      <c r="AB37" s="39">
        <v>-2</v>
      </c>
      <c r="AC37" s="39">
        <v>1</v>
      </c>
      <c r="AD37" s="39">
        <v>1</v>
      </c>
      <c r="AE37" s="39">
        <v>-0.44999999999999996</v>
      </c>
      <c r="AO37" s="43">
        <v>0</v>
      </c>
      <c r="AP37" s="43">
        <v>0</v>
      </c>
      <c r="AQ37" s="43">
        <v>-0.45000000001164153</v>
      </c>
      <c r="AR37" s="43">
        <v>494.53230000000622</v>
      </c>
      <c r="AS37" s="43">
        <v>-2805.8118099999992</v>
      </c>
      <c r="AT37" s="43">
        <v>-485.67450999999818</v>
      </c>
      <c r="AU37" s="44">
        <v>7438.4592299999822</v>
      </c>
      <c r="AV37" s="44">
        <v>3916.0600500000055</v>
      </c>
      <c r="AW37" s="44">
        <v>7212.2983100000029</v>
      </c>
      <c r="AX37" s="47"/>
    </row>
    <row r="38" spans="2:50" s="73" customFormat="1" ht="17.100000000000001" customHeight="1" x14ac:dyDescent="0.2">
      <c r="B38" s="121" t="s">
        <v>791</v>
      </c>
      <c r="C38" s="109" t="s">
        <v>813</v>
      </c>
      <c r="D38" s="112">
        <v>270675</v>
      </c>
      <c r="E38" s="112">
        <v>242677</v>
      </c>
      <c r="F38" s="112">
        <v>213015</v>
      </c>
      <c r="G38" s="112">
        <v>224728</v>
      </c>
      <c r="H38" s="112">
        <v>284250</v>
      </c>
      <c r="I38" s="112">
        <v>271978</v>
      </c>
      <c r="J38" s="112">
        <v>218550</v>
      </c>
      <c r="K38" s="112">
        <v>233975</v>
      </c>
      <c r="L38" s="112">
        <v>290673</v>
      </c>
      <c r="M38" s="110">
        <v>271633</v>
      </c>
      <c r="N38" s="110">
        <v>149002</v>
      </c>
      <c r="O38" s="110">
        <v>204924</v>
      </c>
      <c r="P38" s="110">
        <v>272851.20872000052</v>
      </c>
      <c r="Q38" s="110">
        <v>143262.26194000005</v>
      </c>
      <c r="R38" s="110">
        <v>153563.67217999982</v>
      </c>
      <c r="S38" s="110">
        <v>179856.44798999996</v>
      </c>
      <c r="T38" s="110">
        <v>249629.13540000221</v>
      </c>
      <c r="U38" s="110">
        <v>252167.84074000074</v>
      </c>
      <c r="V38" s="110">
        <v>169393.78706000009</v>
      </c>
      <c r="W38" s="110">
        <v>33151.21293999991</v>
      </c>
      <c r="X38" s="110">
        <v>117947</v>
      </c>
      <c r="Y38" s="110">
        <v>31004</v>
      </c>
      <c r="Z38" s="110">
        <v>-46759</v>
      </c>
      <c r="AA38" s="110">
        <v>45865</v>
      </c>
      <c r="AB38" s="110">
        <v>298939</v>
      </c>
      <c r="AC38" s="110">
        <v>117076</v>
      </c>
      <c r="AD38" s="110">
        <v>175548</v>
      </c>
      <c r="AE38" s="110">
        <v>81417</v>
      </c>
      <c r="AO38" s="105">
        <v>0</v>
      </c>
      <c r="AP38" s="105">
        <v>0</v>
      </c>
      <c r="AQ38" s="110">
        <v>672980</v>
      </c>
      <c r="AR38" s="110">
        <v>148057</v>
      </c>
      <c r="AS38" s="110">
        <v>704341.97614000295</v>
      </c>
      <c r="AT38" s="110">
        <v>749533.59083000035</v>
      </c>
      <c r="AU38" s="112">
        <v>916232</v>
      </c>
      <c r="AV38" s="112">
        <v>1008753</v>
      </c>
      <c r="AW38" s="112">
        <v>951095</v>
      </c>
      <c r="AX38" s="47"/>
    </row>
    <row r="39" spans="2:50" s="76" customFormat="1" ht="15.75" customHeight="1" x14ac:dyDescent="0.2">
      <c r="B39" s="65" t="s">
        <v>808</v>
      </c>
      <c r="C39" s="49" t="s">
        <v>816</v>
      </c>
      <c r="D39" s="217">
        <v>0.11148835669024874</v>
      </c>
      <c r="E39" s="217">
        <v>0.12531590139435544</v>
      </c>
      <c r="F39" s="217">
        <v>0.11718930516586895</v>
      </c>
      <c r="G39" s="217">
        <v>0.14457921239559202</v>
      </c>
      <c r="H39" s="217">
        <v>0.13085389937714925</v>
      </c>
      <c r="I39" s="217">
        <v>0.15363488878645734</v>
      </c>
      <c r="J39" s="217">
        <v>0.12751343835858611</v>
      </c>
      <c r="K39" s="217">
        <v>0.15648209392737786</v>
      </c>
      <c r="L39" s="217">
        <v>0.13645719856439079</v>
      </c>
      <c r="M39" s="50">
        <v>0.1514741431116578</v>
      </c>
      <c r="N39" s="50">
        <v>9.3538671282474478E-2</v>
      </c>
      <c r="O39" s="50">
        <v>0.13920315170031022</v>
      </c>
      <c r="P39" s="50">
        <v>0.13758871072562293</v>
      </c>
      <c r="Q39" s="50">
        <v>9.7458688214671976E-2</v>
      </c>
      <c r="R39" s="50">
        <v>0.104964408715977</v>
      </c>
      <c r="S39" s="50">
        <v>0.13375934060597802</v>
      </c>
      <c r="T39" s="50">
        <v>0.14828299547958618</v>
      </c>
      <c r="U39" s="50">
        <v>0.16909090683593844</v>
      </c>
      <c r="V39" s="50">
        <v>0.15086111261912849</v>
      </c>
      <c r="W39" s="50">
        <v>4.0784604201636515E-2</v>
      </c>
      <c r="X39" s="50">
        <v>0.10981693375174006</v>
      </c>
      <c r="Y39" s="50">
        <v>5.4484937737022836E-2</v>
      </c>
      <c r="Z39" s="50">
        <v>-0.19534030713700851</v>
      </c>
      <c r="AA39" s="50">
        <v>9.0711311966614916E-2</v>
      </c>
      <c r="AB39" s="50">
        <v>0.35098725034019834</v>
      </c>
      <c r="AC39" s="50">
        <v>0.18852726959451083</v>
      </c>
      <c r="AD39" s="50">
        <v>0.32179161205025364</v>
      </c>
      <c r="AE39" s="50">
        <v>0.15443964193820414</v>
      </c>
      <c r="AO39" s="43">
        <v>0</v>
      </c>
      <c r="AP39" s="43">
        <v>0</v>
      </c>
      <c r="AQ39" s="50">
        <v>0.26438838039429219</v>
      </c>
      <c r="AR39" s="50">
        <v>6.1998915479411838E-2</v>
      </c>
      <c r="AS39" s="50">
        <v>0.13782354414935796</v>
      </c>
      <c r="AT39" s="50">
        <v>0.1197202860283972</v>
      </c>
      <c r="AU39" s="34">
        <v>0.13110247052237303</v>
      </c>
      <c r="AV39" s="34">
        <v>0.14105052299350898</v>
      </c>
      <c r="AW39" s="34">
        <v>0.12293746468809254</v>
      </c>
      <c r="AX39" s="47"/>
    </row>
    <row r="40" spans="2:50" ht="15.75" customHeight="1" x14ac:dyDescent="0.2">
      <c r="B40" s="121" t="s">
        <v>792</v>
      </c>
      <c r="C40" s="109" t="s">
        <v>777</v>
      </c>
      <c r="D40" s="112">
        <v>127065.25696680063</v>
      </c>
      <c r="E40" s="112">
        <v>92976.905211999925</v>
      </c>
      <c r="F40" s="112">
        <v>55989.032792400132</v>
      </c>
      <c r="G40" s="112">
        <v>72268.806138799904</v>
      </c>
      <c r="H40" s="112">
        <v>135079.17041600018</v>
      </c>
      <c r="I40" s="112">
        <v>142489.47235820006</v>
      </c>
      <c r="J40" s="112">
        <v>223782.76109059987</v>
      </c>
      <c r="K40" s="112">
        <v>48590.267709600033</v>
      </c>
      <c r="L40" s="112">
        <v>132397.81931540288</v>
      </c>
      <c r="M40" s="112">
        <v>87868.080250399667</v>
      </c>
      <c r="N40" s="112">
        <v>-18399.674548243427</v>
      </c>
      <c r="O40" s="112">
        <v>11241.684734999979</v>
      </c>
      <c r="P40" s="112">
        <v>154474.34455000068</v>
      </c>
      <c r="Q40" s="112">
        <v>26921.925830000037</v>
      </c>
      <c r="R40" s="112">
        <v>46760.854845599722</v>
      </c>
      <c r="S40" s="112">
        <v>25517.374904400076</v>
      </c>
      <c r="T40" s="112">
        <v>298426.3378718996</v>
      </c>
      <c r="U40" s="112">
        <v>236705.03378500012</v>
      </c>
      <c r="V40" s="112">
        <v>32683.749973200196</v>
      </c>
      <c r="W40" s="112">
        <v>-24603.922170000002</v>
      </c>
      <c r="X40" s="112">
        <v>-616.95216929806338</v>
      </c>
      <c r="Y40" s="112">
        <v>-26779.932859999943</v>
      </c>
      <c r="Z40" s="112">
        <v>-89105.858319999985</v>
      </c>
      <c r="AA40" s="112">
        <v>11061.858319999988</v>
      </c>
      <c r="AB40" s="112">
        <v>171215.94519</v>
      </c>
      <c r="AC40" s="112">
        <v>46754</v>
      </c>
      <c r="AD40" s="112">
        <v>118932</v>
      </c>
      <c r="AE40" s="112">
        <v>2260</v>
      </c>
      <c r="AO40" s="105">
        <v>0</v>
      </c>
      <c r="AP40" s="105">
        <v>0</v>
      </c>
      <c r="AQ40" s="110">
        <v>339161.94519</v>
      </c>
      <c r="AR40" s="110">
        <v>-105440.88502929801</v>
      </c>
      <c r="AS40" s="110">
        <v>543211.19946009992</v>
      </c>
      <c r="AT40" s="110">
        <v>253674.50013000052</v>
      </c>
      <c r="AU40" s="112">
        <v>213107.90975255909</v>
      </c>
      <c r="AV40" s="112">
        <v>549941.67157440016</v>
      </c>
      <c r="AW40" s="112">
        <v>348300.00111000054</v>
      </c>
      <c r="AX40" s="47"/>
    </row>
    <row r="41" spans="2:50" ht="15.75" customHeight="1" x14ac:dyDescent="0.2">
      <c r="B41" s="66" t="s">
        <v>767</v>
      </c>
      <c r="C41" s="42" t="s">
        <v>766</v>
      </c>
      <c r="D41" s="39">
        <v>89841.491962999804</v>
      </c>
      <c r="E41" s="39">
        <v>79096.414399999892</v>
      </c>
      <c r="F41" s="39">
        <v>75387.238200000065</v>
      </c>
      <c r="G41" s="39">
        <v>77637.210440000039</v>
      </c>
      <c r="H41" s="39">
        <v>81010.27082000034</v>
      </c>
      <c r="I41" s="39">
        <v>70845.528340000019</v>
      </c>
      <c r="J41" s="39">
        <v>71611.570949999965</v>
      </c>
      <c r="K41" s="39">
        <v>74350.313519999996</v>
      </c>
      <c r="L41" s="39">
        <v>80502.473199999746</v>
      </c>
      <c r="M41" s="44">
        <v>70361.691519999862</v>
      </c>
      <c r="N41" s="44">
        <v>67375.850779999935</v>
      </c>
      <c r="O41" s="44">
        <v>72208.106520000118</v>
      </c>
      <c r="P41" s="44">
        <v>66026.306780000086</v>
      </c>
      <c r="Q41" s="44">
        <v>63791.621590000097</v>
      </c>
      <c r="R41" s="44">
        <v>64131.984489999988</v>
      </c>
      <c r="S41" s="44">
        <v>64916.839079999918</v>
      </c>
      <c r="T41" s="44">
        <v>61057.563530000261</v>
      </c>
      <c r="U41" s="44">
        <v>58923.120079999528</v>
      </c>
      <c r="V41" s="44">
        <v>56640.296100003048</v>
      </c>
      <c r="W41" s="44">
        <v>50074.02774000007</v>
      </c>
      <c r="X41" s="44">
        <v>52699.048320000133</v>
      </c>
      <c r="Y41" s="44">
        <v>47038</v>
      </c>
      <c r="Z41" s="44">
        <v>47313.666599999997</v>
      </c>
      <c r="AA41" s="44">
        <v>38372.665999999997</v>
      </c>
      <c r="AB41" s="44">
        <v>45234</v>
      </c>
      <c r="AC41" s="44">
        <v>36526</v>
      </c>
      <c r="AD41" s="44">
        <v>34188</v>
      </c>
      <c r="AE41" s="44">
        <v>34711.550000000003</v>
      </c>
      <c r="AO41" s="43">
        <v>0</v>
      </c>
      <c r="AP41" s="43">
        <v>0</v>
      </c>
      <c r="AQ41" s="46">
        <v>150659.54999999999</v>
      </c>
      <c r="AR41" s="46">
        <v>185423.38092000003</v>
      </c>
      <c r="AS41" s="46">
        <v>226695.00745000277</v>
      </c>
      <c r="AT41" s="46">
        <v>258866.75194000013</v>
      </c>
      <c r="AU41" s="44">
        <v>290448.12201999966</v>
      </c>
      <c r="AV41" s="44">
        <v>297817.68363000033</v>
      </c>
      <c r="AW41" s="44">
        <v>321962.35500299983</v>
      </c>
      <c r="AX41" s="47"/>
    </row>
    <row r="42" spans="2:50" ht="15.75" customHeight="1" x14ac:dyDescent="0.2">
      <c r="B42" s="66" t="s">
        <v>771</v>
      </c>
      <c r="C42" s="67" t="s">
        <v>772</v>
      </c>
      <c r="D42" s="39">
        <v>-48119.661480000068</v>
      </c>
      <c r="E42" s="39">
        <v>-49518.153090000007</v>
      </c>
      <c r="F42" s="39">
        <v>-50086.488229999995</v>
      </c>
      <c r="G42" s="39">
        <v>-47125.850080000026</v>
      </c>
      <c r="H42" s="39">
        <v>-46574.199049999996</v>
      </c>
      <c r="I42" s="39">
        <v>-46285.263460000031</v>
      </c>
      <c r="J42" s="39">
        <v>-40770.545950000007</v>
      </c>
      <c r="K42" s="39">
        <v>-53548.548390000018</v>
      </c>
      <c r="L42" s="39">
        <v>-53157.079670000065</v>
      </c>
      <c r="M42" s="39">
        <v>-52870.787799999962</v>
      </c>
      <c r="N42" s="39">
        <v>-51498.125705020502</v>
      </c>
      <c r="O42" s="39">
        <v>-47680.290760000004</v>
      </c>
      <c r="P42" s="39">
        <v>-46821.044269999969</v>
      </c>
      <c r="Q42" s="39">
        <v>-43731.732360000009</v>
      </c>
      <c r="R42" s="39">
        <v>-44650.716659999991</v>
      </c>
      <c r="S42" s="39">
        <v>-47361.981809999954</v>
      </c>
      <c r="T42" s="39">
        <v>-42907.988645776175</v>
      </c>
      <c r="U42" s="39">
        <v>-48812.364949999908</v>
      </c>
      <c r="V42" s="39">
        <v>-42539.819090000005</v>
      </c>
      <c r="W42" s="39">
        <v>-40288.747620000002</v>
      </c>
      <c r="X42" s="39">
        <v>-32276.163795032</v>
      </c>
      <c r="Y42" s="39">
        <v>-32194</v>
      </c>
      <c r="Z42" s="39">
        <v>-33624.713889999999</v>
      </c>
      <c r="AA42" s="39">
        <v>-27761.286110000005</v>
      </c>
      <c r="AB42" s="39">
        <v>-18330</v>
      </c>
      <c r="AC42" s="39">
        <v>-33462</v>
      </c>
      <c r="AD42" s="39">
        <v>-30724</v>
      </c>
      <c r="AE42" s="39">
        <v>-30656</v>
      </c>
      <c r="AO42" s="43">
        <v>0</v>
      </c>
      <c r="AP42" s="43">
        <v>0</v>
      </c>
      <c r="AQ42" s="43">
        <v>-113172</v>
      </c>
      <c r="AR42" s="43">
        <v>-125856.163795032</v>
      </c>
      <c r="AS42" s="43">
        <v>-174548.92030577609</v>
      </c>
      <c r="AT42" s="43">
        <v>-182565.47509999992</v>
      </c>
      <c r="AU42" s="44">
        <v>-205206.28393502053</v>
      </c>
      <c r="AV42" s="44">
        <v>-187178.55685000005</v>
      </c>
      <c r="AW42" s="44">
        <v>-194850.1528800001</v>
      </c>
      <c r="AX42" s="47"/>
    </row>
    <row r="43" spans="2:50" ht="15.75" customHeight="1" x14ac:dyDescent="0.2">
      <c r="B43" s="66" t="s">
        <v>773</v>
      </c>
      <c r="C43" s="42" t="s">
        <v>774</v>
      </c>
      <c r="D43" s="39">
        <v>-41097.246230000077</v>
      </c>
      <c r="E43" s="39">
        <v>-37945.301669999964</v>
      </c>
      <c r="F43" s="39">
        <v>-36288.102559999999</v>
      </c>
      <c r="G43" s="39">
        <v>-34955.421490000001</v>
      </c>
      <c r="H43" s="39">
        <v>-34905.073760000028</v>
      </c>
      <c r="I43" s="39">
        <v>-34240.548429999995</v>
      </c>
      <c r="J43" s="39">
        <v>-26495.629140000034</v>
      </c>
      <c r="K43" s="39">
        <v>-32681.782759999987</v>
      </c>
      <c r="L43" s="39">
        <v>-33283.251427002164</v>
      </c>
      <c r="M43" s="39">
        <v>-33900.64511000007</v>
      </c>
      <c r="N43" s="39">
        <v>-32542.287591335888</v>
      </c>
      <c r="O43" s="39">
        <v>-34674.241739999998</v>
      </c>
      <c r="P43" s="39">
        <v>-33012.77269000002</v>
      </c>
      <c r="Q43" s="39">
        <v>-32000.264060000038</v>
      </c>
      <c r="R43" s="39">
        <v>-30560.285500000002</v>
      </c>
      <c r="S43" s="39">
        <v>-29801.638690000025</v>
      </c>
      <c r="T43" s="39">
        <v>-32997.633728123925</v>
      </c>
      <c r="U43" s="39">
        <v>-29150.318560000051</v>
      </c>
      <c r="V43" s="39">
        <v>-28416.900749999942</v>
      </c>
      <c r="W43" s="39">
        <v>-26022.396250000013</v>
      </c>
      <c r="X43" s="39">
        <v>-25865.516755670189</v>
      </c>
      <c r="Y43" s="39">
        <v>-24649</v>
      </c>
      <c r="Z43" s="39">
        <v>-29871</v>
      </c>
      <c r="AA43" s="39">
        <v>-18827</v>
      </c>
      <c r="AB43" s="39">
        <v>-51494</v>
      </c>
      <c r="AC43" s="39">
        <v>-11404</v>
      </c>
      <c r="AD43" s="39">
        <v>-10567</v>
      </c>
      <c r="AE43" s="39">
        <v>-10459</v>
      </c>
      <c r="AO43" s="43">
        <v>0</v>
      </c>
      <c r="AP43" s="43">
        <v>0</v>
      </c>
      <c r="AQ43" s="43">
        <v>-83924</v>
      </c>
      <c r="AR43" s="43">
        <v>-99212.516755670193</v>
      </c>
      <c r="AS43" s="43">
        <v>-116587.24928812393</v>
      </c>
      <c r="AT43" s="43">
        <v>-125374.96094000008</v>
      </c>
      <c r="AU43" s="44">
        <v>-134400.42586833812</v>
      </c>
      <c r="AV43" s="44">
        <v>-128323.03409000004</v>
      </c>
      <c r="AW43" s="44">
        <v>-150286.07195000004</v>
      </c>
      <c r="AX43" s="47"/>
    </row>
    <row r="44" spans="2:50" ht="15.75" customHeight="1" x14ac:dyDescent="0.2">
      <c r="B44" s="66" t="s">
        <v>775</v>
      </c>
      <c r="C44" s="42" t="s">
        <v>776</v>
      </c>
      <c r="D44" s="39">
        <v>642.59137319999718</v>
      </c>
      <c r="E44" s="39">
        <v>1244.7810480000044</v>
      </c>
      <c r="F44" s="39">
        <v>1466.0129475999988</v>
      </c>
      <c r="G44" s="39">
        <v>-509.66850879999947</v>
      </c>
      <c r="H44" s="39">
        <v>684.7518039999959</v>
      </c>
      <c r="I44" s="39">
        <v>925.40212180000344</v>
      </c>
      <c r="J44" s="39">
        <v>787.62459939999826</v>
      </c>
      <c r="K44" s="39">
        <v>1178.0338203999981</v>
      </c>
      <c r="L44" s="39">
        <v>720.56794159997662</v>
      </c>
      <c r="M44" s="39">
        <v>1240.0188496000192</v>
      </c>
      <c r="N44" s="39">
        <v>2285.1649145999836</v>
      </c>
      <c r="O44" s="39">
        <v>416.04547499999899</v>
      </c>
      <c r="P44" s="39">
        <v>-0.57698999998683576</v>
      </c>
      <c r="Q44" s="39">
        <v>0.61440999999467749</v>
      </c>
      <c r="R44" s="39">
        <v>-4008.845485599988</v>
      </c>
      <c r="S44" s="39">
        <v>4008.6586955999956</v>
      </c>
      <c r="T44" s="39">
        <v>4900.4753119999659</v>
      </c>
      <c r="U44" s="39">
        <v>3773.2209150000126</v>
      </c>
      <c r="V44" s="39">
        <v>5711.1035268000196</v>
      </c>
      <c r="W44" s="39">
        <v>4677.256939999992</v>
      </c>
      <c r="X44" s="39">
        <v>1531.7793200000306</v>
      </c>
      <c r="Y44" s="39">
        <v>3334</v>
      </c>
      <c r="Z44" s="39">
        <v>3001</v>
      </c>
      <c r="AA44" s="39">
        <v>5294</v>
      </c>
      <c r="AB44" s="39">
        <v>17002</v>
      </c>
      <c r="AC44" s="39">
        <v>-1</v>
      </c>
      <c r="AD44" s="39">
        <v>1</v>
      </c>
      <c r="AE44" s="39">
        <v>0</v>
      </c>
      <c r="AO44" s="43">
        <v>0</v>
      </c>
      <c r="AP44" s="43">
        <v>0</v>
      </c>
      <c r="AQ44" s="43">
        <v>17002</v>
      </c>
      <c r="AR44" s="43">
        <v>13160.779320000031</v>
      </c>
      <c r="AS44" s="43">
        <v>19062.056693799968</v>
      </c>
      <c r="AT44" s="43">
        <v>-0.14936999998462852</v>
      </c>
      <c r="AU44" s="44">
        <v>4661.7971807999784</v>
      </c>
      <c r="AV44" s="44">
        <v>3575.8123455999958</v>
      </c>
      <c r="AW44" s="44">
        <v>2843.7168600000009</v>
      </c>
      <c r="AX44" s="47"/>
    </row>
    <row r="45" spans="2:50" s="73" customFormat="1" ht="15.75" customHeight="1" x14ac:dyDescent="0.2">
      <c r="B45" s="121" t="s">
        <v>793</v>
      </c>
      <c r="C45" s="109" t="s">
        <v>814</v>
      </c>
      <c r="D45" s="112">
        <v>128333</v>
      </c>
      <c r="E45" s="112">
        <v>85854</v>
      </c>
      <c r="F45" s="112">
        <v>46468</v>
      </c>
      <c r="G45" s="112">
        <v>67315</v>
      </c>
      <c r="H45" s="112">
        <v>135296</v>
      </c>
      <c r="I45" s="112">
        <v>133733</v>
      </c>
      <c r="J45" s="112">
        <v>228917</v>
      </c>
      <c r="K45" s="112">
        <v>37888</v>
      </c>
      <c r="L45" s="112">
        <v>127181</v>
      </c>
      <c r="M45" s="110">
        <v>72700</v>
      </c>
      <c r="N45" s="110">
        <v>-32581</v>
      </c>
      <c r="O45" s="110">
        <v>1512</v>
      </c>
      <c r="P45" s="110">
        <v>140666.11520000017</v>
      </c>
      <c r="Q45" s="110">
        <v>14984.884799999825</v>
      </c>
      <c r="R45" s="110">
        <v>31672.693540000037</v>
      </c>
      <c r="S45" s="110">
        <v>17278.306459999963</v>
      </c>
      <c r="T45" s="110">
        <v>288477.21199000214</v>
      </c>
      <c r="U45" s="110">
        <v>221440.22411000083</v>
      </c>
      <c r="V45" s="110">
        <v>24077.759030000103</v>
      </c>
      <c r="W45" s="110">
        <v>-36163.759030000103</v>
      </c>
      <c r="X45" s="110">
        <v>-4527</v>
      </c>
      <c r="Y45" s="110">
        <v>-33251</v>
      </c>
      <c r="Z45" s="110">
        <v>-102287</v>
      </c>
      <c r="AA45" s="110">
        <v>8140</v>
      </c>
      <c r="AB45" s="110">
        <v>163628</v>
      </c>
      <c r="AC45" s="110">
        <v>38413</v>
      </c>
      <c r="AD45" s="110">
        <v>111829</v>
      </c>
      <c r="AE45" s="110">
        <v>-4143</v>
      </c>
      <c r="AO45" s="105">
        <v>0</v>
      </c>
      <c r="AP45" s="105">
        <v>0</v>
      </c>
      <c r="AQ45" s="110">
        <v>309727</v>
      </c>
      <c r="AR45" s="110">
        <v>-131925</v>
      </c>
      <c r="AS45" s="110">
        <v>497831.43610000296</v>
      </c>
      <c r="AT45" s="110">
        <v>204602</v>
      </c>
      <c r="AU45" s="112">
        <v>168812</v>
      </c>
      <c r="AV45" s="112">
        <v>535834</v>
      </c>
      <c r="AW45" s="112">
        <v>327970</v>
      </c>
      <c r="AX45" s="47"/>
    </row>
    <row r="46" spans="2:50" s="76" customFormat="1" ht="15" customHeight="1" x14ac:dyDescent="0.2">
      <c r="B46" s="50" t="s">
        <v>807</v>
      </c>
      <c r="C46" s="49" t="s">
        <v>815</v>
      </c>
      <c r="D46" s="217">
        <v>5.2859094039455781E-2</v>
      </c>
      <c r="E46" s="217">
        <v>4.4334120655484421E-2</v>
      </c>
      <c r="F46" s="217">
        <v>2.5564174506244156E-2</v>
      </c>
      <c r="G46" s="217">
        <v>4.3307241119972931E-2</v>
      </c>
      <c r="H46" s="217">
        <v>6.2283233668006283E-2</v>
      </c>
      <c r="I46" s="217">
        <v>7.5543075476984536E-2</v>
      </c>
      <c r="J46" s="217">
        <v>0.13356208542087603</v>
      </c>
      <c r="K46" s="217">
        <v>2.5339431882553658E-2</v>
      </c>
      <c r="L46" s="217">
        <v>5.9705452417726394E-2</v>
      </c>
      <c r="M46" s="50">
        <v>4.0540619896027072E-2</v>
      </c>
      <c r="N46" s="50">
        <v>-2.045330565397982E-2</v>
      </c>
      <c r="O46" s="50">
        <v>1.027088898181126E-3</v>
      </c>
      <c r="P46" s="50">
        <v>7.0932687173876838E-2</v>
      </c>
      <c r="Q46" s="50">
        <v>1.0193942186028001E-2</v>
      </c>
      <c r="R46" s="50">
        <v>2.1649036537571369E-2</v>
      </c>
      <c r="S46" s="50">
        <v>1.2849886143676676E-2</v>
      </c>
      <c r="T46" s="50">
        <v>0.17135926482673197</v>
      </c>
      <c r="U46" s="50">
        <v>0.14848653260000694</v>
      </c>
      <c r="V46" s="50">
        <v>2.144351088481463E-2</v>
      </c>
      <c r="W46" s="50">
        <v>-4.4490818515490395E-2</v>
      </c>
      <c r="X46" s="50">
        <v>-4.2149546753552638E-3</v>
      </c>
      <c r="Y46" s="50">
        <v>-5.8433707414970532E-2</v>
      </c>
      <c r="Z46" s="50">
        <v>-0.42731397155891249</v>
      </c>
      <c r="AA46" s="50">
        <v>1.6099205917545958E-2</v>
      </c>
      <c r="AB46" s="50">
        <v>0.19211726070758908</v>
      </c>
      <c r="AC46" s="50">
        <v>6.1856383946615398E-2</v>
      </c>
      <c r="AD46" s="50">
        <v>0.20499028290819502</v>
      </c>
      <c r="AE46" s="50">
        <v>-7.8588431967522715E-3</v>
      </c>
      <c r="AO46" s="43">
        <v>0</v>
      </c>
      <c r="AP46" s="43">
        <v>0</v>
      </c>
      <c r="AQ46" s="50">
        <v>0.12168002005168495</v>
      </c>
      <c r="AR46" s="50">
        <v>-5.5243635387866877E-2</v>
      </c>
      <c r="AS46" s="50">
        <v>9.741417555188954E-2</v>
      </c>
      <c r="AT46" s="50">
        <v>3.2680336494135549E-2</v>
      </c>
      <c r="AU46" s="34">
        <v>2.4155094183375865E-2</v>
      </c>
      <c r="AV46" s="34">
        <v>7.492385741376123E-2</v>
      </c>
      <c r="AW46" s="34">
        <v>4.2393031499223216E-2</v>
      </c>
      <c r="AX46" s="47"/>
    </row>
    <row r="47" spans="2:50" s="76" customFormat="1" ht="15" customHeight="1" x14ac:dyDescent="0.2">
      <c r="B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Q47" s="50"/>
      <c r="AR47" s="50"/>
      <c r="AS47" s="50"/>
      <c r="AT47" s="50"/>
      <c r="AU47" s="50"/>
      <c r="AV47" s="50"/>
      <c r="AW47" s="50"/>
    </row>
    <row r="48" spans="2:50" ht="15.75" customHeight="1" x14ac:dyDescent="0.2">
      <c r="B48" s="42"/>
      <c r="C48" s="53"/>
      <c r="X48" s="266"/>
    </row>
    <row r="49" spans="2:24" ht="15.75" customHeight="1" x14ac:dyDescent="0.2">
      <c r="B49" s="69" t="s">
        <v>821</v>
      </c>
      <c r="C49" s="70"/>
      <c r="X49" s="260"/>
    </row>
    <row r="50" spans="2:24" ht="15.75" customHeight="1" x14ac:dyDescent="0.2">
      <c r="B50" s="80"/>
      <c r="C50" s="54"/>
      <c r="X50" s="261"/>
    </row>
    <row r="51" spans="2:24" ht="15.75" customHeight="1" x14ac:dyDescent="0.2">
      <c r="B51" s="70"/>
      <c r="C51" s="70"/>
      <c r="X51" s="261"/>
    </row>
    <row r="52" spans="2:24" ht="15.75" customHeight="1" x14ac:dyDescent="0.2">
      <c r="B52" s="77"/>
      <c r="X52" s="261"/>
    </row>
    <row r="53" spans="2:24" ht="15.75" customHeight="1" x14ac:dyDescent="0.2">
      <c r="X53" s="267"/>
    </row>
    <row r="54" spans="2:24" ht="15.75" customHeight="1" x14ac:dyDescent="0.2">
      <c r="X54" s="261"/>
    </row>
    <row r="55" spans="2:24" ht="15.75" customHeight="1" x14ac:dyDescent="0.2">
      <c r="X55" s="261"/>
    </row>
    <row r="56" spans="2:24" ht="15.75" customHeight="1" x14ac:dyDescent="0.2">
      <c r="X56" s="261"/>
    </row>
    <row r="57" spans="2:24" ht="15.75" customHeight="1" x14ac:dyDescent="0.2">
      <c r="X57" s="261"/>
    </row>
    <row r="58" spans="2:24" ht="15.75" customHeight="1" x14ac:dyDescent="0.2">
      <c r="X58" s="268"/>
    </row>
    <row r="59" spans="2:24" ht="15.75" customHeight="1" x14ac:dyDescent="0.2">
      <c r="X59" s="261"/>
    </row>
    <row r="60" spans="2:24" ht="15.75" customHeight="1" x14ac:dyDescent="0.2">
      <c r="X60" s="261"/>
    </row>
    <row r="61" spans="2:24" ht="15.75" customHeight="1" x14ac:dyDescent="0.2">
      <c r="X61" s="261"/>
    </row>
    <row r="62" spans="2:24" ht="15.75" customHeight="1" x14ac:dyDescent="0.2">
      <c r="X62" s="261"/>
    </row>
    <row r="63" spans="2:24" ht="15.75" customHeight="1" x14ac:dyDescent="0.2">
      <c r="X63" s="269"/>
    </row>
    <row r="64" spans="2:24" ht="15.75" customHeight="1" x14ac:dyDescent="0.2">
      <c r="X64" s="268"/>
    </row>
    <row r="65" spans="24:24" ht="15.75" customHeight="1" x14ac:dyDescent="0.2">
      <c r="X65" s="268"/>
    </row>
    <row r="66" spans="24:24" ht="15.75" customHeight="1" x14ac:dyDescent="0.2">
      <c r="X66" s="261"/>
    </row>
    <row r="67" spans="24:24" ht="15.75" customHeight="1" x14ac:dyDescent="0.2">
      <c r="X67" s="268"/>
    </row>
    <row r="68" spans="24:24" ht="15.75" customHeight="1" x14ac:dyDescent="0.2">
      <c r="X68" s="261"/>
    </row>
    <row r="69" spans="24:24" ht="15.75" customHeight="1" x14ac:dyDescent="0.2">
      <c r="X69" s="268"/>
    </row>
    <row r="70" spans="24:24" ht="15.75" customHeight="1" x14ac:dyDescent="0.2">
      <c r="X70" s="71"/>
    </row>
    <row r="71" spans="24:24" ht="15.75" customHeight="1" x14ac:dyDescent="0.2">
      <c r="X71" s="63"/>
    </row>
    <row r="72" spans="24:24" ht="15.75" customHeight="1" x14ac:dyDescent="0.2"/>
    <row r="73" spans="24:24" ht="15.75" customHeight="1" x14ac:dyDescent="0.2"/>
    <row r="74" spans="24:24" ht="15.75" customHeight="1" x14ac:dyDescent="0.2"/>
    <row r="75" spans="24:24" ht="15.75" customHeight="1" x14ac:dyDescent="0.2"/>
    <row r="76" spans="24:24" ht="15.75" customHeight="1" x14ac:dyDescent="0.2"/>
    <row r="77" spans="24:24" ht="15.75" customHeight="1" x14ac:dyDescent="0.2"/>
    <row r="78" spans="24:24" ht="15.75" customHeight="1" x14ac:dyDescent="0.2"/>
    <row r="79" spans="24:24" ht="15.75" customHeight="1" x14ac:dyDescent="0.2"/>
    <row r="80" spans="24:2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sheetData>
  <phoneticPr fontId="14" type="noConversion"/>
  <pageMargins left="0.511811024" right="0.511811024" top="0.78740157499999996" bottom="0.78740157499999996" header="0" footer="0"/>
  <pageSetup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Z861"/>
  <sheetViews>
    <sheetView showGridLines="0" zoomScale="80" zoomScaleNormal="80" workbookViewId="0">
      <pane xSplit="3" ySplit="2" topLeftCell="D3" activePane="bottomRight" state="frozen"/>
      <selection activeCell="D15" sqref="D15"/>
      <selection pane="topRight" activeCell="D15" sqref="D15"/>
      <selection pane="bottomLeft" activeCell="D15" sqref="D15"/>
      <selection pane="bottomRight"/>
    </sheetView>
  </sheetViews>
  <sheetFormatPr defaultColWidth="12.625" defaultRowHeight="15" customHeight="1" x14ac:dyDescent="0.2"/>
  <cols>
    <col min="1" max="1" width="3.375" style="124" customWidth="1"/>
    <col min="2" max="2" width="45.625" style="124" customWidth="1"/>
    <col min="3" max="3" width="30" style="124" customWidth="1"/>
    <col min="4" max="12" width="10.875" style="124" customWidth="1"/>
    <col min="13" max="23" width="11.375" style="124" customWidth="1"/>
    <col min="24" max="24" width="12.125" style="124" customWidth="1"/>
    <col min="25" max="39" width="11.375" style="124" customWidth="1"/>
    <col min="40" max="40" width="3.625" style="124" customWidth="1"/>
    <col min="41" max="49" width="11.375" style="124" customWidth="1"/>
    <col min="50" max="50" width="15.625" style="124" bestFit="1" customWidth="1"/>
    <col min="51" max="51" width="12.625" style="124"/>
    <col min="52" max="52" width="15.625" style="124" bestFit="1" customWidth="1"/>
    <col min="53" max="16384" width="12.625" style="124"/>
  </cols>
  <sheetData>
    <row r="1" spans="2:52" ht="37.5" customHeight="1" x14ac:dyDescent="0.2">
      <c r="D1" s="216"/>
      <c r="E1" s="216"/>
      <c r="F1" s="216"/>
      <c r="G1" s="216"/>
      <c r="H1" s="216"/>
      <c r="I1" s="216"/>
      <c r="J1" s="216"/>
      <c r="K1" s="216"/>
      <c r="L1" s="216"/>
      <c r="T1" s="125"/>
      <c r="X1" s="126"/>
      <c r="AX1" s="257"/>
      <c r="AY1" s="257"/>
      <c r="AZ1" s="257"/>
    </row>
    <row r="2" spans="2:52" ht="33.75" customHeight="1" x14ac:dyDescent="0.2">
      <c r="B2" s="99" t="s">
        <v>809</v>
      </c>
      <c r="C2" s="99" t="s">
        <v>858</v>
      </c>
      <c r="D2" s="99" t="s">
        <v>1092</v>
      </c>
      <c r="E2" s="99" t="s">
        <v>1010</v>
      </c>
      <c r="F2" s="99" t="s">
        <v>1007</v>
      </c>
      <c r="G2" s="99" t="s">
        <v>1004</v>
      </c>
      <c r="H2" s="99" t="s">
        <v>986</v>
      </c>
      <c r="I2" s="99" t="s">
        <v>894</v>
      </c>
      <c r="J2" s="99" t="s">
        <v>893</v>
      </c>
      <c r="K2" s="99" t="s">
        <v>876</v>
      </c>
      <c r="L2" s="99" t="s">
        <v>846</v>
      </c>
      <c r="M2" s="99" t="s">
        <v>838</v>
      </c>
      <c r="N2" s="99" t="s">
        <v>823</v>
      </c>
      <c r="O2" s="99" t="s">
        <v>762</v>
      </c>
      <c r="P2" s="99" t="s">
        <v>742</v>
      </c>
      <c r="Q2" s="99" t="s">
        <v>718</v>
      </c>
      <c r="R2" s="99" t="s">
        <v>703</v>
      </c>
      <c r="S2" s="99" t="s">
        <v>685</v>
      </c>
      <c r="T2" s="99" t="s">
        <v>670</v>
      </c>
      <c r="U2" s="99" t="s">
        <v>630</v>
      </c>
      <c r="V2" s="99" t="s">
        <v>618</v>
      </c>
      <c r="W2" s="99" t="s">
        <v>591</v>
      </c>
      <c r="X2" s="99" t="s">
        <v>551</v>
      </c>
      <c r="Y2" s="99" t="s">
        <v>153</v>
      </c>
      <c r="Z2" s="99" t="s">
        <v>0</v>
      </c>
      <c r="AA2" s="99" t="s">
        <v>1</v>
      </c>
      <c r="AB2" s="101" t="s">
        <v>2</v>
      </c>
      <c r="AC2" s="101" t="s">
        <v>3</v>
      </c>
      <c r="AD2" s="101" t="s">
        <v>4</v>
      </c>
      <c r="AE2" s="101" t="s">
        <v>5</v>
      </c>
      <c r="AF2" s="103" t="s">
        <v>6</v>
      </c>
      <c r="AG2" s="103" t="s">
        <v>7</v>
      </c>
      <c r="AH2" s="103" t="s">
        <v>8</v>
      </c>
      <c r="AI2" s="103" t="s">
        <v>9</v>
      </c>
      <c r="AJ2" s="103" t="s">
        <v>10</v>
      </c>
      <c r="AK2" s="103" t="s">
        <v>11</v>
      </c>
      <c r="AL2" s="103" t="s">
        <v>12</v>
      </c>
      <c r="AM2" s="106" t="s">
        <v>13</v>
      </c>
      <c r="AO2" s="107">
        <v>2017</v>
      </c>
      <c r="AP2" s="107">
        <v>2018</v>
      </c>
      <c r="AQ2" s="107">
        <v>2019</v>
      </c>
      <c r="AR2" s="107">
        <v>2020</v>
      </c>
      <c r="AS2" s="107">
        <v>2021</v>
      </c>
      <c r="AT2" s="107">
        <v>2022</v>
      </c>
      <c r="AU2" s="107">
        <v>2023</v>
      </c>
      <c r="AV2" s="107">
        <v>2024</v>
      </c>
      <c r="AW2" s="107">
        <v>2025</v>
      </c>
      <c r="AX2" s="257"/>
      <c r="AY2" s="257"/>
      <c r="AZ2" s="257"/>
    </row>
    <row r="3" spans="2:52" s="127" customFormat="1" ht="14.45" customHeight="1" x14ac:dyDescent="0.25">
      <c r="B3" s="109" t="s">
        <v>88</v>
      </c>
      <c r="C3" s="109" t="s">
        <v>89</v>
      </c>
      <c r="D3" s="110">
        <v>3015626</v>
      </c>
      <c r="E3" s="110">
        <v>2399866</v>
      </c>
      <c r="F3" s="110">
        <v>2297903</v>
      </c>
      <c r="G3" s="110">
        <v>1965274</v>
      </c>
      <c r="H3" s="110">
        <v>2744393</v>
      </c>
      <c r="I3" s="110">
        <v>2226288</v>
      </c>
      <c r="J3" s="110">
        <v>2156317</v>
      </c>
      <c r="K3" s="110">
        <v>1882579</v>
      </c>
      <c r="L3" s="110">
        <v>2676586.3285252452</v>
      </c>
      <c r="M3" s="110">
        <v>2250039.4249947462</v>
      </c>
      <c r="N3" s="110">
        <v>2008000.1350307364</v>
      </c>
      <c r="O3" s="110">
        <v>1850123.2810792557</v>
      </c>
      <c r="P3" s="110">
        <v>2509679.9908876559</v>
      </c>
      <c r="Q3" s="110">
        <v>1870443.9731251099</v>
      </c>
      <c r="R3" s="110">
        <v>1842606.6104430803</v>
      </c>
      <c r="S3" s="110">
        <v>1633108</v>
      </c>
      <c r="T3" s="110">
        <v>2114803</v>
      </c>
      <c r="U3" s="110">
        <v>1862618</v>
      </c>
      <c r="V3" s="110">
        <v>1385701.6495300001</v>
      </c>
      <c r="W3" s="110">
        <v>1026470.3504700001</v>
      </c>
      <c r="X3" s="110">
        <v>1374020</v>
      </c>
      <c r="Y3" s="110">
        <v>724281</v>
      </c>
      <c r="Z3" s="110">
        <v>312859.58984999999</v>
      </c>
      <c r="AA3" s="110">
        <v>639395.41015000001</v>
      </c>
      <c r="AB3" s="110">
        <v>1065689</v>
      </c>
      <c r="AC3" s="110">
        <v>777335</v>
      </c>
      <c r="AD3" s="110">
        <v>685769</v>
      </c>
      <c r="AE3" s="110">
        <v>664272.59423000028</v>
      </c>
      <c r="AF3" s="111">
        <v>908521.40560999885</v>
      </c>
      <c r="AG3" s="111">
        <v>707407.50207000005</v>
      </c>
      <c r="AH3" s="111">
        <v>648891.67522000044</v>
      </c>
      <c r="AI3" s="111">
        <v>579979.41710000078</v>
      </c>
      <c r="AJ3" s="111">
        <v>778964.21305999998</v>
      </c>
      <c r="AK3" s="111">
        <v>610749.27028000017</v>
      </c>
      <c r="AL3" s="111">
        <v>549113.24590999982</v>
      </c>
      <c r="AM3" s="111">
        <v>539644.29209</v>
      </c>
      <c r="AN3" s="40"/>
      <c r="AO3" s="111">
        <v>2478471.02134</v>
      </c>
      <c r="AP3" s="111">
        <v>2844800</v>
      </c>
      <c r="AQ3" s="110">
        <v>3193065</v>
      </c>
      <c r="AR3" s="110">
        <v>3050556</v>
      </c>
      <c r="AS3" s="110">
        <v>6389593</v>
      </c>
      <c r="AT3" s="110">
        <v>7855838.5744558461</v>
      </c>
      <c r="AU3" s="112">
        <v>8784749.1696299836</v>
      </c>
      <c r="AV3" s="112">
        <v>9009577</v>
      </c>
      <c r="AW3" s="112">
        <v>9678669</v>
      </c>
      <c r="AX3" s="128"/>
      <c r="AY3" s="128"/>
      <c r="AZ3" s="128"/>
    </row>
    <row r="4" spans="2:52" s="127" customFormat="1" ht="14.45" customHeight="1" x14ac:dyDescent="0.25">
      <c r="B4" s="41" t="s">
        <v>577</v>
      </c>
      <c r="C4" s="42" t="s">
        <v>580</v>
      </c>
      <c r="D4" s="43">
        <v>1634384.6534500003</v>
      </c>
      <c r="E4" s="43">
        <v>1300070.2147100004</v>
      </c>
      <c r="F4" s="43">
        <v>1203890.5312500009</v>
      </c>
      <c r="G4" s="43">
        <v>1043755.92448</v>
      </c>
      <c r="H4" s="43">
        <v>1397556.6657199997</v>
      </c>
      <c r="I4" s="43">
        <v>1117408.9573499996</v>
      </c>
      <c r="J4" s="43">
        <v>1072881.6201249689</v>
      </c>
      <c r="K4" s="43">
        <v>926717.13021400012</v>
      </c>
      <c r="L4" s="43">
        <v>1336089.03195</v>
      </c>
      <c r="M4" s="43">
        <v>1106203.552250002</v>
      </c>
      <c r="N4" s="43">
        <v>1000993.9459499818</v>
      </c>
      <c r="O4" s="43">
        <v>879693.52714001585</v>
      </c>
      <c r="P4" s="43">
        <v>1433063.7550400002</v>
      </c>
      <c r="Q4" s="43">
        <v>1089038.5818699999</v>
      </c>
      <c r="R4" s="43">
        <v>969312.52083000063</v>
      </c>
      <c r="S4" s="43">
        <v>852632.53050999914</v>
      </c>
      <c r="T4" s="43">
        <v>1307335.8360199989</v>
      </c>
      <c r="U4" s="43">
        <v>965877.02745999955</v>
      </c>
      <c r="V4" s="43">
        <v>773255.78542000079</v>
      </c>
      <c r="W4" s="43">
        <v>604879.19973000023</v>
      </c>
      <c r="X4" s="43">
        <v>1163327.05103</v>
      </c>
      <c r="Y4" s="43">
        <v>724281</v>
      </c>
      <c r="Z4" s="43">
        <v>312859.58984999999</v>
      </c>
      <c r="AA4" s="43">
        <v>639395.41015000001</v>
      </c>
      <c r="AB4" s="43">
        <v>1065689.021029999</v>
      </c>
      <c r="AC4" s="43">
        <v>777335.04507000023</v>
      </c>
      <c r="AD4" s="43">
        <v>685768.5160900004</v>
      </c>
      <c r="AE4" s="43">
        <v>664272.59423000028</v>
      </c>
      <c r="AF4" s="44">
        <v>908521.40560999885</v>
      </c>
      <c r="AG4" s="44">
        <v>707407.50207000005</v>
      </c>
      <c r="AH4" s="44">
        <v>648891.67522000044</v>
      </c>
      <c r="AI4" s="44">
        <v>579979.41710000078</v>
      </c>
      <c r="AJ4" s="44">
        <v>778964.21305999998</v>
      </c>
      <c r="AK4" s="44">
        <v>610749.27028000017</v>
      </c>
      <c r="AL4" s="44">
        <v>549113.24590999982</v>
      </c>
      <c r="AM4" s="44">
        <v>539644.29209</v>
      </c>
      <c r="AN4" s="40"/>
      <c r="AO4" s="44">
        <v>2478471.02134</v>
      </c>
      <c r="AP4" s="44">
        <v>2844800</v>
      </c>
      <c r="AQ4" s="43">
        <v>3193065.1764199999</v>
      </c>
      <c r="AR4" s="43">
        <v>2839862.9661999997</v>
      </c>
      <c r="AS4" s="43">
        <v>3651347.8486299994</v>
      </c>
      <c r="AT4" s="43">
        <v>4344047.3882499998</v>
      </c>
      <c r="AU4" s="39">
        <v>4322980.0572899999</v>
      </c>
      <c r="AV4" s="39">
        <v>4514564.3734089686</v>
      </c>
      <c r="AW4" s="39">
        <v>5182101.3238900024</v>
      </c>
      <c r="AX4" s="128"/>
      <c r="AY4" s="128"/>
      <c r="AZ4" s="128"/>
    </row>
    <row r="5" spans="2:52" s="127" customFormat="1" ht="14.45" customHeight="1" x14ac:dyDescent="0.2">
      <c r="B5" s="41" t="s">
        <v>578</v>
      </c>
      <c r="C5" s="42" t="s">
        <v>581</v>
      </c>
      <c r="D5" s="43">
        <v>1655455.6745299909</v>
      </c>
      <c r="E5" s="43">
        <v>1283318.1406400001</v>
      </c>
      <c r="F5" s="43">
        <v>1318192.5667900001</v>
      </c>
      <c r="G5" s="43">
        <v>1041306.0963099997</v>
      </c>
      <c r="H5" s="43">
        <v>1535339.0717200004</v>
      </c>
      <c r="I5" s="43">
        <v>1226391.3539199999</v>
      </c>
      <c r="J5" s="43">
        <v>1253239.1379699998</v>
      </c>
      <c r="K5" s="43">
        <v>1106747.2727000001</v>
      </c>
      <c r="L5" s="43">
        <v>1544331.9175052536</v>
      </c>
      <c r="M5" s="43">
        <v>1324609.6102847443</v>
      </c>
      <c r="N5" s="43">
        <v>1151331.342750754</v>
      </c>
      <c r="O5" s="43">
        <v>1081531.6072992396</v>
      </c>
      <c r="P5" s="43">
        <v>1261103.4214994498</v>
      </c>
      <c r="Q5" s="43">
        <v>929353.63980664453</v>
      </c>
      <c r="R5" s="43">
        <v>1003138.7358205867</v>
      </c>
      <c r="S5" s="43">
        <v>895061.07138249383</v>
      </c>
      <c r="T5" s="43">
        <v>962255.4902262385</v>
      </c>
      <c r="U5" s="43">
        <v>1046320.4801535318</v>
      </c>
      <c r="V5" s="43">
        <v>728432.33355999994</v>
      </c>
      <c r="W5" s="43">
        <v>492831.66644</v>
      </c>
      <c r="X5" s="43">
        <v>240330</v>
      </c>
      <c r="Y5" s="43">
        <v>0</v>
      </c>
      <c r="Z5" s="45">
        <v>0</v>
      </c>
      <c r="AA5" s="45">
        <v>0</v>
      </c>
      <c r="AB5" s="45">
        <v>0</v>
      </c>
      <c r="AC5" s="45">
        <v>0</v>
      </c>
      <c r="AD5" s="45">
        <v>0</v>
      </c>
      <c r="AE5" s="45">
        <v>0</v>
      </c>
      <c r="AF5" s="45">
        <v>0</v>
      </c>
      <c r="AG5" s="45">
        <v>0</v>
      </c>
      <c r="AH5" s="45">
        <v>0</v>
      </c>
      <c r="AI5" s="45">
        <v>0</v>
      </c>
      <c r="AJ5" s="45">
        <v>0</v>
      </c>
      <c r="AK5" s="45">
        <v>0</v>
      </c>
      <c r="AL5" s="45">
        <v>0</v>
      </c>
      <c r="AM5" s="45">
        <v>0</v>
      </c>
      <c r="AN5" s="129"/>
      <c r="AO5" s="45">
        <v>0</v>
      </c>
      <c r="AP5" s="45">
        <v>0</v>
      </c>
      <c r="AQ5" s="43">
        <v>0</v>
      </c>
      <c r="AR5" s="43">
        <v>240330</v>
      </c>
      <c r="AS5" s="43">
        <v>3229839.9703797703</v>
      </c>
      <c r="AT5" s="43">
        <v>4088656.8685091799</v>
      </c>
      <c r="AU5" s="39">
        <v>5101804.4778399915</v>
      </c>
      <c r="AV5" s="39">
        <v>5121716.8363099992</v>
      </c>
      <c r="AW5" s="39">
        <v>5298272.4782699915</v>
      </c>
      <c r="AX5" s="128"/>
      <c r="AY5" s="128"/>
      <c r="AZ5" s="128"/>
    </row>
    <row r="6" spans="2:52" s="127" customFormat="1" ht="14.45" customHeight="1" x14ac:dyDescent="0.2">
      <c r="B6" s="41" t="s">
        <v>810</v>
      </c>
      <c r="C6" s="42" t="s">
        <v>582</v>
      </c>
      <c r="D6" s="43">
        <v>-274214.32797999121</v>
      </c>
      <c r="E6" s="43">
        <v>-183522.35535000078</v>
      </c>
      <c r="F6" s="43">
        <v>-224180.098040001</v>
      </c>
      <c r="G6" s="43">
        <v>-119788.02078999975</v>
      </c>
      <c r="H6" s="43">
        <v>-188502.73744000029</v>
      </c>
      <c r="I6" s="43">
        <v>-117512.31126999948</v>
      </c>
      <c r="J6" s="43">
        <v>-169803.75809496874</v>
      </c>
      <c r="K6" s="43">
        <v>-150885.40291400021</v>
      </c>
      <c r="L6" s="43">
        <v>-203834.62093000859</v>
      </c>
      <c r="M6" s="46">
        <v>-180773.73753999919</v>
      </c>
      <c r="N6" s="46">
        <v>-144325.15366999921</v>
      </c>
      <c r="O6" s="46">
        <v>-111101.85335999983</v>
      </c>
      <c r="P6" s="46">
        <v>-184487.18565179408</v>
      </c>
      <c r="Q6" s="46">
        <v>-147948.24855153449</v>
      </c>
      <c r="R6" s="46">
        <v>-129844.646207507</v>
      </c>
      <c r="S6" s="46">
        <v>-114585.60189249297</v>
      </c>
      <c r="T6" s="46">
        <v>-154788.32624623738</v>
      </c>
      <c r="U6" s="46">
        <v>-149579.50761353131</v>
      </c>
      <c r="V6" s="46">
        <v>-115986.46945000067</v>
      </c>
      <c r="W6" s="46">
        <v>-71240.515700000222</v>
      </c>
      <c r="X6" s="46">
        <v>-29637.051029999973</v>
      </c>
      <c r="Y6" s="45">
        <v>0</v>
      </c>
      <c r="Z6" s="45">
        <v>0</v>
      </c>
      <c r="AA6" s="45">
        <v>0</v>
      </c>
      <c r="AB6" s="45">
        <v>0</v>
      </c>
      <c r="AC6" s="45">
        <v>0</v>
      </c>
      <c r="AD6" s="45">
        <v>0</v>
      </c>
      <c r="AE6" s="45">
        <v>0</v>
      </c>
      <c r="AF6" s="45">
        <v>0</v>
      </c>
      <c r="AG6" s="45">
        <v>0</v>
      </c>
      <c r="AH6" s="45">
        <v>0</v>
      </c>
      <c r="AI6" s="45">
        <v>0</v>
      </c>
      <c r="AJ6" s="45">
        <v>0</v>
      </c>
      <c r="AK6" s="45">
        <v>0</v>
      </c>
      <c r="AL6" s="45">
        <v>0</v>
      </c>
      <c r="AM6" s="45">
        <v>0</v>
      </c>
      <c r="AN6" s="129"/>
      <c r="AO6" s="45">
        <v>0</v>
      </c>
      <c r="AP6" s="45">
        <v>0</v>
      </c>
      <c r="AQ6" s="43">
        <v>0</v>
      </c>
      <c r="AR6" s="46">
        <v>-29636.966199999675</v>
      </c>
      <c r="AS6" s="46">
        <v>-491594.81900976971</v>
      </c>
      <c r="AT6" s="46">
        <v>-576865.68230333365</v>
      </c>
      <c r="AU6" s="44">
        <v>-640035.36550000682</v>
      </c>
      <c r="AV6" s="44">
        <v>-626704.20971896872</v>
      </c>
      <c r="AW6" s="44">
        <v>-801704.80215999275</v>
      </c>
      <c r="AX6" s="128"/>
      <c r="AY6" s="128"/>
      <c r="AZ6" s="128"/>
    </row>
    <row r="7" spans="2:52" s="127" customFormat="1" ht="14.45" customHeight="1" x14ac:dyDescent="0.2">
      <c r="B7" s="109" t="s">
        <v>94</v>
      </c>
      <c r="C7" s="109" t="s">
        <v>95</v>
      </c>
      <c r="D7" s="110">
        <v>2427832</v>
      </c>
      <c r="E7" s="110">
        <v>1936522</v>
      </c>
      <c r="F7" s="110">
        <v>1817700</v>
      </c>
      <c r="G7" s="110">
        <v>1554359</v>
      </c>
      <c r="H7" s="110">
        <v>2172270</v>
      </c>
      <c r="I7" s="110">
        <v>1770288</v>
      </c>
      <c r="J7" s="110">
        <v>1713937</v>
      </c>
      <c r="K7" s="110">
        <v>1495219</v>
      </c>
      <c r="L7" s="110">
        <v>2130140.4620500002</v>
      </c>
      <c r="M7" s="110">
        <v>1793263.1564700003</v>
      </c>
      <c r="N7" s="110">
        <v>1593145.2825799999</v>
      </c>
      <c r="O7" s="110">
        <v>1472121.84133</v>
      </c>
      <c r="P7" s="110">
        <v>1983092.9971000003</v>
      </c>
      <c r="Q7" s="110">
        <v>1469979.72609</v>
      </c>
      <c r="R7" s="110">
        <v>1463007.07124</v>
      </c>
      <c r="S7" s="110">
        <v>1344627.20267</v>
      </c>
      <c r="T7" s="110">
        <v>1683464.3418999999</v>
      </c>
      <c r="U7" s="110">
        <v>1491315.6138299999</v>
      </c>
      <c r="V7" s="110">
        <v>1114819.9826600002</v>
      </c>
      <c r="W7" s="110">
        <v>812836.45112999994</v>
      </c>
      <c r="X7" s="110">
        <v>1081174.7668699997</v>
      </c>
      <c r="Y7" s="110">
        <v>569038</v>
      </c>
      <c r="Z7" s="110">
        <v>239372</v>
      </c>
      <c r="AA7" s="110">
        <v>505615</v>
      </c>
      <c r="AB7" s="110">
        <v>851709</v>
      </c>
      <c r="AC7" s="110">
        <v>621003</v>
      </c>
      <c r="AD7" s="110">
        <v>545533.17558999942</v>
      </c>
      <c r="AE7" s="110">
        <v>527176.82441000058</v>
      </c>
      <c r="AF7" s="113">
        <v>729711</v>
      </c>
      <c r="AG7" s="113">
        <v>565292</v>
      </c>
      <c r="AH7" s="113">
        <v>519193</v>
      </c>
      <c r="AI7" s="113">
        <v>460861</v>
      </c>
      <c r="AJ7" s="113">
        <v>623570</v>
      </c>
      <c r="AK7" s="113">
        <v>486306</v>
      </c>
      <c r="AL7" s="113">
        <v>434172.64930000005</v>
      </c>
      <c r="AM7" s="113">
        <v>424523</v>
      </c>
      <c r="AN7" s="130"/>
      <c r="AO7" s="113">
        <v>1968571.6493000002</v>
      </c>
      <c r="AP7" s="113">
        <v>2275057</v>
      </c>
      <c r="AQ7" s="110">
        <v>2545422</v>
      </c>
      <c r="AR7" s="110">
        <v>2395199.7668699999</v>
      </c>
      <c r="AS7" s="110">
        <v>5102435.9827500004</v>
      </c>
      <c r="AT7" s="110">
        <v>6260706.6496000001</v>
      </c>
      <c r="AU7" s="112">
        <v>6988670.7424300006</v>
      </c>
      <c r="AV7" s="112">
        <v>7151714</v>
      </c>
      <c r="AW7" s="112">
        <v>7736413</v>
      </c>
      <c r="AX7" s="128"/>
      <c r="AY7" s="128"/>
      <c r="AZ7" s="128"/>
    </row>
    <row r="8" spans="2:52" s="127" customFormat="1" ht="14.45" customHeight="1" x14ac:dyDescent="0.2">
      <c r="B8" s="41" t="s">
        <v>592</v>
      </c>
      <c r="C8" s="42" t="s">
        <v>593</v>
      </c>
      <c r="D8" s="43">
        <v>1279837.3504700002</v>
      </c>
      <c r="E8" s="43">
        <v>1025039.4190600007</v>
      </c>
      <c r="F8" s="43">
        <v>940682.4850700004</v>
      </c>
      <c r="G8" s="43">
        <v>821436.15658000007</v>
      </c>
      <c r="H8" s="43">
        <v>1105083.0341299998</v>
      </c>
      <c r="I8" s="43">
        <v>894360.53274999978</v>
      </c>
      <c r="J8" s="43">
        <v>859853.83473340014</v>
      </c>
      <c r="K8" s="43">
        <v>738789.86782999989</v>
      </c>
      <c r="L8" s="43">
        <v>1071155.6924500004</v>
      </c>
      <c r="M8" s="43">
        <v>882733.04930000147</v>
      </c>
      <c r="N8" s="43">
        <v>802913.54060998175</v>
      </c>
      <c r="O8" s="43">
        <v>704593.56804001622</v>
      </c>
      <c r="P8" s="43">
        <v>1148216.3349599999</v>
      </c>
      <c r="Q8" s="43">
        <v>868724.05903000152</v>
      </c>
      <c r="R8" s="43">
        <v>788962.62094999978</v>
      </c>
      <c r="S8" s="43">
        <v>698577.06928000005</v>
      </c>
      <c r="T8" s="43">
        <v>1058314.8080500001</v>
      </c>
      <c r="U8" s="43">
        <v>782913.66737999977</v>
      </c>
      <c r="V8" s="43">
        <v>628760.99915000098</v>
      </c>
      <c r="W8" s="43">
        <v>477242.81540999998</v>
      </c>
      <c r="X8" s="43">
        <v>916934.2516399998</v>
      </c>
      <c r="Y8" s="43">
        <v>569038</v>
      </c>
      <c r="Z8" s="43">
        <v>239372</v>
      </c>
      <c r="AA8" s="43">
        <v>505615</v>
      </c>
      <c r="AB8" s="43">
        <v>851709</v>
      </c>
      <c r="AC8" s="43">
        <v>621003</v>
      </c>
      <c r="AD8" s="43">
        <v>545533.17558999942</v>
      </c>
      <c r="AE8" s="43">
        <v>527176.82441000058</v>
      </c>
      <c r="AF8" s="46">
        <v>729711</v>
      </c>
      <c r="AG8" s="46">
        <v>565292</v>
      </c>
      <c r="AH8" s="46">
        <v>519193</v>
      </c>
      <c r="AI8" s="46">
        <v>460861</v>
      </c>
      <c r="AJ8" s="46">
        <v>623570</v>
      </c>
      <c r="AK8" s="46">
        <v>486306</v>
      </c>
      <c r="AL8" s="46">
        <v>434172.64930000005</v>
      </c>
      <c r="AM8" s="46">
        <v>424523</v>
      </c>
      <c r="AN8" s="131"/>
      <c r="AO8" s="46">
        <v>1968571.6493000002</v>
      </c>
      <c r="AP8" s="46">
        <v>2275057</v>
      </c>
      <c r="AQ8" s="43">
        <v>2545422</v>
      </c>
      <c r="AR8" s="43">
        <v>2230959.2516399999</v>
      </c>
      <c r="AS8" s="43">
        <v>2947232.2897999999</v>
      </c>
      <c r="AT8" s="43">
        <v>3504480.4619100001</v>
      </c>
      <c r="AU8" s="39">
        <v>3461395.8503999999</v>
      </c>
      <c r="AV8" s="39">
        <v>3598087.2694433997</v>
      </c>
      <c r="AW8" s="39">
        <v>4066995.4111800017</v>
      </c>
      <c r="AX8" s="128"/>
      <c r="AY8" s="128"/>
      <c r="AZ8" s="128"/>
    </row>
    <row r="9" spans="2:52" s="127" customFormat="1" ht="14.45" customHeight="1" x14ac:dyDescent="0.2">
      <c r="B9" s="41" t="s">
        <v>594</v>
      </c>
      <c r="C9" s="42" t="s">
        <v>595</v>
      </c>
      <c r="D9" s="43">
        <v>1379795.0503702033</v>
      </c>
      <c r="E9" s="43">
        <v>1061326.6159399995</v>
      </c>
      <c r="F9" s="43">
        <v>1046597.8915800002</v>
      </c>
      <c r="G9" s="43">
        <v>825362.92460999999</v>
      </c>
      <c r="H9" s="43">
        <v>1219875.3766300003</v>
      </c>
      <c r="I9" s="43">
        <v>971569.23207999999</v>
      </c>
      <c r="J9" s="43">
        <v>990631.52813999995</v>
      </c>
      <c r="K9" s="43">
        <v>877457.80990999995</v>
      </c>
      <c r="L9" s="43">
        <v>1224538.1691199997</v>
      </c>
      <c r="M9" s="43">
        <v>1057654.12078</v>
      </c>
      <c r="N9" s="43">
        <v>905979.76926999993</v>
      </c>
      <c r="O9" s="43">
        <v>855916.42077999993</v>
      </c>
      <c r="P9" s="43">
        <v>968838.68027966283</v>
      </c>
      <c r="Q9" s="43">
        <v>719244.4727599998</v>
      </c>
      <c r="R9" s="43">
        <v>783552.20714000007</v>
      </c>
      <c r="S9" s="43">
        <v>734496.61571000004</v>
      </c>
      <c r="T9" s="43">
        <v>746486.61857197434</v>
      </c>
      <c r="U9" s="43">
        <v>824856.81326999993</v>
      </c>
      <c r="V9" s="43">
        <v>574801.42054999992</v>
      </c>
      <c r="W9" s="43">
        <v>390777.91</v>
      </c>
      <c r="X9" s="43">
        <v>188294</v>
      </c>
      <c r="Y9" s="45">
        <v>0</v>
      </c>
      <c r="Z9" s="43">
        <v>0</v>
      </c>
      <c r="AA9" s="43">
        <v>0</v>
      </c>
      <c r="AB9" s="45">
        <v>0</v>
      </c>
      <c r="AC9" s="45">
        <v>0</v>
      </c>
      <c r="AD9" s="43">
        <v>0</v>
      </c>
      <c r="AE9" s="43">
        <v>0</v>
      </c>
      <c r="AF9" s="45">
        <v>0</v>
      </c>
      <c r="AG9" s="45">
        <v>0</v>
      </c>
      <c r="AH9" s="45">
        <v>0</v>
      </c>
      <c r="AI9" s="45">
        <v>0</v>
      </c>
      <c r="AJ9" s="45">
        <v>0</v>
      </c>
      <c r="AK9" s="45">
        <v>0</v>
      </c>
      <c r="AL9" s="45">
        <v>0</v>
      </c>
      <c r="AM9" s="45">
        <v>0</v>
      </c>
      <c r="AO9" s="45">
        <v>0</v>
      </c>
      <c r="AP9" s="45">
        <v>0</v>
      </c>
      <c r="AQ9" s="43">
        <v>0</v>
      </c>
      <c r="AR9" s="43">
        <v>188294</v>
      </c>
      <c r="AS9" s="43">
        <v>2536922.7623919742</v>
      </c>
      <c r="AT9" s="43">
        <v>3206131.9758896627</v>
      </c>
      <c r="AU9" s="39">
        <v>4044088.4799499996</v>
      </c>
      <c r="AV9" s="39">
        <v>4059533.9467600002</v>
      </c>
      <c r="AW9" s="39">
        <v>4313082.482500203</v>
      </c>
      <c r="AX9" s="128"/>
      <c r="AY9" s="128"/>
      <c r="AZ9" s="128"/>
    </row>
    <row r="10" spans="2:52" s="127" customFormat="1" ht="14.45" customHeight="1" x14ac:dyDescent="0.2">
      <c r="B10" s="41" t="s">
        <v>810</v>
      </c>
      <c r="C10" s="42" t="s">
        <v>582</v>
      </c>
      <c r="D10" s="43">
        <v>-231800.40084020328</v>
      </c>
      <c r="E10" s="43">
        <v>-149844.03500000015</v>
      </c>
      <c r="F10" s="43">
        <v>-169580.37665000046</v>
      </c>
      <c r="G10" s="43">
        <v>-92440.081190000055</v>
      </c>
      <c r="H10" s="43">
        <v>-152688.41076000035</v>
      </c>
      <c r="I10" s="43">
        <v>-95641.764829999767</v>
      </c>
      <c r="J10" s="43">
        <v>-136548.3628734001</v>
      </c>
      <c r="K10" s="43">
        <v>-121028.67773999972</v>
      </c>
      <c r="L10" s="43">
        <v>-165553.39951999998</v>
      </c>
      <c r="M10" s="46">
        <v>-147124.01361000119</v>
      </c>
      <c r="N10" s="46">
        <v>-115748.0272999818</v>
      </c>
      <c r="O10" s="46">
        <v>-88388.147490016185</v>
      </c>
      <c r="P10" s="46">
        <v>-133962.01813966315</v>
      </c>
      <c r="Q10" s="46">
        <v>-117988.80570000131</v>
      </c>
      <c r="R10" s="46">
        <v>-109508.16871999996</v>
      </c>
      <c r="S10" s="46">
        <v>-88446.482319999952</v>
      </c>
      <c r="T10" s="46">
        <v>-121337.42662197445</v>
      </c>
      <c r="U10" s="46">
        <v>-116454.86681999988</v>
      </c>
      <c r="V10" s="46">
        <v>-88742.437040000688</v>
      </c>
      <c r="W10" s="46">
        <v>-55184.274280000012</v>
      </c>
      <c r="X10" s="46">
        <v>-24053.484770000214</v>
      </c>
      <c r="Y10" s="47">
        <v>0</v>
      </c>
      <c r="Z10" s="47">
        <v>0</v>
      </c>
      <c r="AA10" s="46">
        <v>0</v>
      </c>
      <c r="AB10" s="47">
        <v>0</v>
      </c>
      <c r="AC10" s="47">
        <v>0</v>
      </c>
      <c r="AD10" s="47">
        <v>0</v>
      </c>
      <c r="AE10" s="46">
        <v>0</v>
      </c>
      <c r="AF10" s="45">
        <v>0</v>
      </c>
      <c r="AG10" s="45">
        <v>0</v>
      </c>
      <c r="AH10" s="45">
        <v>0</v>
      </c>
      <c r="AI10" s="45">
        <v>0</v>
      </c>
      <c r="AJ10" s="45">
        <v>0</v>
      </c>
      <c r="AK10" s="45">
        <v>0</v>
      </c>
      <c r="AL10" s="45">
        <v>0</v>
      </c>
      <c r="AM10" s="45">
        <v>0</v>
      </c>
      <c r="AO10" s="45">
        <v>0</v>
      </c>
      <c r="AP10" s="45">
        <v>0</v>
      </c>
      <c r="AQ10" s="46">
        <v>0</v>
      </c>
      <c r="AR10" s="46">
        <v>-24053.484769999981</v>
      </c>
      <c r="AS10" s="46">
        <v>-381719.06944197416</v>
      </c>
      <c r="AT10" s="46">
        <v>-449905.78819966223</v>
      </c>
      <c r="AU10" s="44">
        <v>-516813.58791999915</v>
      </c>
      <c r="AV10" s="44">
        <v>-505907.21620339993</v>
      </c>
      <c r="AW10" s="44">
        <v>-643664.89368020394</v>
      </c>
      <c r="AX10" s="128"/>
      <c r="AY10" s="128"/>
      <c r="AZ10" s="128"/>
    </row>
    <row r="11" spans="2:52" s="127" customFormat="1" ht="14.45" customHeight="1" x14ac:dyDescent="0.2">
      <c r="B11" s="42" t="s">
        <v>96</v>
      </c>
      <c r="C11" s="42" t="s">
        <v>97</v>
      </c>
      <c r="D11" s="43">
        <v>-1274693</v>
      </c>
      <c r="E11" s="43">
        <v>-1018825</v>
      </c>
      <c r="F11" s="43">
        <v>-925792</v>
      </c>
      <c r="G11" s="43">
        <v>-782020</v>
      </c>
      <c r="H11" s="43">
        <v>-1126113</v>
      </c>
      <c r="I11" s="43">
        <v>-879588.18</v>
      </c>
      <c r="J11" s="43">
        <v>-861122</v>
      </c>
      <c r="K11" s="43">
        <v>-764967</v>
      </c>
      <c r="L11" s="43">
        <v>-1150900.0022799997</v>
      </c>
      <c r="M11" s="43">
        <v>-961663.18376000028</v>
      </c>
      <c r="N11" s="43">
        <v>-839016.29125999997</v>
      </c>
      <c r="O11" s="43">
        <v>-735385.26653000002</v>
      </c>
      <c r="P11" s="43">
        <v>-1038966.9057599995</v>
      </c>
      <c r="Q11" s="43">
        <v>-765313.21778999991</v>
      </c>
      <c r="R11" s="43">
        <v>-792590.21688000008</v>
      </c>
      <c r="S11" s="43">
        <v>-725044.36533000006</v>
      </c>
      <c r="T11" s="43">
        <v>-892787.05073000002</v>
      </c>
      <c r="U11" s="43">
        <v>-821296.39095000003</v>
      </c>
      <c r="V11" s="43">
        <v>-599093.65787999996</v>
      </c>
      <c r="W11" s="43">
        <v>-459421.71500999999</v>
      </c>
      <c r="X11" s="43">
        <v>-609863.27744000009</v>
      </c>
      <c r="Y11" s="43">
        <v>-321115</v>
      </c>
      <c r="Z11" s="43">
        <v>-155860.99999999997</v>
      </c>
      <c r="AA11" s="43">
        <v>-259232.00000000003</v>
      </c>
      <c r="AB11" s="43">
        <v>-441355</v>
      </c>
      <c r="AC11" s="43">
        <v>-314016</v>
      </c>
      <c r="AD11" s="43">
        <v>-268419.98999000073</v>
      </c>
      <c r="AE11" s="43">
        <v>-263019.01000999927</v>
      </c>
      <c r="AF11" s="132">
        <v>-375318</v>
      </c>
      <c r="AG11" s="132">
        <v>-291974</v>
      </c>
      <c r="AH11" s="132">
        <v>-256825</v>
      </c>
      <c r="AI11" s="132">
        <v>-235007</v>
      </c>
      <c r="AJ11" s="132">
        <v>-314457</v>
      </c>
      <c r="AK11" s="132">
        <v>-251679</v>
      </c>
      <c r="AL11" s="132">
        <v>-216647.64930000005</v>
      </c>
      <c r="AM11" s="132">
        <v>-223818</v>
      </c>
      <c r="AN11" s="132"/>
      <c r="AO11" s="132">
        <v>-1006601.6493000002</v>
      </c>
      <c r="AP11" s="132">
        <v>-1159124</v>
      </c>
      <c r="AQ11" s="43">
        <v>-1286810</v>
      </c>
      <c r="AR11" s="43">
        <v>-1346071.2774400001</v>
      </c>
      <c r="AS11" s="43">
        <v>-2772598.6746999999</v>
      </c>
      <c r="AT11" s="43">
        <v>-3321914.9522699998</v>
      </c>
      <c r="AU11" s="39">
        <v>-3686964.7438300001</v>
      </c>
      <c r="AV11" s="39">
        <v>-3631790.18</v>
      </c>
      <c r="AW11" s="39">
        <v>-4001330</v>
      </c>
      <c r="AX11" s="128"/>
      <c r="AY11" s="128"/>
      <c r="AZ11" s="128"/>
    </row>
    <row r="12" spans="2:52" s="127" customFormat="1" ht="14.45" customHeight="1" x14ac:dyDescent="0.2">
      <c r="B12" s="109" t="s">
        <v>98</v>
      </c>
      <c r="C12" s="109" t="s">
        <v>99</v>
      </c>
      <c r="D12" s="110">
        <v>1153139</v>
      </c>
      <c r="E12" s="110">
        <v>917697</v>
      </c>
      <c r="F12" s="110">
        <v>891908</v>
      </c>
      <c r="G12" s="110">
        <v>772339</v>
      </c>
      <c r="H12" s="110">
        <v>1046157</v>
      </c>
      <c r="I12" s="110">
        <v>890699.82</v>
      </c>
      <c r="J12" s="110">
        <v>852815</v>
      </c>
      <c r="K12" s="110">
        <v>730252</v>
      </c>
      <c r="L12" s="110">
        <v>979240.45977000054</v>
      </c>
      <c r="M12" s="110">
        <v>831599.97271</v>
      </c>
      <c r="N12" s="110">
        <v>754129.14998999995</v>
      </c>
      <c r="O12" s="110">
        <v>736736.57479999994</v>
      </c>
      <c r="P12" s="110">
        <v>944126.09134000074</v>
      </c>
      <c r="Q12" s="110">
        <v>704666.5083000001</v>
      </c>
      <c r="R12" s="110">
        <v>670416.85435999988</v>
      </c>
      <c r="S12" s="110">
        <v>619582.83733999997</v>
      </c>
      <c r="T12" s="110">
        <v>790676.94926999998</v>
      </c>
      <c r="U12" s="110">
        <v>670019.87263</v>
      </c>
      <c r="V12" s="110">
        <v>515726.33915999997</v>
      </c>
      <c r="W12" s="110">
        <v>353414.73611999996</v>
      </c>
      <c r="X12" s="110">
        <v>471311.86528999993</v>
      </c>
      <c r="Y12" s="110">
        <v>247923</v>
      </c>
      <c r="Z12" s="110">
        <v>83511</v>
      </c>
      <c r="AA12" s="110">
        <v>246383</v>
      </c>
      <c r="AB12" s="110">
        <v>410354</v>
      </c>
      <c r="AC12" s="110">
        <v>306987</v>
      </c>
      <c r="AD12" s="110">
        <v>277113.18559999869</v>
      </c>
      <c r="AE12" s="110">
        <v>264157.81440000131</v>
      </c>
      <c r="AF12" s="113">
        <v>354393</v>
      </c>
      <c r="AG12" s="113">
        <v>273318</v>
      </c>
      <c r="AH12" s="113">
        <v>262368</v>
      </c>
      <c r="AI12" s="113">
        <v>225854</v>
      </c>
      <c r="AJ12" s="113">
        <v>309113</v>
      </c>
      <c r="AK12" s="113">
        <v>234627</v>
      </c>
      <c r="AL12" s="113">
        <v>217525</v>
      </c>
      <c r="AM12" s="113">
        <v>200705</v>
      </c>
      <c r="AN12" s="130"/>
      <c r="AO12" s="113">
        <v>961970</v>
      </c>
      <c r="AP12" s="113">
        <v>1115933</v>
      </c>
      <c r="AQ12" s="110">
        <v>1258612</v>
      </c>
      <c r="AR12" s="110">
        <v>1049128.4894299998</v>
      </c>
      <c r="AS12" s="110">
        <v>2329837.3080500001</v>
      </c>
      <c r="AT12" s="110">
        <v>2938791.6973300008</v>
      </c>
      <c r="AU12" s="112">
        <v>3301706.1572700003</v>
      </c>
      <c r="AV12" s="112">
        <v>3519923.82</v>
      </c>
      <c r="AW12" s="112">
        <v>3735083</v>
      </c>
      <c r="AX12" s="128"/>
      <c r="AY12" s="128"/>
      <c r="AZ12" s="128"/>
    </row>
    <row r="13" spans="2:52" s="127" customFormat="1" ht="14.45" customHeight="1" x14ac:dyDescent="0.2">
      <c r="B13" s="41" t="s">
        <v>811</v>
      </c>
      <c r="C13" s="42" t="s">
        <v>1001</v>
      </c>
      <c r="D13" s="43">
        <v>633492.14790000126</v>
      </c>
      <c r="E13" s="43">
        <v>510492.362178393</v>
      </c>
      <c r="F13" s="43">
        <v>482985.19556851528</v>
      </c>
      <c r="G13" s="43">
        <v>416701.43895000004</v>
      </c>
      <c r="H13" s="43">
        <v>546671.32338999992</v>
      </c>
      <c r="I13" s="43">
        <v>450567.74221999972</v>
      </c>
      <c r="J13" s="43">
        <v>435395.4089888545</v>
      </c>
      <c r="K13" s="43">
        <v>364632.66051999992</v>
      </c>
      <c r="L13" s="43">
        <v>512345.92696000187</v>
      </c>
      <c r="M13" s="43">
        <v>415733.47869000246</v>
      </c>
      <c r="N13" s="43">
        <v>410947.64095998055</v>
      </c>
      <c r="O13" s="43">
        <v>362711.82937001635</v>
      </c>
      <c r="P13" s="43">
        <v>534716.46358240605</v>
      </c>
      <c r="Q13" s="43">
        <v>406797.96</v>
      </c>
      <c r="R13" s="43">
        <v>397811.87057999999</v>
      </c>
      <c r="S13" s="43">
        <v>339122.13942999998</v>
      </c>
      <c r="T13" s="43">
        <v>528076.74930000002</v>
      </c>
      <c r="U13" s="43">
        <v>392999.47462999995</v>
      </c>
      <c r="V13" s="43">
        <v>317490.12084000011</v>
      </c>
      <c r="W13" s="43">
        <v>214210.14095999999</v>
      </c>
      <c r="X13" s="43">
        <v>414378.2506999998</v>
      </c>
      <c r="Y13" s="43">
        <v>247923</v>
      </c>
      <c r="Z13" s="43">
        <v>83511</v>
      </c>
      <c r="AA13" s="43">
        <v>246383</v>
      </c>
      <c r="AB13" s="43">
        <v>410354</v>
      </c>
      <c r="AC13" s="43">
        <v>306987</v>
      </c>
      <c r="AD13" s="43">
        <v>277113.18559999869</v>
      </c>
      <c r="AE13" s="43">
        <v>264157.81440000131</v>
      </c>
      <c r="AF13" s="46">
        <v>354393</v>
      </c>
      <c r="AG13" s="46">
        <v>273318</v>
      </c>
      <c r="AH13" s="46">
        <v>262368</v>
      </c>
      <c r="AI13" s="46">
        <v>225854</v>
      </c>
      <c r="AJ13" s="46">
        <v>309113</v>
      </c>
      <c r="AK13" s="46">
        <v>234627</v>
      </c>
      <c r="AL13" s="46">
        <v>217525</v>
      </c>
      <c r="AM13" s="46">
        <v>200705</v>
      </c>
      <c r="AN13" s="131"/>
      <c r="AO13" s="46">
        <v>961970</v>
      </c>
      <c r="AP13" s="46">
        <v>1115933</v>
      </c>
      <c r="AQ13" s="43">
        <v>1258612</v>
      </c>
      <c r="AR13" s="43">
        <v>992195.25069999986</v>
      </c>
      <c r="AS13" s="43">
        <v>1452776.4857300001</v>
      </c>
      <c r="AT13" s="43">
        <v>1678448.4335924061</v>
      </c>
      <c r="AU13" s="39">
        <v>1701738.8759800009</v>
      </c>
      <c r="AV13" s="39">
        <v>1797267.1351188542</v>
      </c>
      <c r="AW13" s="39">
        <v>2043671.1445969096</v>
      </c>
      <c r="AX13" s="128"/>
      <c r="AY13" s="128"/>
      <c r="AZ13" s="128"/>
    </row>
    <row r="14" spans="2:52" s="127" customFormat="1" ht="14.45" customHeight="1" x14ac:dyDescent="0.2">
      <c r="B14" s="41" t="s">
        <v>812</v>
      </c>
      <c r="C14" s="42" t="s">
        <v>1002</v>
      </c>
      <c r="D14" s="43">
        <v>546378.29726000014</v>
      </c>
      <c r="E14" s="43">
        <v>424756.32902000006</v>
      </c>
      <c r="F14" s="43">
        <v>423494.7805800002</v>
      </c>
      <c r="G14" s="43">
        <v>360389.83098999999</v>
      </c>
      <c r="H14" s="43">
        <v>518618.7888900002</v>
      </c>
      <c r="I14" s="43">
        <v>439448.6229400002</v>
      </c>
      <c r="J14" s="43">
        <v>435574.26708999998</v>
      </c>
      <c r="K14" s="43">
        <v>381209.10586999997</v>
      </c>
      <c r="L14" s="43">
        <v>491995.60380000016</v>
      </c>
      <c r="M14" s="43">
        <v>441850.70672999998</v>
      </c>
      <c r="N14" s="43">
        <v>374282.98379999993</v>
      </c>
      <c r="O14" s="43">
        <v>372850.14805999992</v>
      </c>
      <c r="P14" s="43">
        <v>412982.37241000007</v>
      </c>
      <c r="Q14" s="43">
        <v>310137.39990999992</v>
      </c>
      <c r="R14" s="43">
        <v>285152.94420999993</v>
      </c>
      <c r="S14" s="43">
        <v>292505.52456000005</v>
      </c>
      <c r="T14" s="43">
        <v>272094.67205999978</v>
      </c>
      <c r="U14" s="43">
        <v>290660.10206</v>
      </c>
      <c r="V14" s="43">
        <v>207332.65812000001</v>
      </c>
      <c r="W14" s="43">
        <v>146898.57756999994</v>
      </c>
      <c r="X14" s="43">
        <v>64984</v>
      </c>
      <c r="Y14" s="43">
        <v>0</v>
      </c>
      <c r="Z14" s="43">
        <v>0</v>
      </c>
      <c r="AA14" s="43">
        <v>0</v>
      </c>
      <c r="AB14" s="43">
        <v>0</v>
      </c>
      <c r="AC14" s="43">
        <v>0</v>
      </c>
      <c r="AD14" s="43">
        <v>0</v>
      </c>
      <c r="AE14" s="43">
        <v>0</v>
      </c>
      <c r="AF14" s="43">
        <v>0</v>
      </c>
      <c r="AG14" s="43">
        <v>0</v>
      </c>
      <c r="AH14" s="43">
        <v>0</v>
      </c>
      <c r="AI14" s="43">
        <v>0</v>
      </c>
      <c r="AJ14" s="43">
        <v>0</v>
      </c>
      <c r="AK14" s="43">
        <v>0</v>
      </c>
      <c r="AL14" s="43">
        <v>0</v>
      </c>
      <c r="AM14" s="43">
        <v>0</v>
      </c>
      <c r="AO14" s="43">
        <v>0</v>
      </c>
      <c r="AP14" s="43">
        <v>0</v>
      </c>
      <c r="AQ14" s="43">
        <v>0</v>
      </c>
      <c r="AR14" s="43">
        <v>64984</v>
      </c>
      <c r="AS14" s="43">
        <v>916986.00980999973</v>
      </c>
      <c r="AT14" s="43">
        <v>1300778.2410899999</v>
      </c>
      <c r="AU14" s="39">
        <v>1680979.44239</v>
      </c>
      <c r="AV14" s="39">
        <v>1774850.7847900004</v>
      </c>
      <c r="AW14" s="39">
        <v>1755019.2378500004</v>
      </c>
      <c r="AX14" s="128"/>
      <c r="AY14" s="128"/>
      <c r="AZ14" s="128"/>
    </row>
    <row r="15" spans="2:52" s="127" customFormat="1" ht="14.45" customHeight="1" x14ac:dyDescent="0.2">
      <c r="B15" s="41" t="s">
        <v>810</v>
      </c>
      <c r="C15" s="42" t="s">
        <v>582</v>
      </c>
      <c r="D15" s="43">
        <v>-26731.445160001516</v>
      </c>
      <c r="E15" s="43">
        <v>-17551.691198393004</v>
      </c>
      <c r="F15" s="43">
        <v>-14571.976148515474</v>
      </c>
      <c r="G15" s="43">
        <v>-4752.2699400000274</v>
      </c>
      <c r="H15" s="43">
        <v>-19133.112280000001</v>
      </c>
      <c r="I15" s="43">
        <v>683.45484000002034</v>
      </c>
      <c r="J15" s="43">
        <v>-18154.676078854478</v>
      </c>
      <c r="K15" s="43">
        <v>-15589.766389999888</v>
      </c>
      <c r="L15" s="43">
        <v>-25101.07099000155</v>
      </c>
      <c r="M15" s="46">
        <v>-25984.212710002437</v>
      </c>
      <c r="N15" s="46">
        <v>-31101.47476998053</v>
      </c>
      <c r="O15" s="46">
        <v>1174.5973699836759</v>
      </c>
      <c r="P15" s="46">
        <v>-3572.7446524053812</v>
      </c>
      <c r="Q15" s="46">
        <v>-12268.85160999978</v>
      </c>
      <c r="R15" s="46">
        <v>-12547.960430000094</v>
      </c>
      <c r="S15" s="46">
        <v>-12044.826650000061</v>
      </c>
      <c r="T15" s="46">
        <v>-9493.5137199996971</v>
      </c>
      <c r="U15" s="46">
        <v>-13639.704060000018</v>
      </c>
      <c r="V15" s="46">
        <v>-9096.4398000001675</v>
      </c>
      <c r="W15" s="46">
        <v>-7693.9824099999969</v>
      </c>
      <c r="X15" s="46">
        <v>-8050.3854099998716</v>
      </c>
      <c r="Y15" s="46">
        <v>0</v>
      </c>
      <c r="Z15" s="46">
        <v>0</v>
      </c>
      <c r="AA15" s="46">
        <v>0</v>
      </c>
      <c r="AB15" s="46">
        <v>0</v>
      </c>
      <c r="AC15" s="46">
        <v>0</v>
      </c>
      <c r="AD15" s="46">
        <v>0</v>
      </c>
      <c r="AE15" s="46">
        <v>0</v>
      </c>
      <c r="AF15" s="46">
        <v>0</v>
      </c>
      <c r="AG15" s="46">
        <v>0</v>
      </c>
      <c r="AH15" s="46">
        <v>0</v>
      </c>
      <c r="AI15" s="46">
        <v>0</v>
      </c>
      <c r="AJ15" s="46">
        <v>0</v>
      </c>
      <c r="AK15" s="46">
        <v>0</v>
      </c>
      <c r="AL15" s="46">
        <v>0</v>
      </c>
      <c r="AM15" s="46">
        <v>0</v>
      </c>
      <c r="AO15" s="46">
        <v>0</v>
      </c>
      <c r="AP15" s="46">
        <v>0</v>
      </c>
      <c r="AQ15" s="46">
        <v>0</v>
      </c>
      <c r="AR15" s="46">
        <v>-8050.7612699999008</v>
      </c>
      <c r="AS15" s="46">
        <v>-39925.187489999458</v>
      </c>
      <c r="AT15" s="46">
        <v>-40434.977352404967</v>
      </c>
      <c r="AU15" s="44">
        <v>-81012.161100000842</v>
      </c>
      <c r="AV15" s="44">
        <v>-52194.099908854347</v>
      </c>
      <c r="AW15" s="44">
        <v>-63607.382446910022</v>
      </c>
      <c r="AX15" s="128"/>
      <c r="AY15" s="128"/>
      <c r="AZ15" s="128"/>
    </row>
    <row r="16" spans="2:52" s="135" customFormat="1" ht="14.45" customHeight="1" x14ac:dyDescent="0.2">
      <c r="B16" s="49" t="s">
        <v>697</v>
      </c>
      <c r="C16" s="49" t="s">
        <v>698</v>
      </c>
      <c r="D16" s="50">
        <v>0.47496655452271819</v>
      </c>
      <c r="E16" s="50">
        <v>0.47388927159102762</v>
      </c>
      <c r="F16" s="50">
        <v>0.49067943004896297</v>
      </c>
      <c r="G16" s="50">
        <v>0.4968858545548358</v>
      </c>
      <c r="H16" s="50">
        <v>0.48159621041583228</v>
      </c>
      <c r="I16" s="50">
        <v>0.50313837070578349</v>
      </c>
      <c r="J16" s="50">
        <v>0.49757663204656882</v>
      </c>
      <c r="K16" s="50">
        <v>0.48839133264090412</v>
      </c>
      <c r="L16" s="50">
        <v>0.45970698985155239</v>
      </c>
      <c r="M16" s="50">
        <v>0.46373560384020074</v>
      </c>
      <c r="N16" s="50">
        <v>0.47341806596855407</v>
      </c>
      <c r="O16" s="50">
        <v>0.50045896617795549</v>
      </c>
      <c r="P16" s="50">
        <v>0.47608765333781866</v>
      </c>
      <c r="Q16" s="50">
        <v>0.4793712922462311</v>
      </c>
      <c r="R16" s="50">
        <v>0.45824580587418151</v>
      </c>
      <c r="S16" s="50">
        <v>0.46078410142953108</v>
      </c>
      <c r="T16" s="50">
        <v>0.46967309491546538</v>
      </c>
      <c r="U16" s="50">
        <v>0.44928016313257046</v>
      </c>
      <c r="V16" s="50">
        <v>0.45930285096648438</v>
      </c>
      <c r="W16" s="50">
        <v>0.43479193831512486</v>
      </c>
      <c r="X16" s="50">
        <v>0.43882407022788394</v>
      </c>
      <c r="Y16" s="50">
        <v>0.43568795054108866</v>
      </c>
      <c r="Z16" s="50">
        <v>0.3488753906054175</v>
      </c>
      <c r="AA16" s="50">
        <v>0.48729369184062971</v>
      </c>
      <c r="AB16" s="50">
        <v>0.4818007089275797</v>
      </c>
      <c r="AC16" s="50">
        <v>0.49434060705020749</v>
      </c>
      <c r="AD16" s="50">
        <v>0.50796761406911339</v>
      </c>
      <c r="AE16" s="50">
        <v>0.50108009716784929</v>
      </c>
      <c r="AF16" s="133">
        <v>0.48566213199472119</v>
      </c>
      <c r="AG16" s="133">
        <v>0.4834987935438676</v>
      </c>
      <c r="AH16" s="133">
        <v>0.50533809200046997</v>
      </c>
      <c r="AI16" s="133">
        <v>0.49006967393639295</v>
      </c>
      <c r="AJ16" s="133">
        <v>0.49571499591064355</v>
      </c>
      <c r="AK16" s="133">
        <v>0.48246782889785444</v>
      </c>
      <c r="AL16" s="133">
        <v>0.50101037076081889</v>
      </c>
      <c r="AM16" s="133">
        <v>0.47277768224572048</v>
      </c>
      <c r="AN16" s="134"/>
      <c r="AO16" s="133">
        <v>0.48866395101344912</v>
      </c>
      <c r="AP16" s="133">
        <v>0.490507710356268</v>
      </c>
      <c r="AQ16" s="50">
        <v>0.49446103632325011</v>
      </c>
      <c r="AR16" s="50">
        <v>0.43932288607234765</v>
      </c>
      <c r="AS16" s="50">
        <v>0.45589563871602024</v>
      </c>
      <c r="AT16" s="50">
        <v>0.4694025549843901</v>
      </c>
      <c r="AU16" s="34">
        <v>0.47243693099239903</v>
      </c>
      <c r="AV16" s="34">
        <v>0.49217905246210908</v>
      </c>
      <c r="AW16" s="34">
        <v>0.48279260685798442</v>
      </c>
      <c r="AX16" s="128"/>
      <c r="AY16" s="128"/>
      <c r="AZ16" s="128"/>
    </row>
    <row r="17" spans="2:52" s="131" customFormat="1" ht="14.45" customHeight="1" x14ac:dyDescent="0.2">
      <c r="B17" s="114" t="s">
        <v>768</v>
      </c>
      <c r="C17" s="114" t="s">
        <v>870</v>
      </c>
      <c r="D17" s="110">
        <v>-928542.65196299984</v>
      </c>
      <c r="E17" s="110">
        <v>-748696.89835999988</v>
      </c>
      <c r="F17" s="110">
        <v>-724515.1982000001</v>
      </c>
      <c r="G17" s="110">
        <v>-627864.55044000002</v>
      </c>
      <c r="H17" s="110">
        <v>-810063.93082000036</v>
      </c>
      <c r="I17" s="110">
        <v>-689587.27850999986</v>
      </c>
      <c r="J17" s="110">
        <v>-676855.18078000017</v>
      </c>
      <c r="K17" s="110">
        <v>-571058.62352000002</v>
      </c>
      <c r="L17" s="110">
        <v>-767812.42319999973</v>
      </c>
      <c r="M17" s="110">
        <v>-662162.8942199999</v>
      </c>
      <c r="N17" s="110">
        <v>-661767.87807999994</v>
      </c>
      <c r="O17" s="110">
        <v>-603018.15652000008</v>
      </c>
      <c r="P17" s="110">
        <v>-783545.92347999988</v>
      </c>
      <c r="Q17" s="110">
        <v>-607415.48059000005</v>
      </c>
      <c r="R17" s="110">
        <v>-579785.51247999992</v>
      </c>
      <c r="S17" s="110">
        <v>-499108.55108999991</v>
      </c>
      <c r="T17" s="110">
        <v>-580710.52708999801</v>
      </c>
      <c r="U17" s="110">
        <v>-477602.22203999886</v>
      </c>
      <c r="V17" s="110">
        <v>-422557.12911000318</v>
      </c>
      <c r="W17" s="110">
        <v>-366459.09470999998</v>
      </c>
      <c r="X17" s="110">
        <v>-361265.37910000014</v>
      </c>
      <c r="Y17" s="110">
        <v>-246493</v>
      </c>
      <c r="Z17" s="110">
        <v>-168368.6666</v>
      </c>
      <c r="AA17" s="110">
        <v>-241241.68</v>
      </c>
      <c r="AB17" s="110">
        <v>-289366.97600000002</v>
      </c>
      <c r="AC17" s="110">
        <v>-228873.473</v>
      </c>
      <c r="AD17" s="110">
        <v>-212088.97700000001</v>
      </c>
      <c r="AE17" s="110">
        <v>-217452.55</v>
      </c>
      <c r="AF17" s="118">
        <v>-261457</v>
      </c>
      <c r="AG17" s="118">
        <v>-191314</v>
      </c>
      <c r="AH17" s="118">
        <v>-211454</v>
      </c>
      <c r="AI17" s="118">
        <v>-190995</v>
      </c>
      <c r="AJ17" s="118">
        <v>-224852.43873999975</v>
      </c>
      <c r="AK17" s="118">
        <v>-183810.25741000022</v>
      </c>
      <c r="AL17" s="118">
        <v>-184942.41076999996</v>
      </c>
      <c r="AM17" s="118">
        <v>-170795</v>
      </c>
      <c r="AN17" s="136"/>
      <c r="AO17" s="118">
        <v>-764400.10691999993</v>
      </c>
      <c r="AP17" s="118">
        <v>-855220</v>
      </c>
      <c r="AQ17" s="110">
        <v>-947781.97600000002</v>
      </c>
      <c r="AR17" s="110">
        <v>-1017368.7257000002</v>
      </c>
      <c r="AS17" s="110">
        <v>-1847328.9729499999</v>
      </c>
      <c r="AT17" s="110">
        <v>-2469855.4676399999</v>
      </c>
      <c r="AU17" s="112">
        <v>-2694761.3520199996</v>
      </c>
      <c r="AV17" s="112">
        <v>-2747565.0136300004</v>
      </c>
      <c r="AW17" s="112">
        <v>-3029619.2989629996</v>
      </c>
      <c r="AX17" s="128"/>
      <c r="AY17" s="128"/>
      <c r="AZ17" s="128"/>
    </row>
    <row r="18" spans="2:52" s="131" customFormat="1" ht="14.45" customHeight="1" x14ac:dyDescent="0.2">
      <c r="B18" s="41" t="s">
        <v>796</v>
      </c>
      <c r="C18" s="42" t="s">
        <v>867</v>
      </c>
      <c r="D18" s="43">
        <v>-776453.93832299975</v>
      </c>
      <c r="E18" s="43">
        <v>-626494.02679999988</v>
      </c>
      <c r="F18" s="43">
        <v>-606437.76106000005</v>
      </c>
      <c r="G18" s="43">
        <v>-534906.60291000002</v>
      </c>
      <c r="H18" s="43">
        <v>-652026.3049100003</v>
      </c>
      <c r="I18" s="43">
        <v>-574199.21627999994</v>
      </c>
      <c r="J18" s="43">
        <v>-543125.99505999999</v>
      </c>
      <c r="K18" s="43">
        <v>-480925.99232999998</v>
      </c>
      <c r="L18" s="43">
        <v>-641096.60681999975</v>
      </c>
      <c r="M18" s="43">
        <v>-583064.20187999983</v>
      </c>
      <c r="N18" s="43">
        <v>-593323.9090799999</v>
      </c>
      <c r="O18" s="43">
        <v>-489754.08245000016</v>
      </c>
      <c r="P18" s="43">
        <v>-645480.01506999996</v>
      </c>
      <c r="Q18" s="43">
        <v>-531438.28225000005</v>
      </c>
      <c r="R18" s="43">
        <v>-479771.36500999995</v>
      </c>
      <c r="S18" s="43">
        <v>-406229.35081999993</v>
      </c>
      <c r="T18" s="43">
        <v>-467857.608989998</v>
      </c>
      <c r="U18" s="43">
        <v>-418157.509179999</v>
      </c>
      <c r="V18" s="43">
        <v>-350905.54952000297</v>
      </c>
      <c r="W18" s="43">
        <v>-318280.22067000001</v>
      </c>
      <c r="X18" s="43">
        <v>-286583.81607000012</v>
      </c>
      <c r="Y18" s="43">
        <v>-208438</v>
      </c>
      <c r="Z18" s="43">
        <v>-148267.6666</v>
      </c>
      <c r="AA18" s="43">
        <v>-205110.666</v>
      </c>
      <c r="AB18" s="43">
        <v>-105603.67200000002</v>
      </c>
      <c r="AC18" s="43">
        <v>-206718.473</v>
      </c>
      <c r="AD18" s="43">
        <v>-189791</v>
      </c>
      <c r="AE18" s="43">
        <v>-180430</v>
      </c>
      <c r="AF18" s="51">
        <v>-214325</v>
      </c>
      <c r="AG18" s="51">
        <v>-175214</v>
      </c>
      <c r="AH18" s="51">
        <v>-170759</v>
      </c>
      <c r="AI18" s="51">
        <v>-157446</v>
      </c>
      <c r="AJ18" s="43">
        <v>0</v>
      </c>
      <c r="AK18" s="43">
        <v>0</v>
      </c>
      <c r="AL18" s="51">
        <v>-153805</v>
      </c>
      <c r="AM18" s="51">
        <v>-139688</v>
      </c>
      <c r="AO18" s="43">
        <v>0</v>
      </c>
      <c r="AP18" s="46">
        <v>-717744</v>
      </c>
      <c r="AQ18" s="43">
        <v>-682543.14500000002</v>
      </c>
      <c r="AR18" s="43">
        <v>-848400.14867000002</v>
      </c>
      <c r="AS18" s="43">
        <v>-1555200.88836</v>
      </c>
      <c r="AT18" s="43">
        <v>-2062919.01315</v>
      </c>
      <c r="AU18" s="39">
        <v>-2307238.8002299997</v>
      </c>
      <c r="AV18" s="39">
        <v>-2250277.5085800001</v>
      </c>
      <c r="AW18" s="39">
        <v>-2544292.3290929995</v>
      </c>
      <c r="AX18" s="128"/>
      <c r="AY18" s="128"/>
      <c r="AZ18" s="128"/>
    </row>
    <row r="19" spans="2:52" s="131" customFormat="1" ht="14.45" customHeight="1" x14ac:dyDescent="0.2">
      <c r="B19" s="41" t="s">
        <v>797</v>
      </c>
      <c r="C19" s="42" t="s">
        <v>868</v>
      </c>
      <c r="D19" s="43">
        <v>-148468.49012000003</v>
      </c>
      <c r="E19" s="43">
        <v>-126529.22111999999</v>
      </c>
      <c r="F19" s="43">
        <v>-117307.88599999997</v>
      </c>
      <c r="G19" s="43">
        <v>-98053.589000000007</v>
      </c>
      <c r="H19" s="43">
        <v>-156654.26463000002</v>
      </c>
      <c r="I19" s="43">
        <v>-118895.59351000005</v>
      </c>
      <c r="J19" s="43">
        <v>-137913.97791999998</v>
      </c>
      <c r="K19" s="43">
        <v>-101672.84894</v>
      </c>
      <c r="L19" s="43">
        <v>-112160.96903000001</v>
      </c>
      <c r="M19" s="43">
        <v>-89153.382339999982</v>
      </c>
      <c r="N19" s="43">
        <v>-80801.775689999995</v>
      </c>
      <c r="O19" s="43">
        <v>-115590.29549999999</v>
      </c>
      <c r="P19" s="43">
        <v>-140117.75096999999</v>
      </c>
      <c r="Q19" s="43">
        <v>-82211.22656000001</v>
      </c>
      <c r="R19" s="43">
        <v>-102521.51590000001</v>
      </c>
      <c r="S19" s="43">
        <v>-94504.705569999991</v>
      </c>
      <c r="T19" s="43">
        <v>-91387.34785999998</v>
      </c>
      <c r="U19" s="43">
        <v>-57875.094079999821</v>
      </c>
      <c r="V19" s="43">
        <v>-78177.426090000183</v>
      </c>
      <c r="W19" s="43">
        <v>-49648.098989999999</v>
      </c>
      <c r="X19" s="43">
        <v>-112681.69995000001</v>
      </c>
      <c r="Y19" s="43">
        <v>-39881</v>
      </c>
      <c r="Z19" s="43">
        <v>-23581</v>
      </c>
      <c r="AA19" s="43">
        <v>-37972</v>
      </c>
      <c r="AB19" s="43">
        <v>-196772</v>
      </c>
      <c r="AC19" s="43">
        <v>-29744</v>
      </c>
      <c r="AD19" s="43">
        <v>-30573</v>
      </c>
      <c r="AE19" s="43">
        <v>-37024</v>
      </c>
      <c r="AF19" s="51">
        <v>-51171</v>
      </c>
      <c r="AG19" s="51">
        <v>-14449</v>
      </c>
      <c r="AH19" s="51">
        <v>-41004</v>
      </c>
      <c r="AI19" s="51">
        <v>-33555</v>
      </c>
      <c r="AJ19" s="46">
        <v>0</v>
      </c>
      <c r="AK19" s="43">
        <v>0</v>
      </c>
      <c r="AL19" s="51">
        <v>-31198</v>
      </c>
      <c r="AM19" s="51">
        <v>-29185</v>
      </c>
      <c r="AO19" s="43">
        <v>0</v>
      </c>
      <c r="AP19" s="46">
        <v>-140179</v>
      </c>
      <c r="AQ19" s="43">
        <v>-294113</v>
      </c>
      <c r="AR19" s="43">
        <v>-214115.69995000001</v>
      </c>
      <c r="AS19" s="43">
        <v>-277087.96701999998</v>
      </c>
      <c r="AT19" s="43">
        <v>-419355.19900000002</v>
      </c>
      <c r="AU19" s="39">
        <v>-397706.42255999998</v>
      </c>
      <c r="AV19" s="39">
        <v>-515136.68500000006</v>
      </c>
      <c r="AW19" s="39">
        <v>-490359.18624000007</v>
      </c>
      <c r="AX19" s="128"/>
      <c r="AY19" s="128"/>
      <c r="AZ19" s="128"/>
    </row>
    <row r="20" spans="2:52" s="131" customFormat="1" ht="14.45" customHeight="1" x14ac:dyDescent="0.25">
      <c r="B20" s="41" t="s">
        <v>769</v>
      </c>
      <c r="C20" s="42" t="s">
        <v>869</v>
      </c>
      <c r="D20" s="43">
        <v>-3620.2235200000068</v>
      </c>
      <c r="E20" s="43">
        <v>4326.3495600000024</v>
      </c>
      <c r="F20" s="43">
        <v>-769.55113999999958</v>
      </c>
      <c r="G20" s="43">
        <v>5095.6414699999987</v>
      </c>
      <c r="H20" s="43">
        <v>-1383.3612800000046</v>
      </c>
      <c r="I20" s="43">
        <v>3507.5312799999956</v>
      </c>
      <c r="J20" s="43">
        <v>4184.7921999999944</v>
      </c>
      <c r="K20" s="43">
        <v>11540.21775</v>
      </c>
      <c r="L20" s="43">
        <v>-14554.847349999995</v>
      </c>
      <c r="M20" s="43">
        <v>10054.690000000002</v>
      </c>
      <c r="N20" s="43">
        <v>12357.806690000001</v>
      </c>
      <c r="O20" s="43">
        <v>2326.2214300000078</v>
      </c>
      <c r="P20" s="43">
        <v>2051.842560000001</v>
      </c>
      <c r="Q20" s="43">
        <v>6234.0282199999983</v>
      </c>
      <c r="R20" s="43">
        <v>2507.3684300000004</v>
      </c>
      <c r="S20" s="43">
        <v>1625.5052999999989</v>
      </c>
      <c r="T20" s="43">
        <v>-21465.570240000001</v>
      </c>
      <c r="U20" s="43">
        <v>-1569.6187800000025</v>
      </c>
      <c r="V20" s="43">
        <v>6525.8465000000051</v>
      </c>
      <c r="W20" s="43">
        <v>1469.22495</v>
      </c>
      <c r="X20" s="43">
        <v>38000.13691999999</v>
      </c>
      <c r="Y20" s="43">
        <v>1826</v>
      </c>
      <c r="Z20" s="43">
        <v>3480</v>
      </c>
      <c r="AA20" s="43">
        <v>1840.9860000000008</v>
      </c>
      <c r="AB20" s="43">
        <v>13008.696000000054</v>
      </c>
      <c r="AC20" s="43">
        <v>7589</v>
      </c>
      <c r="AD20" s="43">
        <v>8275.023000000001</v>
      </c>
      <c r="AE20" s="43">
        <v>1.45</v>
      </c>
      <c r="AF20" s="44">
        <v>4040</v>
      </c>
      <c r="AG20" s="44">
        <v>-1651</v>
      </c>
      <c r="AH20" s="44">
        <v>308</v>
      </c>
      <c r="AI20" s="44">
        <v>6</v>
      </c>
      <c r="AJ20" s="43">
        <v>0</v>
      </c>
      <c r="AK20" s="43">
        <v>0</v>
      </c>
      <c r="AL20" s="44">
        <v>62</v>
      </c>
      <c r="AM20" s="44">
        <v>-1923</v>
      </c>
      <c r="AN20" s="36"/>
      <c r="AO20" s="43">
        <v>0</v>
      </c>
      <c r="AP20" s="46">
        <v>2703</v>
      </c>
      <c r="AQ20" s="43">
        <v>28874.169000000053</v>
      </c>
      <c r="AR20" s="43">
        <v>45147.122919999994</v>
      </c>
      <c r="AS20" s="43">
        <v>-15040.117570000002</v>
      </c>
      <c r="AT20" s="43">
        <v>12418.744509999999</v>
      </c>
      <c r="AU20" s="39">
        <v>10183.870770000016</v>
      </c>
      <c r="AV20" s="39">
        <v>17849.179949999983</v>
      </c>
      <c r="AW20" s="39">
        <v>5032.2163699999946</v>
      </c>
      <c r="AX20" s="128"/>
      <c r="AY20" s="128"/>
      <c r="AZ20" s="128"/>
    </row>
    <row r="21" spans="2:52" s="127" customFormat="1" ht="14.45" customHeight="1" x14ac:dyDescent="0.2">
      <c r="B21" s="116" t="s">
        <v>790</v>
      </c>
      <c r="C21" s="109" t="s">
        <v>105</v>
      </c>
      <c r="D21" s="110">
        <v>224595.78063000058</v>
      </c>
      <c r="E21" s="110">
        <v>169000.74753999987</v>
      </c>
      <c r="F21" s="110">
        <v>167392.49495000017</v>
      </c>
      <c r="G21" s="110">
        <v>144474.52605999989</v>
      </c>
      <c r="H21" s="110">
        <v>236091.98941000018</v>
      </c>
      <c r="I21" s="110">
        <v>201112.80259000004</v>
      </c>
      <c r="J21" s="110">
        <v>175959.93059999967</v>
      </c>
      <c r="K21" s="110">
        <v>159193.66038000002</v>
      </c>
      <c r="L21" s="110">
        <v>211428.39616000073</v>
      </c>
      <c r="M21" s="110">
        <v>169436.08126999962</v>
      </c>
      <c r="N21" s="110">
        <v>92361.541990000202</v>
      </c>
      <c r="O21" s="110">
        <v>133718.14770999999</v>
      </c>
      <c r="P21" s="110">
        <v>160580.42529000062</v>
      </c>
      <c r="Q21" s="110">
        <v>97249.670030000023</v>
      </c>
      <c r="R21" s="110">
        <v>90631.178729999723</v>
      </c>
      <c r="S21" s="110">
        <v>120474.71367000008</v>
      </c>
      <c r="T21" s="110">
        <v>209967.38145999957</v>
      </c>
      <c r="U21" s="110">
        <v>192416.11775000012</v>
      </c>
      <c r="V21" s="110">
        <v>93169.407010000243</v>
      </c>
      <c r="W21" s="110">
        <v>-13044.571280000007</v>
      </c>
      <c r="X21" s="110">
        <v>110045.68110999982</v>
      </c>
      <c r="Y21" s="110">
        <v>1430.0671400000574</v>
      </c>
      <c r="Z21" s="110">
        <v>-84857.572209999984</v>
      </c>
      <c r="AA21" s="110">
        <v>5141.5582099999847</v>
      </c>
      <c r="AB21" s="110">
        <v>120986.96919</v>
      </c>
      <c r="AC21" s="110">
        <v>78113.527000000002</v>
      </c>
      <c r="AD21" s="110">
        <v>65025.023000000001</v>
      </c>
      <c r="AE21" s="110">
        <v>46705</v>
      </c>
      <c r="AF21" s="113">
        <v>92936</v>
      </c>
      <c r="AG21" s="113">
        <v>82004</v>
      </c>
      <c r="AH21" s="113">
        <v>50914</v>
      </c>
      <c r="AI21" s="113">
        <v>34859</v>
      </c>
      <c r="AJ21" s="113">
        <v>84260.561260000235</v>
      </c>
      <c r="AK21" s="113">
        <v>50816.438739999765</v>
      </c>
      <c r="AL21" s="113">
        <v>32583</v>
      </c>
      <c r="AM21" s="113">
        <v>29910</v>
      </c>
      <c r="AN21" s="130"/>
      <c r="AO21" s="113">
        <v>197570</v>
      </c>
      <c r="AP21" s="113">
        <v>260713</v>
      </c>
      <c r="AQ21" s="110">
        <v>310830.51919000002</v>
      </c>
      <c r="AR21" s="110">
        <v>31759.734249999878</v>
      </c>
      <c r="AS21" s="110">
        <v>482508.33493999997</v>
      </c>
      <c r="AT21" s="110">
        <v>468935.9877200005</v>
      </c>
      <c r="AU21" s="112">
        <v>606944.16713000042</v>
      </c>
      <c r="AV21" s="112">
        <v>772358.38297999999</v>
      </c>
      <c r="AW21" s="112">
        <v>705463.54918000055</v>
      </c>
      <c r="AX21" s="128"/>
      <c r="AY21" s="128"/>
      <c r="AZ21" s="128"/>
    </row>
    <row r="22" spans="2:52" s="135" customFormat="1" ht="14.45" customHeight="1" x14ac:dyDescent="0.2">
      <c r="B22" s="49" t="s">
        <v>798</v>
      </c>
      <c r="C22" s="49" t="s">
        <v>859</v>
      </c>
      <c r="D22" s="50">
        <v>9.2508781756728053E-2</v>
      </c>
      <c r="E22" s="50">
        <v>8.727024404576858E-2</v>
      </c>
      <c r="F22" s="50">
        <v>9.2090276145678704E-2</v>
      </c>
      <c r="G22" s="50">
        <v>9.2947977951039554E-2</v>
      </c>
      <c r="H22" s="50">
        <v>0.10868445884259331</v>
      </c>
      <c r="I22" s="50">
        <v>0.11360456749975148</v>
      </c>
      <c r="J22" s="50">
        <v>0.10266417645456027</v>
      </c>
      <c r="K22" s="50">
        <v>0.10646845738316596</v>
      </c>
      <c r="L22" s="50">
        <v>9.9255612447512825E-2</v>
      </c>
      <c r="M22" s="50">
        <v>9.448478359614039E-2</v>
      </c>
      <c r="N22" s="50">
        <v>5.7981610416941332E-2</v>
      </c>
      <c r="O22" s="50">
        <v>9.0833614416855113E-2</v>
      </c>
      <c r="P22" s="50">
        <v>8.0974732664997218E-2</v>
      </c>
      <c r="Q22" s="50">
        <v>6.6157166179624666E-2</v>
      </c>
      <c r="R22" s="50">
        <v>6.1948558220695074E-2</v>
      </c>
      <c r="S22" s="50">
        <v>8.9597111698153806E-2</v>
      </c>
      <c r="T22" s="50">
        <v>0.12472339106572648</v>
      </c>
      <c r="U22" s="50">
        <v>0.12902444556260642</v>
      </c>
      <c r="V22" s="50">
        <v>8.2976127091452828E-2</v>
      </c>
      <c r="W22" s="50">
        <v>-1.6048211496747629E-2</v>
      </c>
      <c r="X22" s="50">
        <v>0.10246025140208706</v>
      </c>
      <c r="Y22" s="50">
        <v>2.5131311792886547E-3</v>
      </c>
      <c r="Z22" s="50">
        <v>-0.35450082804170907</v>
      </c>
      <c r="AA22" s="50">
        <v>1.0168919454525647E-2</v>
      </c>
      <c r="AB22" s="50">
        <v>0.14205200272628327</v>
      </c>
      <c r="AC22" s="50">
        <v>0.12578607027663313</v>
      </c>
      <c r="AD22" s="50">
        <v>0.11919535953001356</v>
      </c>
      <c r="AE22" s="50">
        <v>8.8594562274756178E-2</v>
      </c>
      <c r="AF22" s="133">
        <v>0.12736000964765504</v>
      </c>
      <c r="AG22" s="133">
        <v>0.14506485143960998</v>
      </c>
      <c r="AH22" s="133">
        <v>9.8063725820648581E-2</v>
      </c>
      <c r="AI22" s="133">
        <v>7.563885857123949E-2</v>
      </c>
      <c r="AJ22" s="133">
        <v>0.13512606645605182</v>
      </c>
      <c r="AK22" s="133">
        <v>0.10449478052913139</v>
      </c>
      <c r="AL22" s="133">
        <v>7.5046182785885582E-2</v>
      </c>
      <c r="AM22" s="133">
        <v>7.0455546578159486E-2</v>
      </c>
      <c r="AN22" s="134"/>
      <c r="AO22" s="133">
        <v>0.10036210775983362</v>
      </c>
      <c r="AP22" s="133">
        <v>0.11459624967638174</v>
      </c>
      <c r="AQ22" s="50">
        <v>0.1221135509907591</v>
      </c>
      <c r="AR22" s="50">
        <v>1.3299398741122161E-2</v>
      </c>
      <c r="AS22" s="50">
        <v>9.4415796666671756E-2</v>
      </c>
      <c r="AT22" s="50">
        <v>7.4901447067474577E-2</v>
      </c>
      <c r="AU22" s="50">
        <v>8.6846868238488861E-2</v>
      </c>
      <c r="AV22" s="50">
        <v>0.10799626257146189</v>
      </c>
      <c r="AW22" s="50">
        <v>9.1187420989546519E-2</v>
      </c>
      <c r="AX22" s="128"/>
      <c r="AY22" s="128"/>
      <c r="AZ22" s="128"/>
    </row>
    <row r="23" spans="2:52" ht="14.45" customHeight="1" x14ac:dyDescent="0.2">
      <c r="B23" s="117" t="s">
        <v>799</v>
      </c>
      <c r="C23" s="109" t="s">
        <v>763</v>
      </c>
      <c r="D23" s="110">
        <v>-53060.218519999929</v>
      </c>
      <c r="E23" s="110">
        <v>-49582.352249999996</v>
      </c>
      <c r="F23" s="110">
        <v>-53766.981770000006</v>
      </c>
      <c r="G23" s="110">
        <v>-53227.649919999974</v>
      </c>
      <c r="H23" s="110">
        <v>-50121.330950000003</v>
      </c>
      <c r="I23" s="110">
        <v>-47720.236539999969</v>
      </c>
      <c r="J23" s="110">
        <v>-55754.434049999996</v>
      </c>
      <c r="K23" s="110">
        <v>-46334.981609999981</v>
      </c>
      <c r="L23" s="110">
        <v>-26558.467819999936</v>
      </c>
      <c r="M23" s="110">
        <v>-45558.742200000037</v>
      </c>
      <c r="N23" s="110">
        <v>-43914.404294979497</v>
      </c>
      <c r="O23" s="110">
        <v>-45693.239239999995</v>
      </c>
      <c r="P23" s="110">
        <v>-36482.980419999993</v>
      </c>
      <c r="Q23" s="110">
        <v>-41489.614949999996</v>
      </c>
      <c r="R23" s="110">
        <v>-34926.901810000018</v>
      </c>
      <c r="S23" s="110">
        <v>-33916.099720000042</v>
      </c>
      <c r="T23" s="110">
        <v>-24926.633734223899</v>
      </c>
      <c r="U23" s="110">
        <v>-32525.251680000008</v>
      </c>
      <c r="V23" s="110">
        <v>-27704.574909999996</v>
      </c>
      <c r="W23" s="110">
        <v>-28080.040389999987</v>
      </c>
      <c r="X23" s="112">
        <v>-36841.836204968</v>
      </c>
      <c r="Y23" s="112">
        <v>-25092</v>
      </c>
      <c r="Z23" s="112">
        <v>-24788.286110000005</v>
      </c>
      <c r="AA23" s="112">
        <v>-24444.713889999995</v>
      </c>
      <c r="AB23" s="112">
        <v>-23909</v>
      </c>
      <c r="AC23" s="112">
        <v>-22696</v>
      </c>
      <c r="AD23" s="112">
        <v>-22188</v>
      </c>
      <c r="AE23" s="112">
        <v>-22324</v>
      </c>
      <c r="AF23" s="105">
        <v>-20195</v>
      </c>
      <c r="AG23" s="105">
        <v>-19667</v>
      </c>
      <c r="AH23" s="105">
        <v>-20474</v>
      </c>
      <c r="AI23" s="105">
        <v>-20430</v>
      </c>
      <c r="AJ23" s="105">
        <v>-19400.331009999943</v>
      </c>
      <c r="AK23" s="105">
        <v>-20596.668990000057</v>
      </c>
      <c r="AL23" s="105">
        <v>-19903.589230000038</v>
      </c>
      <c r="AM23" s="105">
        <v>-19689</v>
      </c>
      <c r="AO23" s="105">
        <v>-79590</v>
      </c>
      <c r="AP23" s="105">
        <v>-80766</v>
      </c>
      <c r="AQ23" s="112">
        <v>-91117</v>
      </c>
      <c r="AR23" s="112">
        <v>-111166.836204968</v>
      </c>
      <c r="AS23" s="112">
        <v>-113236.50071422389</v>
      </c>
      <c r="AT23" s="112">
        <v>-146815.59690000006</v>
      </c>
      <c r="AU23" s="112">
        <v>-161724.85355497946</v>
      </c>
      <c r="AV23" s="112">
        <v>-199930.98314999996</v>
      </c>
      <c r="AW23" s="112">
        <v>-209637.20245999991</v>
      </c>
      <c r="AX23" s="128"/>
      <c r="AY23" s="128"/>
      <c r="AZ23" s="128"/>
    </row>
    <row r="24" spans="2:52" ht="14.45" customHeight="1" x14ac:dyDescent="0.2">
      <c r="B24" s="57" t="s">
        <v>800</v>
      </c>
      <c r="C24" s="58" t="s">
        <v>860</v>
      </c>
      <c r="D24" s="43">
        <v>171535.56211000064</v>
      </c>
      <c r="E24" s="43">
        <v>119418.39528999988</v>
      </c>
      <c r="F24" s="43">
        <v>113625.51318000014</v>
      </c>
      <c r="G24" s="43">
        <v>91246.87613999992</v>
      </c>
      <c r="H24" s="43">
        <v>185970.65846000018</v>
      </c>
      <c r="I24" s="43">
        <v>153392.56605000005</v>
      </c>
      <c r="J24" s="43">
        <v>120205.49654999972</v>
      </c>
      <c r="K24" s="43">
        <v>112858.67877000004</v>
      </c>
      <c r="L24" s="43">
        <v>184869.9283400008</v>
      </c>
      <c r="M24" s="39">
        <v>123877.33906999958</v>
      </c>
      <c r="N24" s="39">
        <v>48447.13769502069</v>
      </c>
      <c r="O24" s="39">
        <v>88024.90846999998</v>
      </c>
      <c r="P24" s="39">
        <v>124097.44487000065</v>
      </c>
      <c r="Q24" s="39">
        <v>55760.05508000002</v>
      </c>
      <c r="R24" s="39">
        <v>55704.276919999713</v>
      </c>
      <c r="S24" s="39">
        <v>86558.613950000057</v>
      </c>
      <c r="T24" s="39">
        <v>185040.74772577567</v>
      </c>
      <c r="U24" s="39">
        <v>159890.86607000011</v>
      </c>
      <c r="V24" s="39">
        <v>65464.832100000247</v>
      </c>
      <c r="W24" s="39">
        <v>-41124.611669999991</v>
      </c>
      <c r="X24" s="39">
        <v>73203.844905031816</v>
      </c>
      <c r="Y24" s="39">
        <v>-23661.932859999943</v>
      </c>
      <c r="Z24" s="39">
        <v>-109645.85831999998</v>
      </c>
      <c r="AA24" s="39">
        <v>-19303.155680000011</v>
      </c>
      <c r="AB24" s="39">
        <v>97077.969190000003</v>
      </c>
      <c r="AC24" s="39">
        <v>55417.527000000002</v>
      </c>
      <c r="AD24" s="39">
        <v>42837.023000000001</v>
      </c>
      <c r="AE24" s="39">
        <v>24381</v>
      </c>
      <c r="AF24" s="59">
        <v>72741</v>
      </c>
      <c r="AG24" s="59">
        <v>62337</v>
      </c>
      <c r="AH24" s="59">
        <v>30440</v>
      </c>
      <c r="AI24" s="59">
        <v>14429</v>
      </c>
      <c r="AJ24" s="59">
        <v>64860.230250000292</v>
      </c>
      <c r="AK24" s="59">
        <v>30219.769749999701</v>
      </c>
      <c r="AL24" s="59">
        <v>12679.410769999962</v>
      </c>
      <c r="AM24" s="59">
        <v>10221</v>
      </c>
      <c r="AN24" s="125"/>
      <c r="AO24" s="59">
        <v>117980</v>
      </c>
      <c r="AP24" s="59">
        <v>179947</v>
      </c>
      <c r="AQ24" s="39">
        <v>219713.51919000002</v>
      </c>
      <c r="AR24" s="39">
        <v>-79407.101954968122</v>
      </c>
      <c r="AS24" s="39">
        <v>369271.83422577602</v>
      </c>
      <c r="AT24" s="39">
        <v>322120.39082000044</v>
      </c>
      <c r="AU24" s="39">
        <v>445219.31357502105</v>
      </c>
      <c r="AV24" s="39">
        <v>572427.39982999989</v>
      </c>
      <c r="AW24" s="39">
        <v>495826.34672000061</v>
      </c>
      <c r="AX24" s="128"/>
      <c r="AY24" s="128"/>
      <c r="AZ24" s="128"/>
    </row>
    <row r="25" spans="2:52" s="137" customFormat="1" ht="14.45" customHeight="1" x14ac:dyDescent="0.2">
      <c r="B25" s="119" t="s">
        <v>801</v>
      </c>
      <c r="C25" s="119" t="s">
        <v>861</v>
      </c>
      <c r="D25" s="110">
        <v>-30754.983769999915</v>
      </c>
      <c r="E25" s="110">
        <v>-35424.078620000037</v>
      </c>
      <c r="F25" s="110">
        <v>-33814.597439999998</v>
      </c>
      <c r="G25" s="110">
        <v>-15664.578509999998</v>
      </c>
      <c r="H25" s="110">
        <v>-28151.916239999973</v>
      </c>
      <c r="I25" s="110">
        <v>-38003.721570000009</v>
      </c>
      <c r="J25" s="110">
        <v>-30082.280859999941</v>
      </c>
      <c r="K25" s="110">
        <v>-44602.217240000013</v>
      </c>
      <c r="L25" s="110">
        <v>-44391.268572997833</v>
      </c>
      <c r="M25" s="112">
        <v>-56788.21414999992</v>
      </c>
      <c r="N25" s="112">
        <v>-49689.793148664117</v>
      </c>
      <c r="O25" s="112">
        <v>-53748.758260000002</v>
      </c>
      <c r="P25" s="112">
        <v>-36622.687309999979</v>
      </c>
      <c r="Q25" s="112">
        <v>-40705.22383999997</v>
      </c>
      <c r="R25" s="112">
        <v>-22780.107559999986</v>
      </c>
      <c r="S25" s="112">
        <v>-16249.48034999998</v>
      </c>
      <c r="T25" s="112">
        <v>5446.4311181239245</v>
      </c>
      <c r="U25" s="112">
        <v>-15597.142209999947</v>
      </c>
      <c r="V25" s="112">
        <v>-16203.828640000043</v>
      </c>
      <c r="W25" s="112">
        <v>-9984.8969399999969</v>
      </c>
      <c r="X25" s="112">
        <v>-18026.715554329807</v>
      </c>
      <c r="Y25" s="112">
        <v>-6464</v>
      </c>
      <c r="Z25" s="112">
        <v>-5458</v>
      </c>
      <c r="AA25" s="112">
        <v>4497.7039999999979</v>
      </c>
      <c r="AB25" s="112">
        <v>-1338</v>
      </c>
      <c r="AC25" s="112">
        <v>-4313.5653199999997</v>
      </c>
      <c r="AD25" s="112">
        <v>-25227.023000000001</v>
      </c>
      <c r="AE25" s="112">
        <v>-21536</v>
      </c>
      <c r="AF25" s="115">
        <v>-23877</v>
      </c>
      <c r="AG25" s="115">
        <v>-21570</v>
      </c>
      <c r="AH25" s="115">
        <v>-22208</v>
      </c>
      <c r="AI25" s="115">
        <v>-24075</v>
      </c>
      <c r="AJ25" s="115">
        <v>-27995</v>
      </c>
      <c r="AK25" s="115">
        <v>-34651</v>
      </c>
      <c r="AL25" s="115">
        <v>-42594.042890000099</v>
      </c>
      <c r="AM25" s="115">
        <v>-45175</v>
      </c>
      <c r="AO25" s="115">
        <v>-150415</v>
      </c>
      <c r="AP25" s="115">
        <v>-91730</v>
      </c>
      <c r="AQ25" s="112">
        <v>-52414.58832000001</v>
      </c>
      <c r="AR25" s="112">
        <v>-25451.011554329809</v>
      </c>
      <c r="AS25" s="112">
        <v>-36339.436671876065</v>
      </c>
      <c r="AT25" s="112">
        <v>-116357.49905999991</v>
      </c>
      <c r="AU25" s="112">
        <v>-204618.03413166187</v>
      </c>
      <c r="AV25" s="112">
        <v>-140840.13590999995</v>
      </c>
      <c r="AW25" s="112">
        <v>-115658.23833999994</v>
      </c>
      <c r="AX25" s="128"/>
      <c r="AY25" s="128"/>
      <c r="AZ25" s="128"/>
    </row>
    <row r="26" spans="2:52" ht="14.45" customHeight="1" x14ac:dyDescent="0.2">
      <c r="B26" s="60" t="s">
        <v>802</v>
      </c>
      <c r="C26" s="53" t="s">
        <v>764</v>
      </c>
      <c r="D26" s="43">
        <v>72361.572730000014</v>
      </c>
      <c r="E26" s="43">
        <v>97369.877949999995</v>
      </c>
      <c r="F26" s="43">
        <v>54620.62518000001</v>
      </c>
      <c r="G26" s="43">
        <v>39630.260860000002</v>
      </c>
      <c r="H26" s="43">
        <v>48452.99441764503</v>
      </c>
      <c r="I26" s="43">
        <v>35017.445439999981</v>
      </c>
      <c r="J26" s="43">
        <v>48203.664450000011</v>
      </c>
      <c r="K26" s="43">
        <v>30579.01656</v>
      </c>
      <c r="L26" s="43">
        <v>53194.038299999986</v>
      </c>
      <c r="M26" s="39">
        <v>65784.998040000006</v>
      </c>
      <c r="N26" s="39">
        <v>80727.114230000007</v>
      </c>
      <c r="O26" s="39">
        <v>47649.248939999998</v>
      </c>
      <c r="P26" s="39">
        <v>13253.599630000033</v>
      </c>
      <c r="Q26" s="39">
        <v>44330.396319999971</v>
      </c>
      <c r="R26" s="39">
        <v>87027.356220000001</v>
      </c>
      <c r="S26" s="39">
        <v>71752.835160000002</v>
      </c>
      <c r="T26" s="39">
        <v>42282.007110000006</v>
      </c>
      <c r="U26" s="39">
        <v>37318.407050000009</v>
      </c>
      <c r="V26" s="39">
        <v>49876.791129999991</v>
      </c>
      <c r="W26" s="39">
        <v>37878.24179</v>
      </c>
      <c r="X26" s="39">
        <v>27781.490560000006</v>
      </c>
      <c r="Y26" s="39">
        <v>16876</v>
      </c>
      <c r="Z26" s="39">
        <v>16796</v>
      </c>
      <c r="AA26" s="39">
        <v>40874</v>
      </c>
      <c r="AB26" s="39">
        <v>115363</v>
      </c>
      <c r="AC26" s="39">
        <v>9245.4346800000003</v>
      </c>
      <c r="AD26" s="39">
        <v>8965.976999999999</v>
      </c>
      <c r="AE26" s="39">
        <v>9263</v>
      </c>
      <c r="AF26" s="44">
        <v>15168</v>
      </c>
      <c r="AG26" s="44">
        <v>16773</v>
      </c>
      <c r="AH26" s="44">
        <v>16880</v>
      </c>
      <c r="AI26" s="44">
        <v>12171</v>
      </c>
      <c r="AJ26" s="43">
        <v>0</v>
      </c>
      <c r="AK26" s="43">
        <v>0</v>
      </c>
      <c r="AL26" s="43">
        <v>0</v>
      </c>
      <c r="AM26" s="43">
        <v>0</v>
      </c>
      <c r="AO26" s="39">
        <v>0</v>
      </c>
      <c r="AP26" s="39">
        <v>60992</v>
      </c>
      <c r="AQ26" s="39">
        <v>142837.41167999999</v>
      </c>
      <c r="AR26" s="39">
        <v>102327.49056000001</v>
      </c>
      <c r="AS26" s="39">
        <v>167355.44708000001</v>
      </c>
      <c r="AT26" s="39">
        <v>216364.18733000002</v>
      </c>
      <c r="AU26" s="39">
        <v>247355.39950999999</v>
      </c>
      <c r="AV26" s="39">
        <v>162253.12086764502</v>
      </c>
      <c r="AW26" s="39">
        <v>263982.33672000002</v>
      </c>
      <c r="AX26" s="128"/>
      <c r="AY26" s="128"/>
      <c r="AZ26" s="128"/>
    </row>
    <row r="27" spans="2:52" ht="14.45" customHeight="1" x14ac:dyDescent="0.2">
      <c r="B27" s="60" t="s">
        <v>803</v>
      </c>
      <c r="C27" s="53" t="s">
        <v>862</v>
      </c>
      <c r="D27" s="43">
        <v>-103116.5564999999</v>
      </c>
      <c r="E27" s="43">
        <v>-132793.95657000004</v>
      </c>
      <c r="F27" s="43">
        <v>-88435.22262</v>
      </c>
      <c r="G27" s="43">
        <v>-55294.839369999994</v>
      </c>
      <c r="H27" s="43">
        <v>-76604.910687645111</v>
      </c>
      <c r="I27" s="43">
        <v>-73021.167010000005</v>
      </c>
      <c r="J27" s="43">
        <v>-78285.945309999952</v>
      </c>
      <c r="K27" s="43">
        <v>-75181.233800000016</v>
      </c>
      <c r="L27" s="43">
        <v>-97585.306872997826</v>
      </c>
      <c r="M27" s="39">
        <v>-122573.21218999996</v>
      </c>
      <c r="N27" s="39">
        <v>-130416.90737866409</v>
      </c>
      <c r="O27" s="39">
        <v>-101398.00720000001</v>
      </c>
      <c r="P27" s="39">
        <v>-49876.28694000002</v>
      </c>
      <c r="Q27" s="39">
        <v>-85035.620159999962</v>
      </c>
      <c r="R27" s="39">
        <v>-109807.46377999998</v>
      </c>
      <c r="S27" s="39">
        <v>-88002.315509999971</v>
      </c>
      <c r="T27" s="39">
        <v>-36835.575991876096</v>
      </c>
      <c r="U27" s="39">
        <v>-52915.549259999949</v>
      </c>
      <c r="V27" s="39">
        <v>-66080.619770000034</v>
      </c>
      <c r="W27" s="39">
        <v>-47863.138729999999</v>
      </c>
      <c r="X27" s="39">
        <v>-45808.206114329805</v>
      </c>
      <c r="Y27" s="39">
        <v>-23340</v>
      </c>
      <c r="Z27" s="39">
        <v>-22254</v>
      </c>
      <c r="AA27" s="39">
        <v>-36376.296000000002</v>
      </c>
      <c r="AB27" s="39">
        <v>-116701</v>
      </c>
      <c r="AC27" s="39">
        <v>-13559</v>
      </c>
      <c r="AD27" s="39">
        <v>-34193</v>
      </c>
      <c r="AE27" s="39">
        <v>-30799</v>
      </c>
      <c r="AF27" s="44">
        <v>-39045</v>
      </c>
      <c r="AG27" s="44">
        <v>-38343</v>
      </c>
      <c r="AH27" s="44">
        <v>-39088</v>
      </c>
      <c r="AI27" s="44">
        <v>-36246</v>
      </c>
      <c r="AJ27" s="43">
        <v>0</v>
      </c>
      <c r="AK27" s="43">
        <v>0</v>
      </c>
      <c r="AL27" s="43">
        <v>0</v>
      </c>
      <c r="AM27" s="43">
        <v>0</v>
      </c>
      <c r="AO27" s="39">
        <v>0</v>
      </c>
      <c r="AP27" s="39">
        <v>-152722</v>
      </c>
      <c r="AQ27" s="39">
        <v>-195252</v>
      </c>
      <c r="AR27" s="39">
        <v>-127778.50211432981</v>
      </c>
      <c r="AS27" s="39">
        <v>-203694.88375187607</v>
      </c>
      <c r="AT27" s="39">
        <v>-332721.68638999993</v>
      </c>
      <c r="AU27" s="39">
        <v>-451973.43364166189</v>
      </c>
      <c r="AV27" s="39">
        <v>-303093.25680764508</v>
      </c>
      <c r="AW27" s="39">
        <v>-379640.57505999994</v>
      </c>
      <c r="AX27" s="128"/>
      <c r="AY27" s="128"/>
      <c r="AZ27" s="128"/>
    </row>
    <row r="28" spans="2:52" ht="14.45" customHeight="1" x14ac:dyDescent="0.2">
      <c r="B28" s="117" t="s">
        <v>804</v>
      </c>
      <c r="C28" s="109" t="s">
        <v>113</v>
      </c>
      <c r="D28" s="110">
        <v>140780.57834000071</v>
      </c>
      <c r="E28" s="110">
        <v>83994.316669999898</v>
      </c>
      <c r="F28" s="110">
        <v>79810.915740000128</v>
      </c>
      <c r="G28" s="110">
        <v>75582.297629999914</v>
      </c>
      <c r="H28" s="110">
        <v>157818.74222000013</v>
      </c>
      <c r="I28" s="110">
        <v>115388.84448000004</v>
      </c>
      <c r="J28" s="110">
        <v>90123.21569000007</v>
      </c>
      <c r="K28" s="110">
        <v>68256.46153000003</v>
      </c>
      <c r="L28" s="110">
        <v>140478.65976700294</v>
      </c>
      <c r="M28" s="112">
        <v>67089.124919999638</v>
      </c>
      <c r="N28" s="112">
        <v>-1242.6554536434378</v>
      </c>
      <c r="O28" s="112">
        <v>34276.150209999978</v>
      </c>
      <c r="P28" s="112">
        <v>87474.757560000842</v>
      </c>
      <c r="Q28" s="112">
        <v>15054.831240000032</v>
      </c>
      <c r="R28" s="112">
        <v>32924.169359999738</v>
      </c>
      <c r="S28" s="112">
        <v>70309.133600000074</v>
      </c>
      <c r="T28" s="112">
        <v>190487.17884389951</v>
      </c>
      <c r="U28" s="112">
        <v>144293.72386000014</v>
      </c>
      <c r="V28" s="112">
        <v>49261.003460000211</v>
      </c>
      <c r="W28" s="112">
        <v>-51109.50860999999</v>
      </c>
      <c r="X28" s="112">
        <v>55177.129350702016</v>
      </c>
      <c r="Y28" s="112">
        <v>-30125.932859999943</v>
      </c>
      <c r="Z28" s="112">
        <v>-115103.85832</v>
      </c>
      <c r="AA28" s="112">
        <v>-14805.451680000013</v>
      </c>
      <c r="AB28" s="112">
        <v>95739.969189999974</v>
      </c>
      <c r="AC28" s="112">
        <v>51103.96168</v>
      </c>
      <c r="AD28" s="112">
        <v>17610</v>
      </c>
      <c r="AE28" s="112">
        <v>2845</v>
      </c>
      <c r="AF28" s="105">
        <v>48863</v>
      </c>
      <c r="AG28" s="105">
        <v>40767</v>
      </c>
      <c r="AH28" s="105">
        <v>8232</v>
      </c>
      <c r="AI28" s="105">
        <v>-9646</v>
      </c>
      <c r="AJ28" s="105">
        <v>36865</v>
      </c>
      <c r="AK28" s="105">
        <v>-4430.6961499999998</v>
      </c>
      <c r="AL28" s="105">
        <v>-29914.632120000137</v>
      </c>
      <c r="AM28" s="105">
        <v>-34954.094679999776</v>
      </c>
      <c r="AN28" s="125"/>
      <c r="AO28" s="115">
        <v>-32434</v>
      </c>
      <c r="AP28" s="115">
        <v>88216</v>
      </c>
      <c r="AQ28" s="110">
        <v>167298.93086999998</v>
      </c>
      <c r="AR28" s="110">
        <v>-104858.11350929792</v>
      </c>
      <c r="AS28" s="110">
        <v>332932.39755389991</v>
      </c>
      <c r="AT28" s="110">
        <v>205762.89176000067</v>
      </c>
      <c r="AU28" s="112">
        <v>240601.27944335912</v>
      </c>
      <c r="AV28" s="112">
        <v>431587.26392000023</v>
      </c>
      <c r="AW28" s="112">
        <v>380168.10838000069</v>
      </c>
      <c r="AX28" s="128"/>
      <c r="AY28" s="128"/>
      <c r="AZ28" s="128"/>
    </row>
    <row r="29" spans="2:52" ht="14.45" customHeight="1" x14ac:dyDescent="0.2">
      <c r="B29" s="53" t="s">
        <v>805</v>
      </c>
      <c r="C29" s="42" t="s">
        <v>864</v>
      </c>
      <c r="D29" s="43">
        <v>21649.078626800001</v>
      </c>
      <c r="E29" s="43">
        <v>19808.169056999996</v>
      </c>
      <c r="F29" s="43">
        <v>7363.6170524000008</v>
      </c>
      <c r="G29" s="43">
        <v>-1365.4114912000005</v>
      </c>
      <c r="H29" s="43">
        <v>12597.778196000008</v>
      </c>
      <c r="I29" s="43">
        <v>5738.6678781999963</v>
      </c>
      <c r="J29" s="43">
        <v>-16900.554599400006</v>
      </c>
      <c r="K29" s="43">
        <v>-15479.033820399998</v>
      </c>
      <c r="L29" s="43">
        <v>824.43205840002338</v>
      </c>
      <c r="M29" s="39">
        <v>3426.5653303999934</v>
      </c>
      <c r="N29" s="39">
        <v>330.64345540000409</v>
      </c>
      <c r="O29" s="39">
        <v>-17413.045474999999</v>
      </c>
      <c r="P29" s="39">
        <v>-16996.694210000009</v>
      </c>
      <c r="Q29" s="39">
        <v>31179.716850000004</v>
      </c>
      <c r="R29" s="39">
        <v>18519.845485599988</v>
      </c>
      <c r="S29" s="39">
        <v>-31972.947495599994</v>
      </c>
      <c r="T29" s="39">
        <v>122687.34129180002</v>
      </c>
      <c r="U29" s="39">
        <v>-19216.736675000007</v>
      </c>
      <c r="V29" s="39">
        <v>849.12051319998227</v>
      </c>
      <c r="W29" s="39">
        <v>34610.630520000006</v>
      </c>
      <c r="X29" s="39">
        <v>-8659.7793200000306</v>
      </c>
      <c r="Y29" s="39">
        <v>14900</v>
      </c>
      <c r="Z29" s="39">
        <v>40850</v>
      </c>
      <c r="AA29" s="39">
        <v>10241.6054</v>
      </c>
      <c r="AB29" s="39">
        <v>-32086</v>
      </c>
      <c r="AC29" s="39">
        <v>-7158.2869712000002</v>
      </c>
      <c r="AD29" s="39">
        <v>23371.33</v>
      </c>
      <c r="AE29" s="39">
        <v>-585</v>
      </c>
      <c r="AF29" s="44">
        <v>74028</v>
      </c>
      <c r="AG29" s="44">
        <v>-2380</v>
      </c>
      <c r="AH29" s="44">
        <v>-10671</v>
      </c>
      <c r="AI29" s="44">
        <v>-446</v>
      </c>
      <c r="AJ29" s="44">
        <v>9286</v>
      </c>
      <c r="AK29" s="44">
        <v>199667</v>
      </c>
      <c r="AL29" s="44">
        <v>149427.42294999992</v>
      </c>
      <c r="AM29" s="44">
        <v>1065</v>
      </c>
      <c r="AO29" s="39">
        <v>359445</v>
      </c>
      <c r="AP29" s="39">
        <v>60531</v>
      </c>
      <c r="AQ29" s="43">
        <v>-16457.956971200008</v>
      </c>
      <c r="AR29" s="43">
        <v>57331.82607999997</v>
      </c>
      <c r="AS29" s="43">
        <v>138930.35565000004</v>
      </c>
      <c r="AT29" s="43">
        <v>729.92062999998598</v>
      </c>
      <c r="AU29" s="39">
        <v>-12831.404630799978</v>
      </c>
      <c r="AV29" s="39">
        <v>-14043.142345599999</v>
      </c>
      <c r="AW29" s="39">
        <v>47455.453245000004</v>
      </c>
      <c r="AX29" s="128"/>
      <c r="AY29" s="128"/>
      <c r="AZ29" s="128"/>
    </row>
    <row r="30" spans="2:52" s="127" customFormat="1" ht="14.45" customHeight="1" x14ac:dyDescent="0.2">
      <c r="B30" s="116" t="s">
        <v>806</v>
      </c>
      <c r="C30" s="109" t="s">
        <v>117</v>
      </c>
      <c r="D30" s="110">
        <v>162429.65696680063</v>
      </c>
      <c r="E30" s="110">
        <v>103802.48572699992</v>
      </c>
      <c r="F30" s="110">
        <v>87174.532792400132</v>
      </c>
      <c r="G30" s="110">
        <v>74216.886138799906</v>
      </c>
      <c r="H30" s="110">
        <v>170416.52041600013</v>
      </c>
      <c r="I30" s="110">
        <v>121127.51235820004</v>
      </c>
      <c r="J30" s="110">
        <v>73222.661090599897</v>
      </c>
      <c r="K30" s="110">
        <v>52777.42770960003</v>
      </c>
      <c r="L30" s="110">
        <v>141303.09182540289</v>
      </c>
      <c r="M30" s="110">
        <v>70515.690250399653</v>
      </c>
      <c r="N30" s="110">
        <v>-912.01199824344076</v>
      </c>
      <c r="O30" s="110">
        <v>16863.104734999979</v>
      </c>
      <c r="P30" s="110">
        <v>70478.063350000753</v>
      </c>
      <c r="Q30" s="110">
        <v>46234.54809000004</v>
      </c>
      <c r="R30" s="110">
        <v>51444.014845599726</v>
      </c>
      <c r="S30" s="110">
        <v>38336.186104400076</v>
      </c>
      <c r="T30" s="110">
        <v>313174.5201356996</v>
      </c>
      <c r="U30" s="110">
        <v>125076.98718500014</v>
      </c>
      <c r="V30" s="110">
        <v>50110.1239732002</v>
      </c>
      <c r="W30" s="110">
        <v>-16498.878089999991</v>
      </c>
      <c r="X30" s="110">
        <v>46518</v>
      </c>
      <c r="Y30" s="110">
        <v>-15225.932859999943</v>
      </c>
      <c r="Z30" s="110">
        <v>-74255</v>
      </c>
      <c r="AA30" s="110">
        <v>-4563.8462800000125</v>
      </c>
      <c r="AB30" s="110">
        <v>63653.969189999974</v>
      </c>
      <c r="AC30" s="110">
        <v>43945.674708799997</v>
      </c>
      <c r="AD30" s="110">
        <v>40982</v>
      </c>
      <c r="AE30" s="110">
        <v>2260</v>
      </c>
      <c r="AF30" s="113">
        <v>122892</v>
      </c>
      <c r="AG30" s="113">
        <v>38387</v>
      </c>
      <c r="AH30" s="113">
        <v>-2439</v>
      </c>
      <c r="AI30" s="113">
        <v>-10092</v>
      </c>
      <c r="AJ30" s="113">
        <v>46151.230250000299</v>
      </c>
      <c r="AK30" s="113">
        <v>195236.07359999968</v>
      </c>
      <c r="AL30" s="113">
        <v>119512.79082999979</v>
      </c>
      <c r="AM30" s="105">
        <v>-33889.094679999776</v>
      </c>
      <c r="AN30" s="130"/>
      <c r="AO30" s="113">
        <v>327011</v>
      </c>
      <c r="AP30" s="113">
        <v>148748</v>
      </c>
      <c r="AQ30" s="110">
        <v>150840.97389879997</v>
      </c>
      <c r="AR30" s="110">
        <v>-47526.287429298056</v>
      </c>
      <c r="AS30" s="110">
        <v>471862.75320389995</v>
      </c>
      <c r="AT30" s="110">
        <v>206492.81239000062</v>
      </c>
      <c r="AU30" s="112">
        <v>227769.87481255908</v>
      </c>
      <c r="AV30" s="112">
        <v>417544.12157440011</v>
      </c>
      <c r="AW30" s="112">
        <v>427623.56162500061</v>
      </c>
      <c r="AX30" s="128"/>
      <c r="AY30" s="128"/>
      <c r="AZ30" s="128"/>
    </row>
    <row r="31" spans="2:52" s="135" customFormat="1" ht="14.45" customHeight="1" x14ac:dyDescent="0.2">
      <c r="B31" s="49" t="s">
        <v>779</v>
      </c>
      <c r="C31" s="49" t="s">
        <v>866</v>
      </c>
      <c r="D31" s="50">
        <v>6.6903169975023241E-2</v>
      </c>
      <c r="E31" s="50">
        <v>5.3602533679968478E-2</v>
      </c>
      <c r="F31" s="50">
        <v>4.7958702091874417E-2</v>
      </c>
      <c r="G31" s="50">
        <v>4.7747583498278005E-2</v>
      </c>
      <c r="H31" s="50">
        <v>7.8450892575968975E-2</v>
      </c>
      <c r="I31" s="50">
        <v>6.8422489650384596E-2</v>
      </c>
      <c r="J31" s="50">
        <v>4.2721909317903692E-2</v>
      </c>
      <c r="K31" s="50">
        <v>3.5297456566295661E-2</v>
      </c>
      <c r="L31" s="50">
        <v>6.6335105286632556E-2</v>
      </c>
      <c r="M31" s="50">
        <v>3.9322555641642838E-2</v>
      </c>
      <c r="N31" s="50">
        <v>-5.7253184862864862E-4</v>
      </c>
      <c r="O31" s="50">
        <v>1.1454965385042365E-2</v>
      </c>
      <c r="P31" s="50">
        <v>3.5539464590447947E-2</v>
      </c>
      <c r="Q31" s="50">
        <v>3.145251475183828E-2</v>
      </c>
      <c r="R31" s="50">
        <v>3.5163203142960446E-2</v>
      </c>
      <c r="S31" s="50">
        <v>2.8510642970986055E-2</v>
      </c>
      <c r="T31" s="50">
        <v>0.18602979127092351</v>
      </c>
      <c r="U31" s="50">
        <v>8.3870255324210552E-2</v>
      </c>
      <c r="V31" s="50">
        <v>4.462778232475418E-2</v>
      </c>
      <c r="W31" s="50">
        <v>-2.029790626031025E-2</v>
      </c>
      <c r="X31" s="50">
        <v>4.3310917163031634E-2</v>
      </c>
      <c r="Y31" s="50">
        <v>-2.6757321760585307E-2</v>
      </c>
      <c r="Z31" s="50">
        <v>-0.3102027735908961</v>
      </c>
      <c r="AA31" s="50">
        <v>-9.0263269088140426E-3</v>
      </c>
      <c r="AB31" s="50">
        <v>7.4736757730633319E-2</v>
      </c>
      <c r="AC31" s="50">
        <v>7.0765639954718407E-2</v>
      </c>
      <c r="AD31" s="50">
        <v>7.5121609159109884E-2</v>
      </c>
      <c r="AE31" s="50">
        <v>4.2869866339995495E-3</v>
      </c>
      <c r="AF31" s="133">
        <v>0.16841187812709416</v>
      </c>
      <c r="AG31" s="133">
        <v>6.7906497880741282E-2</v>
      </c>
      <c r="AH31" s="133">
        <v>-4.6976750456959168E-3</v>
      </c>
      <c r="AI31" s="133">
        <v>-2.1898142823975123E-2</v>
      </c>
      <c r="AJ31" s="133">
        <v>7.401130626874336E-2</v>
      </c>
      <c r="AK31" s="133">
        <v>0.40146754019074343</v>
      </c>
      <c r="AL31" s="133">
        <v>0.27526559082587465</v>
      </c>
      <c r="AM31" s="61">
        <v>-7.9828642217264503E-2</v>
      </c>
      <c r="AN31" s="134"/>
      <c r="AO31" s="133">
        <v>0.16611587397201472</v>
      </c>
      <c r="AP31" s="133">
        <v>6.5382098118860324E-2</v>
      </c>
      <c r="AQ31" s="50">
        <v>5.9259711709413986E-2</v>
      </c>
      <c r="AR31" s="50">
        <v>-1.9901647861156741E-2</v>
      </c>
      <c r="AS31" s="50">
        <v>9.2332700877831048E-2</v>
      </c>
      <c r="AT31" s="50">
        <v>3.2982349109615852E-2</v>
      </c>
      <c r="AU31" s="34">
        <v>3.2591301437297673E-2</v>
      </c>
      <c r="AV31" s="34">
        <v>5.8383783464271657E-2</v>
      </c>
      <c r="AW31" s="34">
        <v>5.5274138237578659E-2</v>
      </c>
      <c r="AX31" s="128"/>
      <c r="AY31" s="128"/>
      <c r="AZ31" s="128"/>
    </row>
    <row r="32" spans="2:52" ht="15.75" customHeight="1" thickBot="1" x14ac:dyDescent="0.25">
      <c r="M32" s="34"/>
      <c r="N32" s="34"/>
      <c r="O32" s="34"/>
      <c r="P32" s="34"/>
      <c r="Q32" s="34"/>
      <c r="R32" s="34"/>
      <c r="S32" s="34"/>
      <c r="T32" s="34"/>
      <c r="U32" s="34"/>
      <c r="V32" s="34"/>
      <c r="W32" s="34"/>
      <c r="X32" s="34"/>
      <c r="Y32" s="34"/>
      <c r="Z32" s="34"/>
      <c r="AA32" s="34"/>
      <c r="AB32" s="34"/>
      <c r="AC32" s="34"/>
      <c r="AD32" s="34"/>
      <c r="AE32" s="34"/>
      <c r="AF32" s="62"/>
      <c r="AG32" s="62"/>
      <c r="AH32" s="62"/>
      <c r="AI32" s="62"/>
      <c r="AJ32" s="62"/>
      <c r="AK32" s="62"/>
      <c r="AL32" s="62"/>
      <c r="AM32" s="62"/>
      <c r="AO32" s="63"/>
      <c r="AP32" s="63"/>
      <c r="AQ32" s="50"/>
      <c r="AR32" s="50"/>
      <c r="AS32" s="50"/>
      <c r="AT32" s="50"/>
      <c r="AU32" s="34"/>
      <c r="AV32" s="34"/>
      <c r="AW32" s="34"/>
    </row>
    <row r="33" spans="2:52" ht="15" customHeight="1" thickBot="1" x14ac:dyDescent="0.25">
      <c r="B33" s="108" t="s">
        <v>789</v>
      </c>
      <c r="C33" s="99" t="s">
        <v>770</v>
      </c>
      <c r="D33" s="138"/>
      <c r="E33" s="138"/>
      <c r="F33" s="138"/>
      <c r="G33" s="138"/>
      <c r="H33" s="138"/>
      <c r="I33" s="138"/>
      <c r="J33" s="138"/>
      <c r="K33" s="138"/>
      <c r="L33" s="138"/>
      <c r="M33" s="64"/>
      <c r="N33" s="64"/>
      <c r="O33" s="64"/>
      <c r="P33" s="64"/>
      <c r="Q33" s="64"/>
      <c r="R33" s="64"/>
      <c r="S33" s="64"/>
      <c r="T33" s="64"/>
      <c r="U33" s="64"/>
      <c r="V33" s="64"/>
      <c r="W33" s="64"/>
      <c r="X33" s="64"/>
      <c r="Y33" s="64"/>
      <c r="Z33" s="64"/>
      <c r="AA33" s="64"/>
      <c r="AB33" s="64"/>
      <c r="AC33" s="64"/>
      <c r="AD33" s="64"/>
      <c r="AE33" s="64"/>
      <c r="AI33" s="125"/>
      <c r="AJ33" s="125"/>
      <c r="AK33" s="125"/>
      <c r="AL33" s="125"/>
      <c r="AM33" s="125"/>
      <c r="AQ33" s="74"/>
      <c r="AR33" s="74"/>
      <c r="AS33" s="74"/>
      <c r="AT33" s="74"/>
      <c r="AU33" s="64"/>
      <c r="AV33" s="64"/>
      <c r="AW33" s="64"/>
    </row>
    <row r="34" spans="2:52" ht="15.6" customHeight="1" x14ac:dyDescent="0.2">
      <c r="B34" s="120" t="s">
        <v>790</v>
      </c>
      <c r="C34" s="109" t="s">
        <v>778</v>
      </c>
      <c r="D34" s="110">
        <v>224595.78063000058</v>
      </c>
      <c r="E34" s="110">
        <v>169000.74753999987</v>
      </c>
      <c r="F34" s="110">
        <v>167392.49495000017</v>
      </c>
      <c r="G34" s="110">
        <v>144474.52605999989</v>
      </c>
      <c r="H34" s="110">
        <v>236091.98941000018</v>
      </c>
      <c r="I34" s="110">
        <v>201112.80259000004</v>
      </c>
      <c r="J34" s="110">
        <v>175959.93059999967</v>
      </c>
      <c r="K34" s="110">
        <v>159193.66038000002</v>
      </c>
      <c r="L34" s="110">
        <v>211428.39616000073</v>
      </c>
      <c r="M34" s="112">
        <v>169436.08126999962</v>
      </c>
      <c r="N34" s="112">
        <v>92361.541990000202</v>
      </c>
      <c r="O34" s="112">
        <v>133718.14770999999</v>
      </c>
      <c r="P34" s="112">
        <v>160580.42529000062</v>
      </c>
      <c r="Q34" s="112">
        <v>97249.670030000023</v>
      </c>
      <c r="R34" s="112">
        <v>90631.178729999723</v>
      </c>
      <c r="S34" s="112">
        <v>120474.71367000008</v>
      </c>
      <c r="T34" s="112">
        <v>209967.38145999957</v>
      </c>
      <c r="U34" s="112">
        <v>192416.11775000012</v>
      </c>
      <c r="V34" s="112">
        <v>93169.407010000243</v>
      </c>
      <c r="W34" s="112">
        <v>-13044.571280000007</v>
      </c>
      <c r="X34" s="112">
        <v>110045.68110999982</v>
      </c>
      <c r="Y34" s="112">
        <v>1430.0671400000574</v>
      </c>
      <c r="Z34" s="112">
        <v>-84857.572209999984</v>
      </c>
      <c r="AA34" s="112">
        <v>5141.5582099999847</v>
      </c>
      <c r="AB34" s="112">
        <v>120986.96919</v>
      </c>
      <c r="AC34" s="112">
        <v>78113.527000000002</v>
      </c>
      <c r="AD34" s="112">
        <v>65025.023000000001</v>
      </c>
      <c r="AE34" s="112">
        <v>46705</v>
      </c>
      <c r="AI34" s="125"/>
      <c r="AJ34" s="125"/>
      <c r="AK34" s="125"/>
      <c r="AL34" s="125"/>
      <c r="AM34" s="125"/>
      <c r="AO34" s="105">
        <v>0</v>
      </c>
      <c r="AP34" s="105">
        <v>0</v>
      </c>
      <c r="AQ34" s="110">
        <v>310830.51919000002</v>
      </c>
      <c r="AR34" s="110">
        <v>31759.734249999878</v>
      </c>
      <c r="AS34" s="110">
        <v>482508.33493999997</v>
      </c>
      <c r="AT34" s="110">
        <v>468935.9877200005</v>
      </c>
      <c r="AU34" s="112">
        <v>606944.16713000042</v>
      </c>
      <c r="AV34" s="112">
        <v>772358.38297999999</v>
      </c>
      <c r="AW34" s="112">
        <v>705463.54918000055</v>
      </c>
    </row>
    <row r="35" spans="2:52" ht="15.75" customHeight="1" x14ac:dyDescent="0.2">
      <c r="B35" s="38" t="s">
        <v>765</v>
      </c>
      <c r="C35" s="53" t="s">
        <v>817</v>
      </c>
      <c r="D35" s="39">
        <v>86543.728322999785</v>
      </c>
      <c r="E35" s="39">
        <v>75529.8973999999</v>
      </c>
      <c r="F35" s="39">
        <v>74233.671060000081</v>
      </c>
      <c r="G35" s="39">
        <v>71784.74291000003</v>
      </c>
      <c r="H35" s="39">
        <v>68021.204910000321</v>
      </c>
      <c r="I35" s="39">
        <v>75449.686109999951</v>
      </c>
      <c r="J35" s="39">
        <v>67125.045229999989</v>
      </c>
      <c r="K35" s="39">
        <v>61800.132329999993</v>
      </c>
      <c r="L35" s="39">
        <v>72808.226819999749</v>
      </c>
      <c r="M35" s="39">
        <v>64883.25187999988</v>
      </c>
      <c r="N35" s="39">
        <v>61053.439079999924</v>
      </c>
      <c r="O35" s="39">
        <v>48300.302450000134</v>
      </c>
      <c r="P35" s="39">
        <v>59623.554590000072</v>
      </c>
      <c r="Q35" s="39">
        <v>63398.702250000089</v>
      </c>
      <c r="R35" s="39">
        <v>56095.457439999969</v>
      </c>
      <c r="S35" s="39">
        <v>56513.838389999932</v>
      </c>
      <c r="T35" s="39">
        <v>55357.965359999973</v>
      </c>
      <c r="U35" s="39">
        <v>47782.762729999493</v>
      </c>
      <c r="V35" s="39">
        <v>56237.773520002898</v>
      </c>
      <c r="W35" s="39">
        <v>49257.529630000063</v>
      </c>
      <c r="X35" s="39">
        <v>46130.816070000117</v>
      </c>
      <c r="Y35" s="39">
        <v>40580</v>
      </c>
      <c r="Z35" s="39">
        <v>41177.666599999997</v>
      </c>
      <c r="AA35" s="39">
        <v>37176.665999999997</v>
      </c>
      <c r="AB35" s="39">
        <v>46461</v>
      </c>
      <c r="AC35" s="39">
        <v>32639</v>
      </c>
      <c r="AD35" s="39">
        <v>34980</v>
      </c>
      <c r="AE35" s="39">
        <v>31565</v>
      </c>
      <c r="AI35" s="125"/>
      <c r="AJ35" s="125"/>
      <c r="AK35" s="125"/>
      <c r="AL35" s="125"/>
      <c r="AM35" s="125"/>
      <c r="AO35" s="39">
        <v>0</v>
      </c>
      <c r="AP35" s="39">
        <v>0</v>
      </c>
      <c r="AQ35" s="43">
        <v>145645</v>
      </c>
      <c r="AR35" s="43">
        <v>165065.14867000002</v>
      </c>
      <c r="AS35" s="43">
        <v>208636.03124000225</v>
      </c>
      <c r="AT35" s="43">
        <v>235631.55267000012</v>
      </c>
      <c r="AU35" s="39">
        <v>247045.22022999969</v>
      </c>
      <c r="AV35" s="39">
        <v>272396.06858000025</v>
      </c>
      <c r="AW35" s="39">
        <v>308092.0396929998</v>
      </c>
      <c r="AX35" s="128"/>
      <c r="AY35" s="128"/>
      <c r="AZ35" s="128"/>
    </row>
    <row r="36" spans="2:52" ht="15.75" customHeight="1" x14ac:dyDescent="0.2">
      <c r="B36" s="38" t="s">
        <v>795</v>
      </c>
      <c r="C36" s="53" t="s">
        <v>818</v>
      </c>
      <c r="D36" s="39">
        <v>3297.160120000015</v>
      </c>
      <c r="E36" s="39">
        <v>883.43187999998918</v>
      </c>
      <c r="F36" s="39">
        <v>1104.8359999999811</v>
      </c>
      <c r="G36" s="39">
        <v>1372.5890000000072</v>
      </c>
      <c r="H36" s="39">
        <v>12992.044630000019</v>
      </c>
      <c r="I36" s="39">
        <v>-4608.1964899999439</v>
      </c>
      <c r="J36" s="39">
        <v>4487.8579199999804</v>
      </c>
      <c r="K36" s="39">
        <v>8633.8489399999962</v>
      </c>
      <c r="L36" s="39">
        <v>7693.7490300000063</v>
      </c>
      <c r="M36" s="39">
        <v>5478.3823399999819</v>
      </c>
      <c r="N36" s="39">
        <v>5591.0156900000147</v>
      </c>
      <c r="O36" s="39">
        <v>17201.295499999993</v>
      </c>
      <c r="P36" s="39">
        <v>6402.6247500000172</v>
      </c>
      <c r="Q36" s="39">
        <v>382.20756000000983</v>
      </c>
      <c r="R36" s="39">
        <v>8037.1154800000222</v>
      </c>
      <c r="S36" s="39">
        <v>8898.9259899999888</v>
      </c>
      <c r="T36" s="39">
        <v>7053.0292600002867</v>
      </c>
      <c r="U36" s="39">
        <v>10807.450630000036</v>
      </c>
      <c r="V36" s="39">
        <v>-266.98267999984091</v>
      </c>
      <c r="W36" s="39">
        <v>3271.2908100000059</v>
      </c>
      <c r="X36" s="39">
        <v>6746.6999500000093</v>
      </c>
      <c r="Y36" s="39">
        <v>6228</v>
      </c>
      <c r="Z36" s="39">
        <v>5648</v>
      </c>
      <c r="AA36" s="39">
        <v>1241</v>
      </c>
      <c r="AB36" s="39">
        <v>-1225</v>
      </c>
      <c r="AC36" s="39">
        <v>3886</v>
      </c>
      <c r="AD36" s="39">
        <v>-793</v>
      </c>
      <c r="AE36" s="39">
        <v>3147</v>
      </c>
      <c r="AO36" s="39">
        <v>0</v>
      </c>
      <c r="AP36" s="39">
        <v>0</v>
      </c>
      <c r="AQ36" s="43">
        <v>5015</v>
      </c>
      <c r="AR36" s="43">
        <v>19863.699950000009</v>
      </c>
      <c r="AS36" s="43">
        <v>20864.788020000502</v>
      </c>
      <c r="AT36" s="43">
        <v>23720.873780000024</v>
      </c>
      <c r="AU36" s="39">
        <v>35964.442559999996</v>
      </c>
      <c r="AV36" s="39">
        <v>21505.555000000051</v>
      </c>
      <c r="AW36" s="39">
        <v>6658.0169999999925</v>
      </c>
      <c r="AX36" s="128"/>
      <c r="AY36" s="128"/>
      <c r="AZ36" s="128"/>
    </row>
    <row r="37" spans="2:52" ht="15.75" customHeight="1" x14ac:dyDescent="0.2">
      <c r="B37" s="38" t="s">
        <v>794</v>
      </c>
      <c r="C37" s="53" t="s">
        <v>819</v>
      </c>
      <c r="D37" s="39">
        <v>0.60352000000420958</v>
      </c>
      <c r="E37" s="39">
        <v>2683.0851199999984</v>
      </c>
      <c r="F37" s="39">
        <v>48.731139999999414</v>
      </c>
      <c r="G37" s="39">
        <v>4479.8785300000009</v>
      </c>
      <c r="H37" s="39">
        <v>-2.9787200000009761</v>
      </c>
      <c r="I37" s="39">
        <v>4.0387200000059238</v>
      </c>
      <c r="J37" s="39">
        <v>-1.3321999999989202</v>
      </c>
      <c r="K37" s="39">
        <v>3916.3322499999995</v>
      </c>
      <c r="L37" s="39">
        <v>0.49734999999418505</v>
      </c>
      <c r="M37" s="39">
        <v>5.7299999998576823E-2</v>
      </c>
      <c r="N37" s="39">
        <v>731.39600999999766</v>
      </c>
      <c r="O37" s="39">
        <v>6706.5085699999918</v>
      </c>
      <c r="P37" s="39">
        <v>0.12744000000020606</v>
      </c>
      <c r="Q37" s="39">
        <v>10.711780000001454</v>
      </c>
      <c r="R37" s="39">
        <v>-0.58843000000069878</v>
      </c>
      <c r="S37" s="39">
        <v>-495.92529999999897</v>
      </c>
      <c r="T37" s="39">
        <v>-1353.4310899999982</v>
      </c>
      <c r="U37" s="39">
        <v>332.90672000000257</v>
      </c>
      <c r="V37" s="39">
        <v>669.50525999999445</v>
      </c>
      <c r="W37" s="39">
        <v>-2454.7926999999991</v>
      </c>
      <c r="X37" s="39">
        <v>-178.46769999999555</v>
      </c>
      <c r="Y37" s="39">
        <v>230</v>
      </c>
      <c r="Z37" s="39">
        <v>488</v>
      </c>
      <c r="AA37" s="39">
        <v>-45</v>
      </c>
      <c r="AB37" s="39">
        <v>-2</v>
      </c>
      <c r="AC37" s="39">
        <v>1</v>
      </c>
      <c r="AD37" s="39">
        <v>1</v>
      </c>
      <c r="AE37" s="39">
        <v>-0.44999999999999996</v>
      </c>
      <c r="AO37" s="39">
        <v>0</v>
      </c>
      <c r="AP37" s="39">
        <v>0</v>
      </c>
      <c r="AQ37" s="43">
        <v>-0.45000000001164153</v>
      </c>
      <c r="AR37" s="43">
        <v>494.53230000000622</v>
      </c>
      <c r="AS37" s="43">
        <v>-2805.8118099999992</v>
      </c>
      <c r="AT37" s="43">
        <v>-485.67450999999818</v>
      </c>
      <c r="AU37" s="39">
        <v>7438.4592299999822</v>
      </c>
      <c r="AV37" s="39">
        <v>3916.0600500000055</v>
      </c>
      <c r="AW37" s="39">
        <v>7212.2983100000029</v>
      </c>
      <c r="AX37" s="128"/>
      <c r="AY37" s="128"/>
      <c r="AZ37" s="128"/>
    </row>
    <row r="38" spans="2:52" s="127" customFormat="1" ht="15.75" customHeight="1" x14ac:dyDescent="0.2">
      <c r="B38" s="121" t="s">
        <v>791</v>
      </c>
      <c r="C38" s="109" t="s">
        <v>813</v>
      </c>
      <c r="D38" s="110">
        <v>314437.84000000003</v>
      </c>
      <c r="E38" s="110">
        <v>248096.51603999999</v>
      </c>
      <c r="F38" s="110">
        <v>242780.04</v>
      </c>
      <c r="G38" s="110">
        <v>222111.66</v>
      </c>
      <c r="H38" s="110">
        <v>317103.33999999997</v>
      </c>
      <c r="I38" s="110">
        <v>271956.74</v>
      </c>
      <c r="J38" s="110">
        <v>247572.7199999998</v>
      </c>
      <c r="K38" s="110">
        <v>233543.69</v>
      </c>
      <c r="L38" s="110">
        <v>291930.86936000048</v>
      </c>
      <c r="M38" s="110">
        <v>239798.56</v>
      </c>
      <c r="N38" s="110">
        <v>159936.32000000001</v>
      </c>
      <c r="O38" s="110">
        <v>205926.95</v>
      </c>
      <c r="P38" s="110">
        <v>226606.1887200005</v>
      </c>
      <c r="Q38" s="110">
        <v>161043.40294000006</v>
      </c>
      <c r="R38" s="110">
        <v>154763.59217999983</v>
      </c>
      <c r="S38" s="110">
        <v>185390.48798999997</v>
      </c>
      <c r="T38" s="110">
        <v>271023.4026400022</v>
      </c>
      <c r="U38" s="110">
        <v>251340.77067000075</v>
      </c>
      <c r="V38" s="110">
        <v>149809.03238000011</v>
      </c>
      <c r="W38" s="110">
        <v>37029.478789999914</v>
      </c>
      <c r="X38" s="110">
        <v>162745.53450999994</v>
      </c>
      <c r="Y38" s="110">
        <v>48468</v>
      </c>
      <c r="Z38" s="110">
        <v>-37544</v>
      </c>
      <c r="AA38" s="110">
        <v>43513.986000000004</v>
      </c>
      <c r="AB38" s="110">
        <v>166221.024</v>
      </c>
      <c r="AC38" s="110">
        <v>114639.527</v>
      </c>
      <c r="AD38" s="110">
        <v>99212.023000000001</v>
      </c>
      <c r="AE38" s="110">
        <v>81417</v>
      </c>
      <c r="AO38" s="145">
        <v>0</v>
      </c>
      <c r="AP38" s="145">
        <v>0</v>
      </c>
      <c r="AQ38" s="110">
        <v>461489.57400000002</v>
      </c>
      <c r="AR38" s="110">
        <v>217183.52050999994</v>
      </c>
      <c r="AS38" s="110">
        <v>709202.68448000296</v>
      </c>
      <c r="AT38" s="110">
        <v>727803.67183000036</v>
      </c>
      <c r="AU38" s="112">
        <v>897592.69936000044</v>
      </c>
      <c r="AV38" s="112">
        <v>1070176.4899999998</v>
      </c>
      <c r="AW38" s="112">
        <v>1027426.0560400001</v>
      </c>
      <c r="AX38" s="128"/>
      <c r="AY38" s="128"/>
      <c r="AZ38" s="128"/>
    </row>
    <row r="39" spans="2:52" s="127" customFormat="1" ht="15.75" customHeight="1" x14ac:dyDescent="0.2">
      <c r="B39" s="139" t="s">
        <v>808</v>
      </c>
      <c r="C39" s="49" t="s">
        <v>816</v>
      </c>
      <c r="D39" s="50">
        <v>0.12951383786028028</v>
      </c>
      <c r="E39" s="50">
        <v>0.12811448361547145</v>
      </c>
      <c r="F39" s="50">
        <v>0.13356441657039117</v>
      </c>
      <c r="G39" s="50">
        <v>0.14289598477571783</v>
      </c>
      <c r="H39" s="50">
        <v>0.14597786647147912</v>
      </c>
      <c r="I39" s="50">
        <v>0.1536228794410853</v>
      </c>
      <c r="J39" s="50">
        <v>0.14444680288715384</v>
      </c>
      <c r="K39" s="50">
        <v>0.15619363451106494</v>
      </c>
      <c r="L39" s="50">
        <v>0.13704770861873242</v>
      </c>
      <c r="M39" s="50">
        <v>0.13372190196113676</v>
      </c>
      <c r="N39" s="50">
        <v>0.10040288628749043</v>
      </c>
      <c r="O39" s="50">
        <v>0.13988444720985438</v>
      </c>
      <c r="P39" s="50">
        <v>0.11426906809281298</v>
      </c>
      <c r="Q39" s="50">
        <v>0.10955487218771222</v>
      </c>
      <c r="R39" s="50">
        <v>0.10578458246878257</v>
      </c>
      <c r="S39" s="50">
        <v>0.13787500923815441</v>
      </c>
      <c r="T39" s="50">
        <v>0.16099147210574025</v>
      </c>
      <c r="U39" s="50">
        <v>0.1685363157836347</v>
      </c>
      <c r="V39" s="50">
        <v>0.13341904503992644</v>
      </c>
      <c r="W39" s="50">
        <v>4.5555878723846317E-2</v>
      </c>
      <c r="X39" s="50">
        <v>0.15152751304972734</v>
      </c>
      <c r="Y39" s="50">
        <v>8.5175330997226892E-2</v>
      </c>
      <c r="Z39" s="50">
        <v>-0.15684374112260416</v>
      </c>
      <c r="AA39" s="50">
        <v>8.6061501339952343E-2</v>
      </c>
      <c r="AB39" s="50">
        <v>0.19516175595185681</v>
      </c>
      <c r="AC39" s="50">
        <v>0.1846038215596382</v>
      </c>
      <c r="AD39" s="50">
        <v>0.181862492400579</v>
      </c>
      <c r="AE39" s="50">
        <v>0.15443964193820414</v>
      </c>
      <c r="AO39" s="39">
        <v>0</v>
      </c>
      <c r="AP39" s="39">
        <v>0</v>
      </c>
      <c r="AQ39" s="50">
        <v>0.18130179357293211</v>
      </c>
      <c r="AR39" s="50">
        <v>9.0945667760528676E-2</v>
      </c>
      <c r="AS39" s="50">
        <v>0.1387746731082857</v>
      </c>
      <c r="AT39" s="50">
        <v>0.11624944476139928</v>
      </c>
      <c r="AU39" s="34">
        <v>0.12843539672150905</v>
      </c>
      <c r="AV39" s="34">
        <v>0.14963916202465588</v>
      </c>
      <c r="AW39" s="34">
        <v>0.13280393071569474</v>
      </c>
      <c r="AX39" s="128"/>
      <c r="AY39" s="128"/>
      <c r="AZ39" s="128"/>
    </row>
    <row r="40" spans="2:52" ht="15.75" customHeight="1" x14ac:dyDescent="0.2">
      <c r="B40" s="121" t="s">
        <v>792</v>
      </c>
      <c r="C40" s="109" t="s">
        <v>777</v>
      </c>
      <c r="D40" s="110">
        <v>162429.65696680063</v>
      </c>
      <c r="E40" s="110">
        <v>103802.48572699992</v>
      </c>
      <c r="F40" s="110">
        <v>87174.532792400132</v>
      </c>
      <c r="G40" s="110">
        <v>74216.886138799906</v>
      </c>
      <c r="H40" s="110">
        <v>170416.52041600013</v>
      </c>
      <c r="I40" s="110">
        <v>121127.51235820004</v>
      </c>
      <c r="J40" s="110">
        <v>73222.661090599897</v>
      </c>
      <c r="K40" s="110">
        <v>52777.42770960003</v>
      </c>
      <c r="L40" s="110">
        <v>141303.09182540289</v>
      </c>
      <c r="M40" s="112">
        <v>70515.690250399653</v>
      </c>
      <c r="N40" s="112">
        <v>-912.01199824344076</v>
      </c>
      <c r="O40" s="112">
        <v>16863.104734999979</v>
      </c>
      <c r="P40" s="112">
        <v>70478.063350000753</v>
      </c>
      <c r="Q40" s="112">
        <v>46234.54809000004</v>
      </c>
      <c r="R40" s="112">
        <v>51444.014845599726</v>
      </c>
      <c r="S40" s="112">
        <v>38336.186104400076</v>
      </c>
      <c r="T40" s="112">
        <v>313174.5201356996</v>
      </c>
      <c r="U40" s="112">
        <v>125076.98718500014</v>
      </c>
      <c r="V40" s="112">
        <v>50110.1239732002</v>
      </c>
      <c r="W40" s="112">
        <v>-16498.878089999991</v>
      </c>
      <c r="X40" s="112">
        <v>46517.350030701884</v>
      </c>
      <c r="Y40" s="112">
        <v>-15225.932859999943</v>
      </c>
      <c r="Z40" s="112">
        <v>-74253.858319999985</v>
      </c>
      <c r="AA40" s="112">
        <v>-4563.8462800000125</v>
      </c>
      <c r="AB40" s="112">
        <v>63653.969189999974</v>
      </c>
      <c r="AC40" s="112">
        <v>43945.674708799997</v>
      </c>
      <c r="AD40" s="112">
        <v>40981.33</v>
      </c>
      <c r="AE40" s="112">
        <v>2260</v>
      </c>
      <c r="AO40" s="105">
        <v>0</v>
      </c>
      <c r="AP40" s="105">
        <v>0</v>
      </c>
      <c r="AQ40" s="110">
        <v>150840.97389879997</v>
      </c>
      <c r="AR40" s="110">
        <v>-47526.287429298056</v>
      </c>
      <c r="AS40" s="110">
        <v>471862.75320389995</v>
      </c>
      <c r="AT40" s="110">
        <v>206492.81239000062</v>
      </c>
      <c r="AU40" s="112">
        <v>227769.87481255908</v>
      </c>
      <c r="AV40" s="112">
        <v>417544.12157440011</v>
      </c>
      <c r="AW40" s="112">
        <v>427623.56162500061</v>
      </c>
      <c r="AX40" s="128"/>
      <c r="AY40" s="128"/>
      <c r="AZ40" s="128"/>
    </row>
    <row r="41" spans="2:52" ht="15.75" customHeight="1" x14ac:dyDescent="0.2">
      <c r="B41" s="66" t="s">
        <v>767</v>
      </c>
      <c r="C41" s="42" t="s">
        <v>766</v>
      </c>
      <c r="D41" s="44">
        <v>89841.491962999804</v>
      </c>
      <c r="E41" s="44">
        <v>79096.414399999892</v>
      </c>
      <c r="F41" s="44">
        <v>75387.238200000065</v>
      </c>
      <c r="G41" s="44">
        <v>77637.210440000039</v>
      </c>
      <c r="H41" s="44">
        <v>81010.27082000034</v>
      </c>
      <c r="I41" s="44">
        <v>70845.528340000019</v>
      </c>
      <c r="J41" s="44">
        <v>71611.570949999965</v>
      </c>
      <c r="K41" s="44">
        <v>74350.313519999996</v>
      </c>
      <c r="L41" s="44">
        <v>80502.473199999746</v>
      </c>
      <c r="M41" s="44">
        <v>70361.691519999862</v>
      </c>
      <c r="N41" s="44">
        <v>67375.850779999935</v>
      </c>
      <c r="O41" s="44">
        <v>72208.106520000118</v>
      </c>
      <c r="P41" s="44">
        <v>66026.306780000086</v>
      </c>
      <c r="Q41" s="44">
        <v>63791.621590000097</v>
      </c>
      <c r="R41" s="44">
        <v>64131.984489999988</v>
      </c>
      <c r="S41" s="44">
        <v>64916.839079999918</v>
      </c>
      <c r="T41" s="44">
        <v>61057.563530000261</v>
      </c>
      <c r="U41" s="44">
        <v>58923.120079999528</v>
      </c>
      <c r="V41" s="44">
        <v>56640.296100003048</v>
      </c>
      <c r="W41" s="44">
        <v>50074.02774000007</v>
      </c>
      <c r="X41" s="44">
        <v>52699.048320000133</v>
      </c>
      <c r="Y41" s="44">
        <v>47038</v>
      </c>
      <c r="Z41" s="44">
        <v>47313.666599999997</v>
      </c>
      <c r="AA41" s="44">
        <v>38372.665999999997</v>
      </c>
      <c r="AB41" s="44">
        <v>45234</v>
      </c>
      <c r="AC41" s="44">
        <v>36526</v>
      </c>
      <c r="AD41" s="44">
        <v>34188</v>
      </c>
      <c r="AE41" s="44">
        <v>34711.550000000003</v>
      </c>
      <c r="AO41" s="39">
        <v>0</v>
      </c>
      <c r="AP41" s="39">
        <v>0</v>
      </c>
      <c r="AQ41" s="44">
        <v>150659.54999999999</v>
      </c>
      <c r="AR41" s="44">
        <v>185423.38092000003</v>
      </c>
      <c r="AS41" s="44">
        <v>226695.00745000277</v>
      </c>
      <c r="AT41" s="44">
        <v>258866.75194000013</v>
      </c>
      <c r="AU41" s="44">
        <v>290448.12201999966</v>
      </c>
      <c r="AV41" s="44">
        <v>297817.68363000033</v>
      </c>
      <c r="AW41" s="44">
        <v>321962.35500299983</v>
      </c>
      <c r="AX41" s="128"/>
      <c r="AY41" s="128"/>
      <c r="AZ41" s="128"/>
    </row>
    <row r="42" spans="2:52" ht="15.75" customHeight="1" x14ac:dyDescent="0.2">
      <c r="B42" s="66" t="s">
        <v>771</v>
      </c>
      <c r="C42" s="67" t="s">
        <v>772</v>
      </c>
      <c r="D42" s="44">
        <v>-48119.661480000068</v>
      </c>
      <c r="E42" s="44">
        <v>-49518.153090000007</v>
      </c>
      <c r="F42" s="44">
        <v>-50086.488229999995</v>
      </c>
      <c r="G42" s="44">
        <v>-47125.850080000026</v>
      </c>
      <c r="H42" s="44">
        <v>-46574.199049999996</v>
      </c>
      <c r="I42" s="44">
        <v>-46285.263460000031</v>
      </c>
      <c r="J42" s="44">
        <v>-40770.545950000007</v>
      </c>
      <c r="K42" s="44">
        <v>-53548.548390000018</v>
      </c>
      <c r="L42" s="44">
        <v>-53157.079670000065</v>
      </c>
      <c r="M42" s="44">
        <v>-52870.787799999962</v>
      </c>
      <c r="N42" s="44">
        <v>-51498.125705020502</v>
      </c>
      <c r="O42" s="44">
        <v>-47680.290760000004</v>
      </c>
      <c r="P42" s="44">
        <v>-46821.044269999969</v>
      </c>
      <c r="Q42" s="44">
        <v>-43731.732360000009</v>
      </c>
      <c r="R42" s="44">
        <v>-44650.716659999991</v>
      </c>
      <c r="S42" s="44">
        <v>-47361.981809999954</v>
      </c>
      <c r="T42" s="44">
        <v>-42907.988645776175</v>
      </c>
      <c r="U42" s="44">
        <v>-48812.364949999908</v>
      </c>
      <c r="V42" s="44">
        <v>-42539.819090000005</v>
      </c>
      <c r="W42" s="44">
        <v>-40288.747620000002</v>
      </c>
      <c r="X42" s="44">
        <v>-32276.163795032</v>
      </c>
      <c r="Y42" s="44">
        <v>-32194</v>
      </c>
      <c r="Z42" s="44">
        <v>-33624.713889999999</v>
      </c>
      <c r="AA42" s="44">
        <v>-27761.286110000005</v>
      </c>
      <c r="AB42" s="44">
        <v>-18330</v>
      </c>
      <c r="AC42" s="44">
        <v>-33462</v>
      </c>
      <c r="AD42" s="44">
        <v>-30724</v>
      </c>
      <c r="AE42" s="44">
        <v>-30656</v>
      </c>
      <c r="AO42" s="39">
        <v>0</v>
      </c>
      <c r="AP42" s="39">
        <v>0</v>
      </c>
      <c r="AQ42" s="39">
        <v>-113172</v>
      </c>
      <c r="AR42" s="39">
        <v>-125856.163795032</v>
      </c>
      <c r="AS42" s="39">
        <v>-174548.92030577609</v>
      </c>
      <c r="AT42" s="39">
        <v>-182565.47509999992</v>
      </c>
      <c r="AU42" s="44">
        <v>-205206.28393502053</v>
      </c>
      <c r="AV42" s="44">
        <v>-187178.55685000005</v>
      </c>
      <c r="AW42" s="44">
        <v>-194850.1528800001</v>
      </c>
      <c r="AX42" s="128"/>
      <c r="AY42" s="128"/>
      <c r="AZ42" s="128"/>
    </row>
    <row r="43" spans="2:52" ht="15.75" customHeight="1" x14ac:dyDescent="0.2">
      <c r="B43" s="66" t="s">
        <v>773</v>
      </c>
      <c r="C43" s="42" t="s">
        <v>774</v>
      </c>
      <c r="D43" s="44">
        <v>-41097.246230000077</v>
      </c>
      <c r="E43" s="44">
        <v>-37945.301669999964</v>
      </c>
      <c r="F43" s="44">
        <v>-36288.102559999999</v>
      </c>
      <c r="G43" s="44">
        <v>-34955.421490000001</v>
      </c>
      <c r="H43" s="44">
        <v>-34905.073760000028</v>
      </c>
      <c r="I43" s="44">
        <v>-34240.548429999995</v>
      </c>
      <c r="J43" s="44">
        <v>-26495.629140000034</v>
      </c>
      <c r="K43" s="44">
        <v>-32681.782759999987</v>
      </c>
      <c r="L43" s="44">
        <v>-33283.251427002164</v>
      </c>
      <c r="M43" s="44">
        <v>-33900.64511000007</v>
      </c>
      <c r="N43" s="44">
        <v>-32542.287591335888</v>
      </c>
      <c r="O43" s="44">
        <v>-34674.241739999998</v>
      </c>
      <c r="P43" s="44">
        <v>-33012.77269000002</v>
      </c>
      <c r="Q43" s="44">
        <v>-32000.264060000038</v>
      </c>
      <c r="R43" s="44">
        <v>-30560.285500000002</v>
      </c>
      <c r="S43" s="44">
        <v>-29801.638690000025</v>
      </c>
      <c r="T43" s="44">
        <v>-32997.633728123925</v>
      </c>
      <c r="U43" s="44">
        <v>-29150.318560000051</v>
      </c>
      <c r="V43" s="44">
        <v>-28416.900749999942</v>
      </c>
      <c r="W43" s="44">
        <v>-26022.396250000013</v>
      </c>
      <c r="X43" s="44">
        <v>-25865.516755670189</v>
      </c>
      <c r="Y43" s="44">
        <v>-24649</v>
      </c>
      <c r="Z43" s="44">
        <v>-29871</v>
      </c>
      <c r="AA43" s="44">
        <v>-18827</v>
      </c>
      <c r="AB43" s="44">
        <v>-51494</v>
      </c>
      <c r="AC43" s="44">
        <v>-11404</v>
      </c>
      <c r="AD43" s="44">
        <v>-10567</v>
      </c>
      <c r="AE43" s="44">
        <v>-10459</v>
      </c>
      <c r="AO43" s="39">
        <v>0</v>
      </c>
      <c r="AP43" s="39">
        <v>0</v>
      </c>
      <c r="AQ43" s="39">
        <v>-83924</v>
      </c>
      <c r="AR43" s="39">
        <v>-99212.516755670193</v>
      </c>
      <c r="AS43" s="39">
        <v>-116587.24928812393</v>
      </c>
      <c r="AT43" s="39">
        <v>-125374.96094000008</v>
      </c>
      <c r="AU43" s="44">
        <v>-134400.42586833812</v>
      </c>
      <c r="AV43" s="44">
        <v>-128323.03409000004</v>
      </c>
      <c r="AW43" s="44">
        <v>-150286.07195000004</v>
      </c>
      <c r="AX43" s="128"/>
      <c r="AY43" s="128"/>
      <c r="AZ43" s="128"/>
    </row>
    <row r="44" spans="2:52" ht="15.75" customHeight="1" x14ac:dyDescent="0.2">
      <c r="B44" s="66" t="s">
        <v>775</v>
      </c>
      <c r="C44" s="42" t="s">
        <v>776</v>
      </c>
      <c r="D44" s="44">
        <v>642.59137319999718</v>
      </c>
      <c r="E44" s="44">
        <v>1244.7810480000044</v>
      </c>
      <c r="F44" s="44">
        <v>1466.0129475999988</v>
      </c>
      <c r="G44" s="44">
        <v>-509.66850879999947</v>
      </c>
      <c r="H44" s="44">
        <v>684.7518039999959</v>
      </c>
      <c r="I44" s="44">
        <v>925.40212180000344</v>
      </c>
      <c r="J44" s="44">
        <v>787.62459939999826</v>
      </c>
      <c r="K44" s="44">
        <v>1178.0338203999981</v>
      </c>
      <c r="L44" s="44">
        <v>720.56794159997662</v>
      </c>
      <c r="M44" s="44">
        <v>1240.0188496000192</v>
      </c>
      <c r="N44" s="44">
        <v>2285.1649145999836</v>
      </c>
      <c r="O44" s="44">
        <v>416.04547499999899</v>
      </c>
      <c r="P44" s="44">
        <v>-0.57698999998683576</v>
      </c>
      <c r="Q44" s="44">
        <v>0.61440999999467749</v>
      </c>
      <c r="R44" s="44">
        <v>-4008.845485599988</v>
      </c>
      <c r="S44" s="44">
        <v>4008.6586955999956</v>
      </c>
      <c r="T44" s="44">
        <v>4900.4753119999659</v>
      </c>
      <c r="U44" s="44">
        <v>3773.2209150000126</v>
      </c>
      <c r="V44" s="44">
        <v>5711.1035268000196</v>
      </c>
      <c r="W44" s="44">
        <v>4677.256939999992</v>
      </c>
      <c r="X44" s="44">
        <v>1531.7793200000306</v>
      </c>
      <c r="Y44" s="44">
        <v>3334</v>
      </c>
      <c r="Z44" s="44">
        <v>3001</v>
      </c>
      <c r="AA44" s="44">
        <v>5294</v>
      </c>
      <c r="AB44" s="44">
        <v>17002</v>
      </c>
      <c r="AC44" s="44">
        <v>-1</v>
      </c>
      <c r="AD44" s="44">
        <v>1</v>
      </c>
      <c r="AE44" s="44">
        <v>0</v>
      </c>
      <c r="AO44" s="39">
        <v>0</v>
      </c>
      <c r="AP44" s="39">
        <v>0</v>
      </c>
      <c r="AQ44" s="43">
        <v>17002</v>
      </c>
      <c r="AR44" s="43">
        <v>13160.779320000031</v>
      </c>
      <c r="AS44" s="43">
        <v>19062.056693799968</v>
      </c>
      <c r="AT44" s="43">
        <v>-0.14936999998462852</v>
      </c>
      <c r="AU44" s="44">
        <v>4661.7971807999784</v>
      </c>
      <c r="AV44" s="44">
        <v>3575.8123455999958</v>
      </c>
      <c r="AW44" s="44">
        <v>2843.7168600000009</v>
      </c>
      <c r="AX44" s="128"/>
      <c r="AY44" s="128"/>
      <c r="AZ44" s="128"/>
    </row>
    <row r="45" spans="2:52" s="127" customFormat="1" ht="15.75" customHeight="1" x14ac:dyDescent="0.2">
      <c r="B45" s="121" t="s">
        <v>793</v>
      </c>
      <c r="C45" s="109" t="s">
        <v>814</v>
      </c>
      <c r="D45" s="110">
        <v>163697.4</v>
      </c>
      <c r="E45" s="110">
        <v>96679.580514999994</v>
      </c>
      <c r="F45" s="110">
        <v>77653.5</v>
      </c>
      <c r="G45" s="110">
        <v>69263.08</v>
      </c>
      <c r="H45" s="110">
        <v>170633.34999999995</v>
      </c>
      <c r="I45" s="110">
        <v>112371.03999999998</v>
      </c>
      <c r="J45" s="110">
        <v>78356.900000000023</v>
      </c>
      <c r="K45" s="110">
        <v>42075.16</v>
      </c>
      <c r="L45" s="110">
        <v>136086.27251000001</v>
      </c>
      <c r="M45" s="110">
        <v>55347.609999999986</v>
      </c>
      <c r="N45" s="110">
        <v>-15093.337450000014</v>
      </c>
      <c r="O45" s="110">
        <v>7133.42</v>
      </c>
      <c r="P45" s="110">
        <v>56669.83400000025</v>
      </c>
      <c r="Q45" s="110">
        <v>34297.507059999829</v>
      </c>
      <c r="R45" s="110">
        <v>36355.85354000004</v>
      </c>
      <c r="S45" s="110">
        <v>30097.117659999964</v>
      </c>
      <c r="T45" s="110">
        <v>303225.39425380214</v>
      </c>
      <c r="U45" s="110">
        <v>109812.17751000084</v>
      </c>
      <c r="V45" s="110">
        <v>41504.133030000099</v>
      </c>
      <c r="W45" s="110">
        <v>-28058.714950000092</v>
      </c>
      <c r="X45" s="110">
        <v>42607.302199999947</v>
      </c>
      <c r="Y45" s="110">
        <v>-21697</v>
      </c>
      <c r="Z45" s="110">
        <v>-87435</v>
      </c>
      <c r="AA45" s="110">
        <v>-7485.7046000000009</v>
      </c>
      <c r="AB45" s="110">
        <v>56066.023999999976</v>
      </c>
      <c r="AC45" s="110">
        <v>35604.674708799997</v>
      </c>
      <c r="AD45" s="110">
        <v>33879</v>
      </c>
      <c r="AE45" s="110">
        <v>-4143</v>
      </c>
      <c r="AO45" s="145">
        <v>0</v>
      </c>
      <c r="AP45" s="145">
        <v>0</v>
      </c>
      <c r="AQ45" s="110">
        <v>121406.02870879997</v>
      </c>
      <c r="AR45" s="110">
        <v>-74010.40240000005</v>
      </c>
      <c r="AS45" s="110">
        <v>426482.98984380299</v>
      </c>
      <c r="AT45" s="110">
        <v>157420.31226000009</v>
      </c>
      <c r="AU45" s="112">
        <v>183473.96505999999</v>
      </c>
      <c r="AV45" s="112">
        <v>403436.44999999995</v>
      </c>
      <c r="AW45" s="112">
        <v>407293.56051500002</v>
      </c>
      <c r="AX45" s="128"/>
      <c r="AY45" s="128"/>
      <c r="AZ45" s="128"/>
    </row>
    <row r="46" spans="2:52" s="127" customFormat="1" ht="15.75" customHeight="1" x14ac:dyDescent="0.2">
      <c r="B46" s="140" t="s">
        <v>807</v>
      </c>
      <c r="C46" s="49" t="s">
        <v>815</v>
      </c>
      <c r="D46" s="50">
        <v>6.7425340797880581E-2</v>
      </c>
      <c r="E46" s="50">
        <v>4.9924338848203118E-2</v>
      </c>
      <c r="F46" s="50">
        <v>4.2720745997689387E-2</v>
      </c>
      <c r="G46" s="50">
        <v>4.4560542320017452E-2</v>
      </c>
      <c r="H46" s="50">
        <v>7.8550709626335563E-2</v>
      </c>
      <c r="I46" s="50">
        <v>6.347613495657202E-2</v>
      </c>
      <c r="J46" s="50">
        <v>4.5717491366368788E-2</v>
      </c>
      <c r="K46" s="50">
        <v>2.8139797581491408E-2</v>
      </c>
      <c r="L46" s="50">
        <v>6.388605584207982E-2</v>
      </c>
      <c r="M46" s="50">
        <v>3.0864187333748919E-2</v>
      </c>
      <c r="N46" s="50">
        <v>-9.475112617891121E-3</v>
      </c>
      <c r="O46" s="50">
        <v>4.845672280465084E-3</v>
      </c>
      <c r="P46" s="50">
        <v>2.857648838600714E-2</v>
      </c>
      <c r="Q46" s="50">
        <v>2.3331964760551882E-2</v>
      </c>
      <c r="R46" s="50">
        <v>2.4850087367784171E-2</v>
      </c>
      <c r="S46" s="50">
        <v>2.238324317716963E-2</v>
      </c>
      <c r="T46" s="50">
        <v>0.18011987940984506</v>
      </c>
      <c r="U46" s="50">
        <v>7.363445165055757E-2</v>
      </c>
      <c r="V46" s="50">
        <v>3.6963337297490913E-2</v>
      </c>
      <c r="W46" s="50">
        <v>-3.4519508704356272E-2</v>
      </c>
      <c r="X46" s="50">
        <v>3.9670388250975124E-2</v>
      </c>
      <c r="Y46" s="50">
        <v>-3.8129263775002725E-2</v>
      </c>
      <c r="Z46" s="50">
        <v>-0.36526828534665706</v>
      </c>
      <c r="AA46" s="50">
        <v>-1.4805147394756883E-2</v>
      </c>
      <c r="AB46" s="50">
        <v>6.5827675884603754E-2</v>
      </c>
      <c r="AC46" s="50">
        <v>5.7334142844398493E-2</v>
      </c>
      <c r="AD46" s="50">
        <v>6.2101319435541681E-2</v>
      </c>
      <c r="AE46" s="50">
        <v>-7.8588431967522715E-3</v>
      </c>
      <c r="AO46" s="39">
        <v>0</v>
      </c>
      <c r="AP46" s="39">
        <v>0</v>
      </c>
      <c r="AQ46" s="50">
        <v>4.7695835389495331E-2</v>
      </c>
      <c r="AR46" s="50">
        <v>-3.0991879363994015E-2</v>
      </c>
      <c r="AS46" s="50">
        <v>8.3452923680362778E-2</v>
      </c>
      <c r="AT46" s="50">
        <v>2.5144176379843283E-2</v>
      </c>
      <c r="AU46" s="34">
        <v>2.62530560992211E-2</v>
      </c>
      <c r="AV46" s="34">
        <v>5.6411155423720799E-2</v>
      </c>
      <c r="AW46" s="34">
        <v>5.2646305272870002E-2</v>
      </c>
      <c r="AX46" s="128"/>
      <c r="AY46" s="128"/>
      <c r="AZ46" s="128"/>
    </row>
    <row r="47" spans="2:52" s="127" customFormat="1" ht="15.75" customHeight="1" x14ac:dyDescent="0.2">
      <c r="B47" s="140"/>
      <c r="M47" s="50"/>
      <c r="N47" s="50"/>
      <c r="O47" s="50"/>
      <c r="P47" s="50"/>
      <c r="Q47" s="50"/>
      <c r="R47" s="50"/>
      <c r="S47" s="50"/>
      <c r="T47" s="50"/>
      <c r="U47" s="50"/>
      <c r="V47" s="50"/>
      <c r="W47" s="50"/>
      <c r="X47" s="50"/>
      <c r="Y47" s="50"/>
      <c r="Z47" s="50"/>
      <c r="AA47" s="50"/>
      <c r="AB47" s="50"/>
      <c r="AC47" s="50"/>
      <c r="AD47" s="50"/>
      <c r="AE47" s="50"/>
      <c r="AQ47" s="141"/>
      <c r="AR47" s="141"/>
      <c r="AS47" s="141"/>
      <c r="AT47" s="141"/>
      <c r="AU47" s="50"/>
      <c r="AV47" s="50"/>
      <c r="AW47" s="50"/>
    </row>
    <row r="48" spans="2:52" ht="15.75" customHeight="1" x14ac:dyDescent="0.2">
      <c r="B48" s="53"/>
      <c r="C48" s="53"/>
      <c r="D48" s="53"/>
      <c r="E48" s="53"/>
      <c r="F48" s="53"/>
      <c r="G48" s="53"/>
      <c r="H48" s="53"/>
      <c r="I48" s="53"/>
      <c r="J48" s="53"/>
      <c r="K48" s="53"/>
      <c r="L48" s="53"/>
      <c r="X48" s="266"/>
    </row>
    <row r="49" spans="2:24" ht="15.75" customHeight="1" x14ac:dyDescent="0.2">
      <c r="B49" s="142"/>
      <c r="C49" s="70"/>
      <c r="D49" s="80"/>
      <c r="E49" s="80"/>
      <c r="F49" s="80"/>
      <c r="G49" s="80"/>
      <c r="H49" s="80"/>
      <c r="I49" s="80"/>
      <c r="J49" s="80"/>
      <c r="K49" s="80"/>
      <c r="L49" s="80"/>
      <c r="X49" s="260"/>
    </row>
    <row r="50" spans="2:24" ht="15.75" customHeight="1" x14ac:dyDescent="0.2">
      <c r="B50" s="143"/>
      <c r="C50" s="54"/>
      <c r="D50" s="54"/>
      <c r="E50" s="54"/>
      <c r="F50" s="54"/>
      <c r="G50" s="54"/>
      <c r="H50" s="54"/>
      <c r="I50" s="54"/>
      <c r="J50" s="54"/>
      <c r="K50" s="54"/>
      <c r="L50" s="54"/>
      <c r="X50" s="261"/>
    </row>
    <row r="51" spans="2:24" ht="15.75" customHeight="1" x14ac:dyDescent="0.2">
      <c r="B51" s="142"/>
      <c r="C51" s="70"/>
      <c r="D51" s="80"/>
      <c r="E51" s="80"/>
      <c r="F51" s="80"/>
      <c r="G51" s="80"/>
      <c r="H51" s="80"/>
      <c r="I51" s="80"/>
      <c r="J51" s="80"/>
      <c r="K51" s="80"/>
      <c r="L51" s="80"/>
      <c r="X51" s="261"/>
    </row>
    <row r="52" spans="2:24" ht="15.75" customHeight="1" x14ac:dyDescent="0.2">
      <c r="B52" s="144"/>
      <c r="X52" s="261"/>
    </row>
    <row r="53" spans="2:24" ht="15.75" customHeight="1" x14ac:dyDescent="0.2">
      <c r="X53" s="267"/>
    </row>
    <row r="54" spans="2:24" ht="15.75" customHeight="1" x14ac:dyDescent="0.2">
      <c r="X54" s="261"/>
    </row>
    <row r="55" spans="2:24" ht="15.75" customHeight="1" x14ac:dyDescent="0.2">
      <c r="X55" s="261"/>
    </row>
    <row r="56" spans="2:24" ht="15.75" customHeight="1" x14ac:dyDescent="0.2">
      <c r="X56" s="261"/>
    </row>
    <row r="57" spans="2:24" ht="15.75" customHeight="1" x14ac:dyDescent="0.2">
      <c r="X57" s="261"/>
    </row>
    <row r="58" spans="2:24" ht="15.75" customHeight="1" x14ac:dyDescent="0.2">
      <c r="X58" s="268"/>
    </row>
    <row r="59" spans="2:24" ht="15.75" customHeight="1" x14ac:dyDescent="0.2">
      <c r="X59" s="261"/>
    </row>
    <row r="60" spans="2:24" ht="15.75" customHeight="1" x14ac:dyDescent="0.2">
      <c r="X60" s="261"/>
    </row>
    <row r="61" spans="2:24" ht="15.75" customHeight="1" x14ac:dyDescent="0.2">
      <c r="X61" s="261"/>
    </row>
    <row r="62" spans="2:24" ht="15.75" customHeight="1" x14ac:dyDescent="0.2">
      <c r="X62" s="261"/>
    </row>
    <row r="63" spans="2:24" ht="15.75" customHeight="1" x14ac:dyDescent="0.2">
      <c r="X63" s="269"/>
    </row>
    <row r="64" spans="2:24" ht="15.75" customHeight="1" x14ac:dyDescent="0.2">
      <c r="X64" s="268"/>
    </row>
    <row r="65" spans="24:24" ht="15.75" customHeight="1" x14ac:dyDescent="0.2">
      <c r="X65" s="268"/>
    </row>
    <row r="66" spans="24:24" ht="15.75" customHeight="1" x14ac:dyDescent="0.2">
      <c r="X66" s="261"/>
    </row>
    <row r="67" spans="24:24" ht="15.75" customHeight="1" x14ac:dyDescent="0.2">
      <c r="X67" s="268"/>
    </row>
    <row r="68" spans="24:24" ht="15.75" customHeight="1" x14ac:dyDescent="0.2">
      <c r="X68" s="261"/>
    </row>
    <row r="69" spans="24:24" ht="15.75" customHeight="1" x14ac:dyDescent="0.2">
      <c r="X69" s="268"/>
    </row>
    <row r="70" spans="24:24" ht="15.75" customHeight="1" x14ac:dyDescent="0.2">
      <c r="X70" s="71"/>
    </row>
    <row r="71" spans="24:24" ht="15.75" customHeight="1" x14ac:dyDescent="0.2">
      <c r="X71" s="63"/>
    </row>
    <row r="72" spans="24:24" ht="15.75" customHeight="1" x14ac:dyDescent="0.2"/>
    <row r="73" spans="24:24" ht="15.75" customHeight="1" x14ac:dyDescent="0.2"/>
    <row r="74" spans="24:24" ht="15.75" customHeight="1" x14ac:dyDescent="0.2"/>
    <row r="75" spans="24:24" ht="15.75" customHeight="1" x14ac:dyDescent="0.2"/>
    <row r="76" spans="24:24" ht="15.75" customHeight="1" x14ac:dyDescent="0.2"/>
    <row r="77" spans="24:24" ht="15.75" customHeight="1" x14ac:dyDescent="0.2"/>
    <row r="78" spans="24:24" ht="15.75" customHeight="1" x14ac:dyDescent="0.2"/>
    <row r="79" spans="24:24" ht="15.75" customHeight="1" x14ac:dyDescent="0.2"/>
    <row r="80" spans="24:2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sheetData>
  <phoneticPr fontId="44" type="noConversion"/>
  <pageMargins left="0.511811024" right="0.511811024" top="0.78740157499999996" bottom="0.78740157499999996" header="0" footer="0"/>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Y27"/>
  <sheetViews>
    <sheetView zoomScale="80" zoomScaleNormal="80" workbookViewId="0">
      <pane xSplit="3" topLeftCell="D1" activePane="topRight" state="frozen"/>
      <selection activeCell="P34" sqref="P34"/>
      <selection pane="topRight"/>
    </sheetView>
  </sheetViews>
  <sheetFormatPr defaultColWidth="8.625" defaultRowHeight="15" customHeight="1" x14ac:dyDescent="0.2"/>
  <cols>
    <col min="1" max="1" width="3.875" style="169" customWidth="1"/>
    <col min="2" max="2" width="27.375" style="169" customWidth="1"/>
    <col min="3" max="3" width="28.125" style="169" customWidth="1"/>
    <col min="4" max="39" width="10" style="169" customWidth="1"/>
    <col min="40" max="40" width="4.5" style="169" customWidth="1"/>
    <col min="41" max="50" width="9.5" style="169" customWidth="1"/>
    <col min="51" max="51" width="10.125" style="169" bestFit="1" customWidth="1"/>
    <col min="52" max="16384" width="8.625" style="169"/>
  </cols>
  <sheetData>
    <row r="1" spans="2:51" ht="15" customHeight="1" x14ac:dyDescent="0.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row>
    <row r="4" spans="2:51" ht="33.75" customHeight="1" x14ac:dyDescent="0.2">
      <c r="B4" s="146" t="s">
        <v>83</v>
      </c>
      <c r="C4" s="146" t="s">
        <v>84</v>
      </c>
      <c r="D4" s="146" t="s">
        <v>1092</v>
      </c>
      <c r="E4" s="146" t="s">
        <v>1010</v>
      </c>
      <c r="F4" s="146" t="s">
        <v>1007</v>
      </c>
      <c r="G4" s="146" t="s">
        <v>1004</v>
      </c>
      <c r="H4" s="146" t="s">
        <v>986</v>
      </c>
      <c r="I4" s="146" t="s">
        <v>894</v>
      </c>
      <c r="J4" s="146" t="s">
        <v>893</v>
      </c>
      <c r="K4" s="146" t="s">
        <v>876</v>
      </c>
      <c r="L4" s="146" t="s">
        <v>846</v>
      </c>
      <c r="M4" s="146" t="s">
        <v>838</v>
      </c>
      <c r="N4" s="146" t="s">
        <v>823</v>
      </c>
      <c r="O4" s="146" t="s">
        <v>762</v>
      </c>
      <c r="P4" s="146" t="s">
        <v>742</v>
      </c>
      <c r="Q4" s="146" t="s">
        <v>718</v>
      </c>
      <c r="R4" s="146" t="s">
        <v>703</v>
      </c>
      <c r="S4" s="146" t="s">
        <v>685</v>
      </c>
      <c r="T4" s="146" t="s">
        <v>670</v>
      </c>
      <c r="U4" s="146" t="s">
        <v>630</v>
      </c>
      <c r="V4" s="146" t="s">
        <v>618</v>
      </c>
      <c r="W4" s="146" t="s">
        <v>591</v>
      </c>
      <c r="X4" s="146" t="s">
        <v>551</v>
      </c>
      <c r="Y4" s="146" t="s">
        <v>153</v>
      </c>
      <c r="Z4" s="146" t="s">
        <v>0</v>
      </c>
      <c r="AA4" s="146" t="s">
        <v>1</v>
      </c>
      <c r="AB4" s="146" t="s">
        <v>2</v>
      </c>
      <c r="AC4" s="146" t="s">
        <v>3</v>
      </c>
      <c r="AD4" s="146" t="s">
        <v>4</v>
      </c>
      <c r="AE4" s="146" t="s">
        <v>5</v>
      </c>
      <c r="AF4" s="146" t="s">
        <v>6</v>
      </c>
      <c r="AG4" s="146" t="s">
        <v>7</v>
      </c>
      <c r="AH4" s="146" t="s">
        <v>8</v>
      </c>
      <c r="AI4" s="146" t="s">
        <v>9</v>
      </c>
      <c r="AJ4" s="146" t="s">
        <v>10</v>
      </c>
      <c r="AK4" s="146" t="s">
        <v>11</v>
      </c>
      <c r="AL4" s="146" t="s">
        <v>12</v>
      </c>
      <c r="AM4" s="146" t="s">
        <v>13</v>
      </c>
      <c r="AN4" s="147"/>
      <c r="AP4" s="148">
        <v>2017</v>
      </c>
      <c r="AQ4" s="148">
        <v>2018</v>
      </c>
      <c r="AR4" s="148">
        <v>2019</v>
      </c>
      <c r="AS4" s="148">
        <v>2020</v>
      </c>
      <c r="AT4" s="148">
        <v>2021</v>
      </c>
      <c r="AU4" s="148">
        <v>2022</v>
      </c>
      <c r="AV4" s="148">
        <v>2023</v>
      </c>
      <c r="AW4" s="148">
        <v>2024</v>
      </c>
      <c r="AX4" s="148">
        <v>2025</v>
      </c>
    </row>
    <row r="5" spans="2:51" ht="15" customHeight="1" x14ac:dyDescent="0.2">
      <c r="B5" s="149" t="s">
        <v>88</v>
      </c>
      <c r="C5" s="149" t="s">
        <v>89</v>
      </c>
      <c r="D5" s="150">
        <v>1634384.6534500001</v>
      </c>
      <c r="E5" s="150">
        <v>1300070.2147100004</v>
      </c>
      <c r="F5" s="150">
        <v>1203890.5312500009</v>
      </c>
      <c r="G5" s="150">
        <v>1043755.9244800002</v>
      </c>
      <c r="H5" s="150">
        <v>1397556.6657199999</v>
      </c>
      <c r="I5" s="150">
        <v>1117408.9573499998</v>
      </c>
      <c r="J5" s="150">
        <v>1072881.6201249689</v>
      </c>
      <c r="K5" s="150">
        <v>926717.13021400012</v>
      </c>
      <c r="L5" s="150">
        <v>1336089.03195</v>
      </c>
      <c r="M5" s="150">
        <v>1106203.552250002</v>
      </c>
      <c r="N5" s="150">
        <v>1000993.9459499817</v>
      </c>
      <c r="O5" s="150">
        <v>879693.52714001597</v>
      </c>
      <c r="P5" s="150">
        <v>1433063.7550399993</v>
      </c>
      <c r="Q5" s="150">
        <v>1089038.5818700003</v>
      </c>
      <c r="R5" s="150">
        <v>969312.52083000087</v>
      </c>
      <c r="S5" s="150">
        <v>852632.53050999925</v>
      </c>
      <c r="T5" s="150">
        <v>1307335.8360199993</v>
      </c>
      <c r="U5" s="150">
        <v>965877.02745999955</v>
      </c>
      <c r="V5" s="150">
        <v>773255.78536000068</v>
      </c>
      <c r="W5" s="150">
        <v>604879.19973000023</v>
      </c>
      <c r="X5" s="150">
        <v>1163327.05103</v>
      </c>
      <c r="Y5" s="150">
        <v>724281</v>
      </c>
      <c r="Z5" s="150">
        <v>312859</v>
      </c>
      <c r="AA5" s="150">
        <v>639395</v>
      </c>
      <c r="AB5" s="150">
        <v>1065689</v>
      </c>
      <c r="AC5" s="150">
        <v>777335</v>
      </c>
      <c r="AD5" s="150">
        <v>685769</v>
      </c>
      <c r="AE5" s="150">
        <v>664273</v>
      </c>
      <c r="AF5" s="150">
        <v>908521.40560999885</v>
      </c>
      <c r="AG5" s="150">
        <v>707407.50207000005</v>
      </c>
      <c r="AH5" s="150">
        <v>648891.67522000044</v>
      </c>
      <c r="AI5" s="150">
        <v>579979.41710000078</v>
      </c>
      <c r="AJ5" s="150">
        <v>778964.21305999998</v>
      </c>
      <c r="AK5" s="150">
        <v>610749.27028000017</v>
      </c>
      <c r="AL5" s="150">
        <v>549113.24590999982</v>
      </c>
      <c r="AM5" s="150">
        <v>539644.29209</v>
      </c>
      <c r="AN5" s="151"/>
      <c r="AP5" s="150">
        <v>2478471.02134</v>
      </c>
      <c r="AQ5" s="150">
        <v>2844800</v>
      </c>
      <c r="AR5" s="150">
        <v>3193066</v>
      </c>
      <c r="AS5" s="150">
        <v>2839862.0510299997</v>
      </c>
      <c r="AT5" s="150">
        <v>3651347.8485699994</v>
      </c>
      <c r="AU5" s="150">
        <v>4344047.3882499998</v>
      </c>
      <c r="AV5" s="150">
        <v>4322980.0572899999</v>
      </c>
      <c r="AW5" s="150">
        <v>4514564.3734089686</v>
      </c>
      <c r="AX5" s="150">
        <v>5182101.3238900015</v>
      </c>
      <c r="AY5" s="170"/>
    </row>
    <row r="6" spans="2:51" ht="15" customHeight="1" x14ac:dyDescent="0.2">
      <c r="B6" s="152" t="s">
        <v>90</v>
      </c>
      <c r="C6" s="152" t="s">
        <v>91</v>
      </c>
      <c r="D6" s="48">
        <v>1257437.826984229</v>
      </c>
      <c r="E6" s="48">
        <v>1005839.0269817488</v>
      </c>
      <c r="F6" s="48">
        <v>910387.26714522298</v>
      </c>
      <c r="G6" s="48">
        <v>816636.05804999999</v>
      </c>
      <c r="H6" s="48">
        <v>1081596.3657966997</v>
      </c>
      <c r="I6" s="48">
        <v>871755.43937156908</v>
      </c>
      <c r="J6" s="48">
        <v>825298.70016962301</v>
      </c>
      <c r="K6" s="48">
        <v>744436.23341114295</v>
      </c>
      <c r="L6" s="48">
        <v>1076210.9999899999</v>
      </c>
      <c r="M6" s="48">
        <v>883436.32749136817</v>
      </c>
      <c r="N6" s="48">
        <v>768731.31149999984</v>
      </c>
      <c r="O6" s="48">
        <v>701734.16151000001</v>
      </c>
      <c r="P6" s="48">
        <v>1047938.8785800003</v>
      </c>
      <c r="Q6" s="48">
        <v>826628.07502240199</v>
      </c>
      <c r="R6" s="48">
        <v>705693.61025985307</v>
      </c>
      <c r="S6" s="48">
        <v>614984.34278000332</v>
      </c>
      <c r="T6" s="48">
        <v>958333.73878000386</v>
      </c>
      <c r="U6" s="48">
        <v>756288.1383700046</v>
      </c>
      <c r="V6" s="48">
        <v>547918.90896000364</v>
      </c>
      <c r="W6" s="48">
        <v>423645.95812000189</v>
      </c>
      <c r="X6" s="48">
        <v>876845.13747999957</v>
      </c>
      <c r="Y6" s="48">
        <v>453259</v>
      </c>
      <c r="Z6" s="48">
        <v>66717</v>
      </c>
      <c r="AA6" s="48">
        <v>511929</v>
      </c>
      <c r="AB6" s="48">
        <v>883486</v>
      </c>
      <c r="AC6" s="48">
        <v>646879</v>
      </c>
      <c r="AD6" s="48">
        <v>554400</v>
      </c>
      <c r="AE6" s="48">
        <v>547262</v>
      </c>
      <c r="AF6" s="48">
        <v>776132.79938999878</v>
      </c>
      <c r="AG6" s="48">
        <v>596382.69651000004</v>
      </c>
      <c r="AH6" s="48">
        <v>534131.70531000046</v>
      </c>
      <c r="AI6" s="48">
        <v>495152.79879000079</v>
      </c>
      <c r="AJ6" s="48">
        <v>681473</v>
      </c>
      <c r="AK6" s="48">
        <v>531142.1638900002</v>
      </c>
      <c r="AL6" s="48">
        <v>472895.82893999986</v>
      </c>
      <c r="AM6" s="48">
        <v>476131.02391000005</v>
      </c>
      <c r="AN6" s="48"/>
      <c r="AP6" s="48">
        <v>2161642.0167400003</v>
      </c>
      <c r="AQ6" s="48">
        <v>2401800</v>
      </c>
      <c r="AR6" s="48">
        <v>2632027</v>
      </c>
      <c r="AS6" s="48">
        <v>1908750.1374799996</v>
      </c>
      <c r="AT6" s="48">
        <v>2686186.7442300138</v>
      </c>
      <c r="AU6" s="48">
        <v>3195244.9066422586</v>
      </c>
      <c r="AV6" s="48">
        <v>3430112.8004913679</v>
      </c>
      <c r="AW6" s="48">
        <v>3523086.7387490347</v>
      </c>
      <c r="AX6" s="48">
        <v>3990300.1791612008</v>
      </c>
      <c r="AY6" s="170"/>
    </row>
    <row r="7" spans="2:51" ht="15" customHeight="1" x14ac:dyDescent="0.2">
      <c r="B7" s="152" t="s">
        <v>92</v>
      </c>
      <c r="C7" s="152" t="s">
        <v>93</v>
      </c>
      <c r="D7" s="48">
        <v>376946.82646577107</v>
      </c>
      <c r="E7" s="48">
        <v>294231.18772825174</v>
      </c>
      <c r="F7" s="48">
        <v>293503.26410477801</v>
      </c>
      <c r="G7" s="48">
        <v>227119.86643000014</v>
      </c>
      <c r="H7" s="48">
        <v>315960.29992330016</v>
      </c>
      <c r="I7" s="48">
        <v>245653.51797843067</v>
      </c>
      <c r="J7" s="48">
        <v>247582.91995534586</v>
      </c>
      <c r="K7" s="48">
        <v>182280.89680285717</v>
      </c>
      <c r="L7" s="48">
        <v>259878.03195999999</v>
      </c>
      <c r="M7" s="48">
        <v>222767.22475863382</v>
      </c>
      <c r="N7" s="48">
        <v>232262.63444998191</v>
      </c>
      <c r="O7" s="48">
        <v>177959.36563001596</v>
      </c>
      <c r="P7" s="48">
        <v>385124.87645999913</v>
      </c>
      <c r="Q7" s="48">
        <v>262410.50684759824</v>
      </c>
      <c r="R7" s="48">
        <v>263618.9105701478</v>
      </c>
      <c r="S7" s="48">
        <v>237648.18772999599</v>
      </c>
      <c r="T7" s="48">
        <v>349002.09723999538</v>
      </c>
      <c r="U7" s="48">
        <v>209588.88908999498</v>
      </c>
      <c r="V7" s="48">
        <v>225336.87639999701</v>
      </c>
      <c r="W7" s="48">
        <v>181233.24160999843</v>
      </c>
      <c r="X7" s="48">
        <v>286481.9135500004</v>
      </c>
      <c r="Y7" s="48">
        <v>271022</v>
      </c>
      <c r="Z7" s="48">
        <v>246142</v>
      </c>
      <c r="AA7" s="48">
        <v>127466</v>
      </c>
      <c r="AB7" s="48">
        <v>182203</v>
      </c>
      <c r="AC7" s="48">
        <v>130456</v>
      </c>
      <c r="AD7" s="48">
        <v>131369</v>
      </c>
      <c r="AE7" s="48">
        <v>117011</v>
      </c>
      <c r="AF7" s="48">
        <v>132388.60622000005</v>
      </c>
      <c r="AG7" s="48">
        <v>111024.80556000001</v>
      </c>
      <c r="AH7" s="48">
        <v>114759.96991</v>
      </c>
      <c r="AI7" s="48">
        <v>84826.618310000005</v>
      </c>
      <c r="AJ7" s="48">
        <v>97491.21305999998</v>
      </c>
      <c r="AK7" s="48">
        <v>79607.106390000015</v>
      </c>
      <c r="AL7" s="48">
        <v>76217.41697000002</v>
      </c>
      <c r="AM7" s="48">
        <v>63513.268180000006</v>
      </c>
      <c r="AN7" s="48"/>
      <c r="AP7" s="48">
        <v>316829.00460000004</v>
      </c>
      <c r="AQ7" s="48">
        <v>443000.00000000006</v>
      </c>
      <c r="AR7" s="48">
        <v>561039</v>
      </c>
      <c r="AS7" s="48">
        <v>931111.9135500004</v>
      </c>
      <c r="AT7" s="48">
        <v>965161.10433998576</v>
      </c>
      <c r="AU7" s="48">
        <v>1148802.4816077412</v>
      </c>
      <c r="AV7" s="48">
        <v>892867.25679863174</v>
      </c>
      <c r="AW7" s="48">
        <v>991477.63465993374</v>
      </c>
      <c r="AX7" s="48">
        <v>1191801.144728801</v>
      </c>
      <c r="AY7" s="170"/>
    </row>
    <row r="8" spans="2:51" ht="15" customHeight="1" x14ac:dyDescent="0.2">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P8" s="48"/>
      <c r="AQ8" s="48"/>
      <c r="AR8" s="48"/>
      <c r="AS8" s="48"/>
      <c r="AT8" s="48"/>
      <c r="AU8" s="48"/>
      <c r="AY8" s="170"/>
    </row>
    <row r="9" spans="2:51" ht="15" customHeight="1" x14ac:dyDescent="0.2">
      <c r="B9" s="149" t="s">
        <v>585</v>
      </c>
      <c r="C9" s="149" t="s">
        <v>586</v>
      </c>
      <c r="D9" s="150">
        <v>1279837.3504700002</v>
      </c>
      <c r="E9" s="150">
        <v>1025039.4190600007</v>
      </c>
      <c r="F9" s="150">
        <v>940682.4850700004</v>
      </c>
      <c r="G9" s="150">
        <v>821436.15658000007</v>
      </c>
      <c r="H9" s="150">
        <v>1105083.03413</v>
      </c>
      <c r="I9" s="150">
        <v>894360.53274999978</v>
      </c>
      <c r="J9" s="150">
        <v>859853.83473340003</v>
      </c>
      <c r="K9" s="150">
        <v>738789.86782999989</v>
      </c>
      <c r="L9" s="150">
        <v>1071155.6924500009</v>
      </c>
      <c r="M9" s="150">
        <v>882733</v>
      </c>
      <c r="N9" s="150">
        <v>802912.78523998172</v>
      </c>
      <c r="O9" s="150">
        <v>704594.32341001625</v>
      </c>
      <c r="P9" s="150">
        <v>1148216.3349600006</v>
      </c>
      <c r="Q9" s="150">
        <v>868724.05903000128</v>
      </c>
      <c r="R9" s="150">
        <v>788962.93324999907</v>
      </c>
      <c r="S9" s="150">
        <v>698577.13466999936</v>
      </c>
      <c r="T9" s="150">
        <v>1058314.8078699994</v>
      </c>
      <c r="U9" s="150">
        <v>782913.66737999977</v>
      </c>
      <c r="V9" s="150">
        <v>628760.99915000075</v>
      </c>
      <c r="W9" s="150">
        <v>477242.81540999998</v>
      </c>
      <c r="X9" s="150">
        <v>916934</v>
      </c>
      <c r="Y9" s="150">
        <v>569039</v>
      </c>
      <c r="Z9" s="150">
        <v>239372</v>
      </c>
      <c r="AA9" s="150">
        <v>505615</v>
      </c>
      <c r="AB9" s="150">
        <v>851709</v>
      </c>
      <c r="AC9" s="150">
        <v>621002.92699999991</v>
      </c>
      <c r="AD9" s="150">
        <v>545533.17558999942</v>
      </c>
      <c r="AE9" s="150">
        <v>527177</v>
      </c>
      <c r="AF9" s="150">
        <v>729711</v>
      </c>
      <c r="AG9" s="150">
        <v>565292</v>
      </c>
      <c r="AH9" s="150">
        <v>519193</v>
      </c>
      <c r="AI9" s="150">
        <v>460861</v>
      </c>
      <c r="AJ9" s="150">
        <v>623570</v>
      </c>
      <c r="AK9" s="150">
        <v>486306</v>
      </c>
      <c r="AL9" s="150">
        <v>434172.64930000005</v>
      </c>
      <c r="AM9" s="150">
        <v>424523</v>
      </c>
      <c r="AN9" s="151"/>
      <c r="AP9" s="150">
        <v>1968571.6493000002</v>
      </c>
      <c r="AQ9" s="150">
        <v>2275057</v>
      </c>
      <c r="AR9" s="150">
        <v>2545422.1025899993</v>
      </c>
      <c r="AS9" s="150">
        <v>2230960</v>
      </c>
      <c r="AT9" s="150">
        <v>2947232.2898099995</v>
      </c>
      <c r="AU9" s="150">
        <v>3504480.4619100001</v>
      </c>
      <c r="AV9" s="153">
        <v>3461395.8010999989</v>
      </c>
      <c r="AW9" s="153">
        <v>3598087.2694433997</v>
      </c>
      <c r="AX9" s="153">
        <v>4066995.4111800017</v>
      </c>
      <c r="AY9" s="170"/>
    </row>
    <row r="10" spans="2:51" ht="15" customHeight="1" x14ac:dyDescent="0.2">
      <c r="B10" s="152" t="s">
        <v>90</v>
      </c>
      <c r="C10" s="152" t="s">
        <v>91</v>
      </c>
      <c r="D10" s="290">
        <v>988933.32815573446</v>
      </c>
      <c r="E10" s="290">
        <v>796964.62510702293</v>
      </c>
      <c r="F10" s="290">
        <v>713785.71612244297</v>
      </c>
      <c r="G10" s="290">
        <v>644044.91313999996</v>
      </c>
      <c r="H10" s="290">
        <v>859936.26262823015</v>
      </c>
      <c r="I10" s="290">
        <v>704424.68799671053</v>
      </c>
      <c r="J10" s="290">
        <v>667230.61226615077</v>
      </c>
      <c r="K10" s="290">
        <v>596290.09933082992</v>
      </c>
      <c r="L10" s="290">
        <v>866532.65378000098</v>
      </c>
      <c r="M10" s="290">
        <v>704238.582639453</v>
      </c>
      <c r="N10" s="290">
        <v>619641.88445194147</v>
      </c>
      <c r="O10" s="290">
        <v>566498.29984590027</v>
      </c>
      <c r="P10" s="290">
        <v>844969.21019918588</v>
      </c>
      <c r="Q10" s="290">
        <v>665306.61986945779</v>
      </c>
      <c r="R10" s="290">
        <v>583819.13201361627</v>
      </c>
      <c r="S10" s="290">
        <v>502453.90172096051</v>
      </c>
      <c r="T10" s="290">
        <v>770908.37519405526</v>
      </c>
      <c r="U10" s="290">
        <v>610289.80197461508</v>
      </c>
      <c r="V10" s="290">
        <v>441549.12611462292</v>
      </c>
      <c r="W10" s="290">
        <v>337050.32230542426</v>
      </c>
      <c r="X10" s="290">
        <v>698258</v>
      </c>
      <c r="Y10" s="290">
        <v>359504</v>
      </c>
      <c r="Z10" s="290">
        <v>47503</v>
      </c>
      <c r="AA10" s="290">
        <v>405074</v>
      </c>
      <c r="AB10" s="290">
        <v>709018</v>
      </c>
      <c r="AC10" s="290">
        <v>518725</v>
      </c>
      <c r="AD10" s="290">
        <v>442097</v>
      </c>
      <c r="AE10" s="290">
        <v>435817</v>
      </c>
      <c r="AF10" s="290">
        <v>612587.64910000016</v>
      </c>
      <c r="AG10" s="290">
        <v>476267.58583999996</v>
      </c>
      <c r="AH10" s="290">
        <v>429294.11857000011</v>
      </c>
      <c r="AI10" s="290">
        <v>394050.6464899999</v>
      </c>
      <c r="AJ10" s="290">
        <v>543816.75948000001</v>
      </c>
      <c r="AK10" s="290">
        <v>419416.19112999993</v>
      </c>
      <c r="AL10" s="290">
        <v>373733.00693000009</v>
      </c>
      <c r="AM10" s="290">
        <v>374649.80194000003</v>
      </c>
      <c r="AN10" s="48"/>
      <c r="AP10" s="48">
        <v>1711615.75948</v>
      </c>
      <c r="AQ10" s="48">
        <v>1912200.0000000002</v>
      </c>
      <c r="AR10" s="48">
        <v>2105657</v>
      </c>
      <c r="AS10" s="48">
        <v>1510339</v>
      </c>
      <c r="AT10" s="48">
        <v>2159797.6255887174</v>
      </c>
      <c r="AU10" s="48">
        <v>2596548.8638032204</v>
      </c>
      <c r="AV10" s="48">
        <v>2756911.4207172957</v>
      </c>
      <c r="AW10" s="48">
        <v>2827881.6622219211</v>
      </c>
      <c r="AX10" s="48">
        <v>3143728.5825252002</v>
      </c>
      <c r="AY10" s="170"/>
    </row>
    <row r="11" spans="2:51" ht="15" customHeight="1" x14ac:dyDescent="0.2">
      <c r="B11" s="152" t="s">
        <v>92</v>
      </c>
      <c r="C11" s="152" t="s">
        <v>93</v>
      </c>
      <c r="D11" s="48">
        <v>290904.02231426578</v>
      </c>
      <c r="E11" s="48">
        <v>228074.79395297772</v>
      </c>
      <c r="F11" s="48">
        <v>226896.7689475574</v>
      </c>
      <c r="G11" s="48">
        <v>177391.24344000011</v>
      </c>
      <c r="H11" s="48">
        <v>245146.77150176989</v>
      </c>
      <c r="I11" s="48">
        <v>189935.84475328922</v>
      </c>
      <c r="J11" s="48">
        <v>192623.22246724929</v>
      </c>
      <c r="K11" s="48">
        <v>142499.76849916994</v>
      </c>
      <c r="L11" s="48">
        <v>204623.03867000001</v>
      </c>
      <c r="M11" s="48">
        <v>178494.41736054694</v>
      </c>
      <c r="N11" s="48">
        <v>183270.90078804025</v>
      </c>
      <c r="O11" s="48">
        <v>138096.02356411598</v>
      </c>
      <c r="P11" s="48">
        <v>303247.12476081483</v>
      </c>
      <c r="Q11" s="48">
        <v>203417.43916054344</v>
      </c>
      <c r="R11" s="48">
        <v>205143.8012363828</v>
      </c>
      <c r="S11" s="48">
        <v>196123.23294903879</v>
      </c>
      <c r="T11" s="48">
        <v>287406.43267594418</v>
      </c>
      <c r="U11" s="48">
        <v>172623.86540538471</v>
      </c>
      <c r="V11" s="48">
        <v>187211.87303537785</v>
      </c>
      <c r="W11" s="48">
        <v>140192.49275457612</v>
      </c>
      <c r="X11" s="48">
        <v>218676.47790135044</v>
      </c>
      <c r="Y11" s="48">
        <v>209535</v>
      </c>
      <c r="Z11" s="48">
        <v>191869</v>
      </c>
      <c r="AA11" s="48">
        <v>100541</v>
      </c>
      <c r="AB11" s="48">
        <v>142691</v>
      </c>
      <c r="AC11" s="48">
        <v>102278</v>
      </c>
      <c r="AD11" s="48">
        <v>103436</v>
      </c>
      <c r="AE11" s="48">
        <v>91360</v>
      </c>
      <c r="AF11" s="48">
        <v>117122.85659999978</v>
      </c>
      <c r="AG11" s="48">
        <v>89024.885649999997</v>
      </c>
      <c r="AH11" s="48">
        <v>89898.77929999998</v>
      </c>
      <c r="AI11" s="48">
        <v>66810.478449999995</v>
      </c>
      <c r="AJ11" s="48">
        <v>79753.350480000023</v>
      </c>
      <c r="AK11" s="48">
        <v>66889.895139999979</v>
      </c>
      <c r="AL11" s="48">
        <v>60439.642369999994</v>
      </c>
      <c r="AM11" s="48">
        <v>49873.408219999998</v>
      </c>
      <c r="AN11" s="48"/>
      <c r="AP11" s="48">
        <v>256956.29621</v>
      </c>
      <c r="AQ11" s="48">
        <v>362856.99999999977</v>
      </c>
      <c r="AR11" s="48">
        <v>439765</v>
      </c>
      <c r="AS11" s="48">
        <v>720621.47790135047</v>
      </c>
      <c r="AT11" s="48">
        <v>787434.66387128283</v>
      </c>
      <c r="AU11" s="48">
        <v>907931.59810677986</v>
      </c>
      <c r="AV11" s="48">
        <v>704484.38038270315</v>
      </c>
      <c r="AW11" s="48">
        <v>770205.60722147836</v>
      </c>
      <c r="AX11" s="48">
        <v>923266.82865480101</v>
      </c>
      <c r="AY11" s="170"/>
    </row>
    <row r="12" spans="2:51" ht="15" customHeight="1" x14ac:dyDescent="0.2">
      <c r="B12" s="152" t="s">
        <v>96</v>
      </c>
      <c r="C12" s="152" t="s">
        <v>97</v>
      </c>
      <c r="D12" s="48">
        <v>-646345.20256999903</v>
      </c>
      <c r="E12" s="48">
        <v>-514547.05688160763</v>
      </c>
      <c r="F12" s="48">
        <v>-457697.28950148512</v>
      </c>
      <c r="G12" s="48">
        <v>-404734.71762999997</v>
      </c>
      <c r="H12" s="48">
        <v>-558411.71074000001</v>
      </c>
      <c r="I12" s="48">
        <v>-443792.79053000006</v>
      </c>
      <c r="J12" s="48">
        <v>-424458.42574454559</v>
      </c>
      <c r="K12" s="48">
        <v>-374157.20731000003</v>
      </c>
      <c r="L12" s="48">
        <v>-558809.76548999897</v>
      </c>
      <c r="M12" s="48">
        <v>-466999.57060999901</v>
      </c>
      <c r="N12" s="48">
        <v>-391965.8996500012</v>
      </c>
      <c r="O12" s="48">
        <v>-341881.73866999988</v>
      </c>
      <c r="P12" s="48">
        <v>-613499.87137759454</v>
      </c>
      <c r="Q12" s="48">
        <v>-461926.09903000126</v>
      </c>
      <c r="R12" s="48">
        <v>-391150.75036999997</v>
      </c>
      <c r="S12" s="48">
        <v>-359454.92985000001</v>
      </c>
      <c r="T12" s="48">
        <v>-530238.05875000008</v>
      </c>
      <c r="U12" s="48">
        <v>-389914.19274999981</v>
      </c>
      <c r="V12" s="48">
        <v>-311270.87853000005</v>
      </c>
      <c r="W12" s="48">
        <v>-263032.67404000001</v>
      </c>
      <c r="X12" s="48">
        <v>-502555.74930000002</v>
      </c>
      <c r="Y12" s="48">
        <v>-321115</v>
      </c>
      <c r="Z12" s="48">
        <v>-155861</v>
      </c>
      <c r="AA12" s="48">
        <v>-259232</v>
      </c>
      <c r="AB12" s="48">
        <v>-441355</v>
      </c>
      <c r="AC12" s="48">
        <v>-314016</v>
      </c>
      <c r="AD12" s="48">
        <v>-268420</v>
      </c>
      <c r="AE12" s="48">
        <v>-263019</v>
      </c>
      <c r="AF12" s="48">
        <v>-375318</v>
      </c>
      <c r="AG12" s="48">
        <v>-291974</v>
      </c>
      <c r="AH12" s="48">
        <v>-256825</v>
      </c>
      <c r="AI12" s="48">
        <v>-235007</v>
      </c>
      <c r="AJ12" s="48">
        <v>-314457</v>
      </c>
      <c r="AK12" s="48">
        <v>-251679</v>
      </c>
      <c r="AL12" s="48">
        <v>-216648</v>
      </c>
      <c r="AM12" s="48">
        <v>-223818</v>
      </c>
      <c r="AN12" s="48"/>
      <c r="AP12" s="48">
        <v>-1006602</v>
      </c>
      <c r="AQ12" s="48">
        <v>-1159124</v>
      </c>
      <c r="AR12" s="48">
        <v>-1286810</v>
      </c>
      <c r="AS12" s="48">
        <v>-1238763.7493</v>
      </c>
      <c r="AT12" s="48">
        <v>-1494455.8040699998</v>
      </c>
      <c r="AU12" s="48">
        <v>-1826031.6506275958</v>
      </c>
      <c r="AV12" s="48">
        <v>-1759656.9744199989</v>
      </c>
      <c r="AW12" s="48">
        <v>-1800820.1343245457</v>
      </c>
      <c r="AX12" s="48">
        <v>-2023324.266583092</v>
      </c>
      <c r="AY12" s="170"/>
    </row>
    <row r="13" spans="2:51" ht="15" customHeight="1" x14ac:dyDescent="0.2">
      <c r="B13" s="152"/>
      <c r="C13" s="152"/>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P13" s="48"/>
      <c r="AQ13" s="48"/>
      <c r="AR13" s="48"/>
      <c r="AS13" s="48"/>
      <c r="AT13" s="48"/>
      <c r="AU13" s="48"/>
      <c r="AV13" s="48"/>
      <c r="AW13" s="48"/>
      <c r="AX13" s="48"/>
      <c r="AY13" s="170"/>
    </row>
    <row r="14" spans="2:51" ht="15" customHeight="1" x14ac:dyDescent="0.2">
      <c r="B14" s="149" t="s">
        <v>608</v>
      </c>
      <c r="C14" s="149" t="s">
        <v>609</v>
      </c>
      <c r="D14" s="150">
        <v>633492.14790000126</v>
      </c>
      <c r="E14" s="150">
        <v>510492.362178393</v>
      </c>
      <c r="F14" s="150">
        <v>482985.19556851528</v>
      </c>
      <c r="G14" s="150">
        <v>416701.43895000004</v>
      </c>
      <c r="H14" s="150">
        <v>546671.32338999992</v>
      </c>
      <c r="I14" s="150">
        <v>450567.74221999972</v>
      </c>
      <c r="J14" s="150">
        <v>435395.4089888545</v>
      </c>
      <c r="K14" s="150">
        <v>364632.66051999992</v>
      </c>
      <c r="L14" s="150">
        <v>512345.92696000199</v>
      </c>
      <c r="M14" s="150">
        <v>415733.47869000246</v>
      </c>
      <c r="N14" s="150">
        <v>410947.64095998055</v>
      </c>
      <c r="O14" s="150">
        <v>362711.82937001635</v>
      </c>
      <c r="P14" s="150">
        <v>534716.46358240605</v>
      </c>
      <c r="Q14" s="150">
        <v>406797.96</v>
      </c>
      <c r="R14" s="150">
        <v>397811.87057999999</v>
      </c>
      <c r="S14" s="150">
        <v>339122.13942999998</v>
      </c>
      <c r="T14" s="150">
        <v>528076.74930000002</v>
      </c>
      <c r="U14" s="150">
        <v>392999.47462999995</v>
      </c>
      <c r="V14" s="150">
        <v>317490.12084000011</v>
      </c>
      <c r="W14" s="150">
        <v>214210</v>
      </c>
      <c r="X14" s="150">
        <v>414378.2506999998</v>
      </c>
      <c r="Y14" s="150">
        <v>247923</v>
      </c>
      <c r="Z14" s="150">
        <v>83511</v>
      </c>
      <c r="AA14" s="150">
        <v>246383</v>
      </c>
      <c r="AB14" s="150">
        <v>410354</v>
      </c>
      <c r="AC14" s="150">
        <v>306987</v>
      </c>
      <c r="AD14" s="150">
        <v>277113</v>
      </c>
      <c r="AE14" s="150">
        <v>264158</v>
      </c>
      <c r="AF14" s="150">
        <v>354392</v>
      </c>
      <c r="AG14" s="150">
        <v>273318</v>
      </c>
      <c r="AH14" s="150">
        <v>262369</v>
      </c>
      <c r="AI14" s="150">
        <v>225854</v>
      </c>
      <c r="AJ14" s="150">
        <v>309113</v>
      </c>
      <c r="AK14" s="150">
        <v>234627</v>
      </c>
      <c r="AL14" s="150">
        <v>217525</v>
      </c>
      <c r="AM14" s="150">
        <v>200705</v>
      </c>
      <c r="AN14" s="155"/>
      <c r="AP14" s="150">
        <v>961970</v>
      </c>
      <c r="AQ14" s="154">
        <v>1115933</v>
      </c>
      <c r="AR14" s="154">
        <v>1258612</v>
      </c>
      <c r="AS14" s="154">
        <v>992195.25069999974</v>
      </c>
      <c r="AT14" s="154">
        <v>1452776.3447700001</v>
      </c>
      <c r="AU14" s="150">
        <v>1678448.4335924061</v>
      </c>
      <c r="AV14" s="153">
        <v>1701738.8759800014</v>
      </c>
      <c r="AW14" s="153">
        <v>1797267.1351188542</v>
      </c>
      <c r="AX14" s="153">
        <v>2043671.1445969096</v>
      </c>
      <c r="AY14" s="170"/>
    </row>
    <row r="15" spans="2:51" ht="15" customHeight="1" x14ac:dyDescent="0.2">
      <c r="B15" s="152" t="s">
        <v>611</v>
      </c>
      <c r="C15" s="152" t="s">
        <v>610</v>
      </c>
      <c r="D15" s="156">
        <v>0.49497863745526821</v>
      </c>
      <c r="E15" s="156">
        <v>0.49802217620716821</v>
      </c>
      <c r="F15" s="156">
        <v>0.51344125486994074</v>
      </c>
      <c r="G15" s="156">
        <v>0.50728402397687411</v>
      </c>
      <c r="H15" s="156">
        <v>0.49468800669840929</v>
      </c>
      <c r="I15" s="156">
        <v>0.50378759540583029</v>
      </c>
      <c r="J15" s="156">
        <v>0.50635979209635085</v>
      </c>
      <c r="K15" s="156">
        <v>0.49355395410471997</v>
      </c>
      <c r="L15" s="156">
        <v>0.47831135153484433</v>
      </c>
      <c r="M15" s="156">
        <v>0.47096175025744191</v>
      </c>
      <c r="N15" s="156">
        <v>0.51182102030814325</v>
      </c>
      <c r="O15" s="156">
        <v>0.51478108369452158</v>
      </c>
      <c r="P15" s="156">
        <v>0.46569313403909507</v>
      </c>
      <c r="Q15" s="156">
        <v>0.46827062721645113</v>
      </c>
      <c r="R15" s="156">
        <v>0.50422124261437917</v>
      </c>
      <c r="S15" s="156">
        <v>0.4854469500926305</v>
      </c>
      <c r="T15" s="156">
        <v>0.49897889113242716</v>
      </c>
      <c r="U15" s="156">
        <v>0.50197038448078501</v>
      </c>
      <c r="V15" s="156">
        <v>0.50494563318845076</v>
      </c>
      <c r="W15" s="156">
        <v>0.44900000000000001</v>
      </c>
      <c r="X15" s="156">
        <v>0.45200000000000001</v>
      </c>
      <c r="Y15" s="156">
        <v>0.436</v>
      </c>
      <c r="Z15" s="156">
        <v>0.34899999999999998</v>
      </c>
      <c r="AA15" s="156">
        <v>0.48699999999999999</v>
      </c>
      <c r="AB15" s="156">
        <v>0.48199999999999998</v>
      </c>
      <c r="AC15" s="156">
        <v>0.49399999999999999</v>
      </c>
      <c r="AD15" s="156">
        <v>0.50800000000000001</v>
      </c>
      <c r="AE15" s="156">
        <v>0.501</v>
      </c>
      <c r="AF15" s="156">
        <v>0.48599999999999999</v>
      </c>
      <c r="AG15" s="156">
        <v>0.4834987935438676</v>
      </c>
      <c r="AH15" s="156">
        <v>0.50534001806649931</v>
      </c>
      <c r="AI15" s="156">
        <v>0.49006967393639295</v>
      </c>
      <c r="AJ15" s="156">
        <v>0.49571499591064355</v>
      </c>
      <c r="AK15" s="156">
        <v>0.48246782889785444</v>
      </c>
      <c r="AL15" s="156">
        <v>0.50101037076081889</v>
      </c>
      <c r="AM15" s="156">
        <v>0.47277768224572048</v>
      </c>
      <c r="AN15" s="157"/>
      <c r="AO15" s="156"/>
      <c r="AP15" s="156">
        <v>0.48866395101344912</v>
      </c>
      <c r="AQ15" s="156">
        <v>0.490507710356268</v>
      </c>
      <c r="AR15" s="156">
        <v>0.49446101639462714</v>
      </c>
      <c r="AS15" s="156">
        <v>0.44473914848316409</v>
      </c>
      <c r="AT15" s="156">
        <v>0.49292902693586355</v>
      </c>
      <c r="AU15" s="156">
        <v>0.47894358431595419</v>
      </c>
      <c r="AV15" s="156">
        <v>0.49163371476882384</v>
      </c>
      <c r="AW15" s="156">
        <v>0.49950626556005673</v>
      </c>
      <c r="AX15" s="156">
        <v>0.50250146311425448</v>
      </c>
      <c r="AY15" s="171"/>
    </row>
    <row r="16" spans="2:51" ht="15" customHeight="1" x14ac:dyDescent="0.2">
      <c r="D16" s="270"/>
      <c r="E16" s="270"/>
      <c r="F16" s="270"/>
      <c r="G16" s="270"/>
      <c r="H16" s="270"/>
      <c r="I16" s="270"/>
      <c r="J16" s="270"/>
      <c r="K16" s="270"/>
      <c r="L16" s="270"/>
      <c r="M16" s="270"/>
      <c r="N16" s="270"/>
      <c r="O16" s="270"/>
      <c r="P16" s="270"/>
      <c r="Q16" s="270"/>
      <c r="R16" s="270"/>
      <c r="S16" s="270"/>
      <c r="T16" s="270"/>
      <c r="U16" s="270"/>
      <c r="V16" s="270"/>
      <c r="W16" s="270"/>
      <c r="X16" s="270"/>
      <c r="Y16" s="270"/>
      <c r="Z16" s="270"/>
      <c r="AA16" s="270"/>
      <c r="AB16" s="270"/>
      <c r="AC16" s="270"/>
      <c r="AD16" s="270"/>
      <c r="AE16" s="270"/>
      <c r="AF16" s="270"/>
      <c r="AG16" s="270"/>
      <c r="AH16" s="270"/>
      <c r="AI16" s="270"/>
      <c r="AJ16" s="270"/>
      <c r="AK16" s="270"/>
      <c r="AL16" s="270"/>
      <c r="AM16" s="270"/>
    </row>
    <row r="17" spans="2:51" ht="24.95" customHeight="1" x14ac:dyDescent="0.2">
      <c r="B17" s="146" t="s">
        <v>161</v>
      </c>
      <c r="C17" s="146" t="s">
        <v>161</v>
      </c>
      <c r="D17" s="146" t="s">
        <v>1092</v>
      </c>
      <c r="E17" s="146" t="s">
        <v>1010</v>
      </c>
      <c r="F17" s="146" t="s">
        <v>1007</v>
      </c>
      <c r="G17" s="146" t="s">
        <v>1004</v>
      </c>
      <c r="H17" s="146" t="s">
        <v>986</v>
      </c>
      <c r="I17" s="146" t="s">
        <v>894</v>
      </c>
      <c r="J17" s="146" t="s">
        <v>893</v>
      </c>
      <c r="K17" s="146" t="s">
        <v>876</v>
      </c>
      <c r="L17" s="146" t="s">
        <v>846</v>
      </c>
      <c r="M17" s="146" t="s">
        <v>838</v>
      </c>
      <c r="N17" s="146" t="s">
        <v>823</v>
      </c>
      <c r="O17" s="146" t="s">
        <v>762</v>
      </c>
      <c r="P17" s="146" t="s">
        <v>742</v>
      </c>
      <c r="Q17" s="146" t="s">
        <v>718</v>
      </c>
      <c r="R17" s="146" t="s">
        <v>703</v>
      </c>
      <c r="S17" s="146" t="s">
        <v>685</v>
      </c>
      <c r="T17" s="146" t="s">
        <v>670</v>
      </c>
      <c r="U17" s="146" t="s">
        <v>630</v>
      </c>
      <c r="V17" s="146" t="s">
        <v>618</v>
      </c>
      <c r="W17" s="146" t="s">
        <v>591</v>
      </c>
      <c r="X17" s="146" t="s">
        <v>551</v>
      </c>
      <c r="Y17" s="146" t="s">
        <v>153</v>
      </c>
      <c r="Z17" s="146" t="s">
        <v>0</v>
      </c>
      <c r="AA17" s="146" t="s">
        <v>1</v>
      </c>
      <c r="AB17" s="146" t="s">
        <v>2</v>
      </c>
      <c r="AC17" s="146" t="s">
        <v>3</v>
      </c>
      <c r="AD17" s="146" t="s">
        <v>4</v>
      </c>
      <c r="AE17" s="146" t="s">
        <v>5</v>
      </c>
      <c r="AF17" s="146" t="s">
        <v>6</v>
      </c>
      <c r="AG17" s="146" t="s">
        <v>7</v>
      </c>
      <c r="AH17" s="146" t="s">
        <v>8</v>
      </c>
      <c r="AI17" s="146" t="s">
        <v>9</v>
      </c>
      <c r="AJ17" s="146" t="s">
        <v>10</v>
      </c>
      <c r="AK17" s="146" t="s">
        <v>11</v>
      </c>
      <c r="AL17" s="146" t="s">
        <v>12</v>
      </c>
      <c r="AM17" s="146" t="s">
        <v>13</v>
      </c>
      <c r="AO17" s="148">
        <v>2016</v>
      </c>
      <c r="AP17" s="148">
        <v>2017</v>
      </c>
      <c r="AQ17" s="148">
        <v>2018</v>
      </c>
      <c r="AR17" s="158">
        <v>2019</v>
      </c>
      <c r="AS17" s="158">
        <v>2020</v>
      </c>
      <c r="AT17" s="158">
        <v>2021</v>
      </c>
      <c r="AU17" s="148">
        <v>2022</v>
      </c>
      <c r="AV17" s="148">
        <v>2023</v>
      </c>
      <c r="AW17" s="148">
        <v>2024</v>
      </c>
      <c r="AX17" s="148">
        <v>2025</v>
      </c>
    </row>
    <row r="18" spans="2:51" ht="15" customHeight="1" x14ac:dyDescent="0.2">
      <c r="B18" s="159" t="s">
        <v>625</v>
      </c>
      <c r="C18" s="159" t="s">
        <v>626</v>
      </c>
      <c r="D18" s="160">
        <v>0.15745300947104246</v>
      </c>
      <c r="E18" s="160">
        <v>0.14771365593205266</v>
      </c>
      <c r="F18" s="160">
        <v>0.10671899346330371</v>
      </c>
      <c r="G18" s="160">
        <v>0.13200000000000001</v>
      </c>
      <c r="H18" s="160">
        <v>6.5873081213621676E-2</v>
      </c>
      <c r="I18" s="160">
        <v>7.194671250796203E-3</v>
      </c>
      <c r="J18" s="160">
        <v>6.3531393511173206E-2</v>
      </c>
      <c r="K18" s="160">
        <v>5.0214406246621657E-2</v>
      </c>
      <c r="L18" s="160">
        <v>-5.6481098309035471E-2</v>
      </c>
      <c r="M18" s="160">
        <v>2.4106336758926039E-2</v>
      </c>
      <c r="N18" s="160">
        <v>8.3573097477096292E-2</v>
      </c>
      <c r="O18" s="160">
        <v>9.1177426390214089E-2</v>
      </c>
      <c r="P18" s="160">
        <v>7.3610416128810252E-2</v>
      </c>
      <c r="Q18" s="160">
        <v>0.1392484868012076</v>
      </c>
      <c r="R18" s="160">
        <v>0.23605916932155213</v>
      </c>
      <c r="S18" s="160">
        <v>0.37501284533438461</v>
      </c>
      <c r="T18" s="160">
        <v>0.1144013144980669</v>
      </c>
      <c r="U18" s="160">
        <v>0.23272079631732057</v>
      </c>
      <c r="V18" s="160">
        <v>1.1717202655293959</v>
      </c>
      <c r="W18" s="160">
        <v>-7.2152068125595603E-2</v>
      </c>
      <c r="X18" s="160">
        <v>7.9000000000000001E-2</v>
      </c>
      <c r="Y18" s="160">
        <v>-5.8999999999999997E-2</v>
      </c>
      <c r="Z18" s="160">
        <v>-0.46500000000000002</v>
      </c>
      <c r="AA18" s="160">
        <v>-3.2000000000000001E-2</v>
      </c>
      <c r="AB18" s="160">
        <v>0.125</v>
      </c>
      <c r="AC18" s="160">
        <v>7.6999999999999999E-2</v>
      </c>
      <c r="AD18" s="160">
        <v>2.9000000000000001E-2</v>
      </c>
      <c r="AE18" s="160">
        <v>0.11</v>
      </c>
      <c r="AF18" s="160">
        <v>0.14499999999999999</v>
      </c>
      <c r="AG18" s="160">
        <v>0.14399999999999999</v>
      </c>
      <c r="AH18" s="160">
        <v>0.224</v>
      </c>
      <c r="AI18" s="160">
        <v>8.8999999999999996E-2</v>
      </c>
      <c r="AJ18" s="160">
        <v>8.1697874242999236E-2</v>
      </c>
      <c r="AK18" s="160">
        <v>9.5070295890086198E-2</v>
      </c>
      <c r="AL18" s="160">
        <v>7.9675685703312293E-2</v>
      </c>
      <c r="AM18" s="160">
        <v>6.6578457177843831E-2</v>
      </c>
      <c r="AO18" s="160">
        <v>-7.2999999999999995E-2</v>
      </c>
      <c r="AP18" s="160">
        <v>8.1169183862406902E-2</v>
      </c>
      <c r="AQ18" s="160">
        <v>0.14962098142684477</v>
      </c>
      <c r="AR18" s="160">
        <v>8.8999999999999996E-2</v>
      </c>
      <c r="AS18" s="160">
        <v>-8.6999999999999994E-2</v>
      </c>
      <c r="AT18" s="160">
        <v>0.22700000000000001</v>
      </c>
      <c r="AU18" s="160">
        <v>0.17399386835924635</v>
      </c>
      <c r="AV18" s="160">
        <v>2.6908252952886125E-2</v>
      </c>
      <c r="AW18" s="160">
        <v>4.696446089232631E-2</v>
      </c>
      <c r="AX18" s="160">
        <v>0.13786072994225917</v>
      </c>
    </row>
    <row r="19" spans="2:51" ht="15" customHeight="1" x14ac:dyDescent="0.2">
      <c r="B19" s="161" t="s">
        <v>162</v>
      </c>
      <c r="C19" s="161" t="s">
        <v>163</v>
      </c>
      <c r="D19" s="162">
        <v>0.1585465670718893</v>
      </c>
      <c r="E19" s="162">
        <v>0.15055691396238102</v>
      </c>
      <c r="F19" s="162">
        <v>0.10568573928917391</v>
      </c>
      <c r="G19" s="162">
        <v>0.109</v>
      </c>
      <c r="H19" s="162">
        <v>2.1978713355002233E-2</v>
      </c>
      <c r="I19" s="162">
        <v>-2.3082925407371668E-3</v>
      </c>
      <c r="J19" s="162">
        <v>7.9524723153606258E-2</v>
      </c>
      <c r="K19" s="162">
        <v>3.8162000899655935E-2</v>
      </c>
      <c r="L19" s="162">
        <v>1.0535051926819028E-2</v>
      </c>
      <c r="M19" s="162">
        <v>5.3196940208879884E-2</v>
      </c>
      <c r="N19" s="162">
        <v>7.1639427631393637E-2</v>
      </c>
      <c r="O19" s="162">
        <v>0.16672913905652953</v>
      </c>
      <c r="P19" s="162">
        <v>4.5542490042158601E-2</v>
      </c>
      <c r="Q19" s="162">
        <v>5.8748556615303205E-2</v>
      </c>
      <c r="R19" s="162">
        <v>0.22032714837771894</v>
      </c>
      <c r="S19" s="162">
        <v>0.37944024876556548</v>
      </c>
      <c r="T19" s="162">
        <v>8.8056196365416506E-2</v>
      </c>
      <c r="U19" s="162">
        <v>0.55575394236040676</v>
      </c>
      <c r="V19" s="162">
        <v>7.1133353385447133</v>
      </c>
      <c r="W19" s="162">
        <v>-0.21947549553394186</v>
      </c>
      <c r="X19" s="162">
        <v>-0.04</v>
      </c>
      <c r="Y19" s="162">
        <v>-0.33900000000000002</v>
      </c>
      <c r="Z19" s="162">
        <v>-0.89</v>
      </c>
      <c r="AA19" s="162">
        <v>-7.3999999999999996E-2</v>
      </c>
      <c r="AB19" s="162">
        <v>8.8999999999999996E-2</v>
      </c>
      <c r="AC19" s="162">
        <v>4.9000000000000002E-2</v>
      </c>
      <c r="AD19" s="162">
        <v>-3.0000000000000001E-3</v>
      </c>
      <c r="AE19" s="162">
        <v>6.2E-2</v>
      </c>
      <c r="AF19" s="162">
        <v>9.6000000000000002E-2</v>
      </c>
      <c r="AG19" s="162">
        <v>0.108</v>
      </c>
      <c r="AH19" s="162">
        <v>0.17699999999999999</v>
      </c>
      <c r="AI19" s="162">
        <v>5.5E-2</v>
      </c>
      <c r="AJ19" s="162">
        <v>5.8000000000000003E-2</v>
      </c>
      <c r="AK19" s="162">
        <v>7.5999999999999998E-2</v>
      </c>
      <c r="AL19" s="162">
        <v>6.0999999999999999E-2</v>
      </c>
      <c r="AM19" s="162">
        <v>5.7000000000000002E-2</v>
      </c>
      <c r="AO19" s="162">
        <v>-4.3999999999999997E-2</v>
      </c>
      <c r="AP19" s="162">
        <v>6.3E-2</v>
      </c>
      <c r="AQ19" s="162">
        <v>0.107</v>
      </c>
      <c r="AR19" s="162">
        <v>5.2999999999999999E-2</v>
      </c>
      <c r="AS19" s="162">
        <v>-0.28699999999999998</v>
      </c>
      <c r="AT19" s="162">
        <v>0.34100000000000003</v>
      </c>
      <c r="AU19" s="162">
        <v>0.13492873884215029</v>
      </c>
      <c r="AV19" s="162">
        <v>6.8963272600925496E-2</v>
      </c>
      <c r="AW19" s="162">
        <v>3.17575467549438E-2</v>
      </c>
      <c r="AX19" s="162">
        <v>0.13391205355951064</v>
      </c>
    </row>
    <row r="20" spans="2:51" ht="15" customHeight="1" x14ac:dyDescent="0.2">
      <c r="B20" s="161" t="s">
        <v>164</v>
      </c>
      <c r="C20" s="161" t="s">
        <v>165</v>
      </c>
      <c r="D20" s="162">
        <v>0.15452925650150418</v>
      </c>
      <c r="E20" s="162">
        <v>0.13971477505339536</v>
      </c>
      <c r="F20" s="162">
        <v>0.10936296305984783</v>
      </c>
      <c r="G20" s="162">
        <v>0.20399999999999999</v>
      </c>
      <c r="H20" s="162">
        <v>0.20474925978657232</v>
      </c>
      <c r="I20" s="162">
        <v>3.4924861072515689E-2</v>
      </c>
      <c r="J20" s="162">
        <v>2.4818330257658561E-2</v>
      </c>
      <c r="K20" s="162">
        <v>8.9103813950366595E-2</v>
      </c>
      <c r="L20" s="162">
        <v>-0.18680416492137308</v>
      </c>
      <c r="M20" s="162">
        <v>-5.2593070809651365E-2</v>
      </c>
      <c r="N20" s="162">
        <v>-5.0473429446077356E-2</v>
      </c>
      <c r="O20" s="162">
        <v>-7.7522083971483413E-2</v>
      </c>
      <c r="P20" s="162">
        <v>0.1440090968304315</v>
      </c>
      <c r="Q20" s="162">
        <v>0.37733854417008117</v>
      </c>
      <c r="R20" s="162">
        <v>0.26708156641285763</v>
      </c>
      <c r="S20" s="162">
        <v>0.36652918206615448</v>
      </c>
      <c r="T20" s="162">
        <v>0.188802954539528</v>
      </c>
      <c r="U20" s="162">
        <v>-0.23745188834133291</v>
      </c>
      <c r="V20" s="162">
        <v>-0.1162545870274867</v>
      </c>
      <c r="W20" s="162">
        <v>0.45356874846628847</v>
      </c>
      <c r="X20" s="162">
        <v>0.61599999999999999</v>
      </c>
      <c r="Y20" s="162">
        <v>1.2030000000000001</v>
      </c>
      <c r="Z20" s="162">
        <v>1.05</v>
      </c>
      <c r="AA20" s="162">
        <v>0.14399999999999999</v>
      </c>
      <c r="AB20" s="162">
        <v>0.315</v>
      </c>
      <c r="AC20" s="162">
        <v>0.222</v>
      </c>
      <c r="AD20" s="162">
        <v>0.17100000000000001</v>
      </c>
      <c r="AE20" s="162">
        <v>0.40899999999999997</v>
      </c>
      <c r="AF20" s="162">
        <v>0.473646764098683</v>
      </c>
      <c r="AG20" s="162">
        <v>0.38349269959878063</v>
      </c>
      <c r="AH20" s="162">
        <v>0.501</v>
      </c>
      <c r="AI20" s="162">
        <v>0.34399999999999997</v>
      </c>
      <c r="AJ20" s="162">
        <v>0.27300000000000002</v>
      </c>
      <c r="AK20" s="162">
        <v>0.24099999999999999</v>
      </c>
      <c r="AL20" s="162">
        <v>0.20899999999999999</v>
      </c>
      <c r="AM20" s="162">
        <v>0.14099999999999999</v>
      </c>
      <c r="AO20" s="162">
        <v>-0.25</v>
      </c>
      <c r="AP20" s="162">
        <v>0.221</v>
      </c>
      <c r="AQ20" s="162">
        <v>0.43212120976426993</v>
      </c>
      <c r="AR20" s="162">
        <v>0.27400000000000002</v>
      </c>
      <c r="AS20" s="162">
        <v>0.75600000000000001</v>
      </c>
      <c r="AT20" s="162">
        <v>1.7999999999999999E-2</v>
      </c>
      <c r="AU20" s="162">
        <v>0.26649693095629856</v>
      </c>
      <c r="AV20" s="162">
        <v>-0.10038777429081924</v>
      </c>
      <c r="AW20" s="162">
        <v>9.1290648781394923E-2</v>
      </c>
      <c r="AX20" s="162">
        <v>0.14874706412443328</v>
      </c>
    </row>
    <row r="21" spans="2:51" ht="15" customHeight="1" x14ac:dyDescent="0.2">
      <c r="B21" s="161"/>
      <c r="C21" s="161"/>
      <c r="D21" s="156"/>
      <c r="E21" s="156"/>
      <c r="F21" s="156"/>
      <c r="G21" s="156"/>
      <c r="H21" s="156"/>
      <c r="I21" s="156"/>
      <c r="J21" s="156"/>
      <c r="K21" s="156"/>
      <c r="L21" s="156"/>
      <c r="M21" s="156"/>
      <c r="N21" s="156"/>
      <c r="O21" s="156"/>
      <c r="P21" s="156"/>
      <c r="Q21" s="156"/>
      <c r="R21" s="156"/>
      <c r="S21" s="156"/>
      <c r="T21" s="156"/>
      <c r="U21" s="156"/>
      <c r="V21" s="156"/>
      <c r="W21" s="156"/>
      <c r="X21" s="156"/>
      <c r="Y21" s="156"/>
      <c r="Z21" s="156"/>
      <c r="AA21" s="156"/>
      <c r="AB21" s="156"/>
      <c r="AC21" s="156"/>
      <c r="AD21" s="156"/>
      <c r="AE21" s="156"/>
      <c r="AF21" s="156"/>
      <c r="AG21" s="156"/>
      <c r="AH21" s="156"/>
      <c r="AI21" s="156"/>
      <c r="AJ21" s="156"/>
      <c r="AK21" s="156"/>
      <c r="AL21" s="156"/>
      <c r="AM21" s="156"/>
      <c r="AO21" s="164"/>
      <c r="AP21" s="164"/>
      <c r="AQ21" s="164"/>
      <c r="AR21" s="164"/>
      <c r="AS21" s="162"/>
      <c r="AT21" s="162"/>
      <c r="AU21" s="162"/>
      <c r="AV21" s="163"/>
      <c r="AW21" s="163"/>
      <c r="AX21" s="163"/>
      <c r="AY21" s="164"/>
    </row>
    <row r="22" spans="2:51" ht="15" customHeight="1" x14ac:dyDescent="0.2">
      <c r="B22" s="165" t="s">
        <v>628</v>
      </c>
      <c r="C22" s="165" t="s">
        <v>627</v>
      </c>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56"/>
      <c r="AE22" s="156"/>
      <c r="AF22" s="156"/>
      <c r="AG22" s="156"/>
      <c r="AH22" s="156"/>
      <c r="AI22" s="156"/>
      <c r="AJ22" s="156"/>
      <c r="AK22" s="156"/>
      <c r="AL22" s="156"/>
      <c r="AM22" s="156"/>
      <c r="AO22" s="164"/>
      <c r="AP22" s="164"/>
      <c r="AQ22" s="164"/>
      <c r="AR22" s="164"/>
      <c r="AS22" s="164"/>
      <c r="AT22" s="166"/>
      <c r="AU22" s="164"/>
      <c r="AV22" s="164"/>
      <c r="AW22" s="164"/>
      <c r="AX22" s="164"/>
      <c r="AY22" s="164"/>
    </row>
    <row r="24" spans="2:51" ht="15" customHeight="1" x14ac:dyDescent="0.2">
      <c r="B24" s="167" t="s">
        <v>1020</v>
      </c>
      <c r="C24" s="167" t="s">
        <v>1017</v>
      </c>
      <c r="F24" s="168"/>
      <c r="G24" s="168"/>
      <c r="H24" s="168"/>
      <c r="I24" s="168"/>
      <c r="J24" s="168"/>
      <c r="K24" s="168"/>
      <c r="L24" s="168"/>
      <c r="M24" s="168"/>
      <c r="N24" s="168"/>
      <c r="O24" s="168"/>
      <c r="P24" s="168"/>
      <c r="Q24" s="168"/>
      <c r="R24" s="168" t="s">
        <v>166</v>
      </c>
      <c r="S24" s="168" t="s">
        <v>166</v>
      </c>
      <c r="T24" s="168" t="s">
        <v>166</v>
      </c>
      <c r="U24" s="168" t="s">
        <v>166</v>
      </c>
      <c r="V24" s="168">
        <v>0.11031129826381858</v>
      </c>
      <c r="W24" s="168">
        <v>0.112</v>
      </c>
      <c r="X24" s="168">
        <v>3.6999999999999998E-2</v>
      </c>
      <c r="Y24" s="168">
        <v>0.46</v>
      </c>
      <c r="Z24" s="168">
        <v>7.0000000000000007E-2</v>
      </c>
      <c r="AA24" s="168" t="s">
        <v>166</v>
      </c>
      <c r="AB24" s="168" t="s">
        <v>166</v>
      </c>
      <c r="AC24" s="168" t="s">
        <v>166</v>
      </c>
      <c r="AD24" s="168" t="s">
        <v>166</v>
      </c>
      <c r="AE24" s="168" t="s">
        <v>166</v>
      </c>
      <c r="AF24" s="168" t="s">
        <v>166</v>
      </c>
      <c r="AG24" s="168" t="s">
        <v>166</v>
      </c>
      <c r="AH24" s="168" t="s">
        <v>166</v>
      </c>
      <c r="AI24" s="168" t="s">
        <v>166</v>
      </c>
      <c r="AJ24" s="168" t="s">
        <v>166</v>
      </c>
      <c r="AK24" s="168" t="s">
        <v>166</v>
      </c>
      <c r="AL24" s="168" t="s">
        <v>166</v>
      </c>
      <c r="AM24" s="168" t="s">
        <v>166</v>
      </c>
      <c r="AO24" s="164"/>
      <c r="AP24" s="164" t="s">
        <v>166</v>
      </c>
      <c r="AQ24" s="164" t="s">
        <v>166</v>
      </c>
      <c r="AR24" s="164" t="s">
        <v>166</v>
      </c>
      <c r="AS24" s="168">
        <v>0.123</v>
      </c>
      <c r="AT24" s="164" t="s">
        <v>166</v>
      </c>
      <c r="AU24" s="164"/>
      <c r="AV24" s="164"/>
      <c r="AW24" s="164"/>
      <c r="AX24" s="164"/>
      <c r="AY24" s="164"/>
    </row>
    <row r="25" spans="2:51" ht="15" customHeight="1" x14ac:dyDescent="0.2">
      <c r="B25" s="167" t="s">
        <v>1019</v>
      </c>
      <c r="C25" s="167" t="s">
        <v>1018</v>
      </c>
      <c r="F25" s="164"/>
      <c r="G25" s="164"/>
      <c r="H25" s="164"/>
      <c r="I25" s="164"/>
      <c r="J25" s="164"/>
      <c r="K25" s="164"/>
      <c r="L25" s="164"/>
      <c r="M25" s="164"/>
      <c r="N25" s="164"/>
      <c r="O25" s="164"/>
      <c r="P25" s="164"/>
      <c r="Q25" s="164"/>
      <c r="R25" s="164" t="s">
        <v>166</v>
      </c>
      <c r="S25" s="164" t="s">
        <v>166</v>
      </c>
      <c r="T25" s="164" t="s">
        <v>166</v>
      </c>
      <c r="U25" s="164" t="s">
        <v>166</v>
      </c>
      <c r="V25" s="164">
        <v>-8.8947220207628908E-2</v>
      </c>
      <c r="W25" s="164">
        <v>-8.7999999999999995E-2</v>
      </c>
      <c r="X25" s="164">
        <v>-0.25600000000000001</v>
      </c>
      <c r="Y25" s="164">
        <v>-0.51800000000000002</v>
      </c>
      <c r="Z25" s="164">
        <v>5.0999999999999997E-2</v>
      </c>
      <c r="AA25" s="164" t="s">
        <v>166</v>
      </c>
      <c r="AB25" s="164" t="s">
        <v>166</v>
      </c>
      <c r="AC25" s="164" t="s">
        <v>166</v>
      </c>
      <c r="AD25" s="164" t="s">
        <v>166</v>
      </c>
      <c r="AE25" s="164" t="s">
        <v>166</v>
      </c>
      <c r="AF25" s="164" t="s">
        <v>166</v>
      </c>
      <c r="AG25" s="164" t="s">
        <v>166</v>
      </c>
      <c r="AH25" s="164" t="s">
        <v>166</v>
      </c>
      <c r="AI25" s="164" t="s">
        <v>166</v>
      </c>
      <c r="AJ25" s="164" t="s">
        <v>166</v>
      </c>
      <c r="AK25" s="164" t="s">
        <v>166</v>
      </c>
      <c r="AL25" s="164" t="s">
        <v>166</v>
      </c>
      <c r="AM25" s="164" t="s">
        <v>166</v>
      </c>
      <c r="AO25" s="164"/>
      <c r="AP25" s="164" t="s">
        <v>166</v>
      </c>
      <c r="AQ25" s="164" t="s">
        <v>166</v>
      </c>
      <c r="AR25" s="164" t="s">
        <v>166</v>
      </c>
      <c r="AS25" s="164">
        <v>-0.01</v>
      </c>
      <c r="AT25" s="164" t="s">
        <v>166</v>
      </c>
      <c r="AU25" s="164"/>
      <c r="AV25" s="164"/>
      <c r="AW25" s="164"/>
      <c r="AX25" s="164"/>
      <c r="AY25" s="164"/>
    </row>
    <row r="27" spans="2:51" ht="15" customHeight="1" x14ac:dyDescent="0.2">
      <c r="B27" s="165" t="s">
        <v>1015</v>
      </c>
      <c r="C27" s="165" t="s">
        <v>1016</v>
      </c>
    </row>
  </sheetData>
  <pageMargins left="0.511811024" right="0.511811024" top="0.78740157499999996" bottom="0.78740157499999996" header="0.31496062000000002" footer="0.31496062000000002"/>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M22"/>
  <sheetViews>
    <sheetView zoomScale="80" zoomScaleNormal="80" workbookViewId="0">
      <pane xSplit="3" topLeftCell="D1" activePane="topRight" state="frozen"/>
      <selection activeCell="P34" sqref="P34"/>
      <selection pane="topRight"/>
    </sheetView>
  </sheetViews>
  <sheetFormatPr defaultColWidth="8.625" defaultRowHeight="11.25" x14ac:dyDescent="0.2"/>
  <cols>
    <col min="1" max="1" width="3.375" style="169" customWidth="1"/>
    <col min="2" max="2" width="29.125" style="169" customWidth="1"/>
    <col min="3" max="3" width="25.625" style="169" customWidth="1"/>
    <col min="4" max="12" width="10" style="169" customWidth="1"/>
    <col min="13" max="24" width="11.375" style="169" customWidth="1"/>
    <col min="25" max="25" width="8.625" style="169"/>
    <col min="26" max="30" width="10.125" style="169" bestFit="1" customWidth="1"/>
    <col min="31" max="16384" width="8.625" style="169"/>
  </cols>
  <sheetData>
    <row r="1" spans="2:39" ht="12" customHeight="1" x14ac:dyDescent="0.2">
      <c r="C1" s="251"/>
      <c r="D1" s="172"/>
      <c r="E1" s="172"/>
      <c r="F1" s="172"/>
      <c r="G1" s="172"/>
      <c r="H1" s="172"/>
      <c r="I1" s="172"/>
      <c r="L1" s="170"/>
      <c r="M1" s="170"/>
      <c r="N1" s="170"/>
      <c r="O1" s="172"/>
    </row>
    <row r="2" spans="2:39" ht="12" customHeight="1" x14ac:dyDescent="0.2">
      <c r="N2" s="172"/>
      <c r="O2" s="250"/>
    </row>
    <row r="3" spans="2:39" ht="9" customHeight="1" x14ac:dyDescent="0.2">
      <c r="L3" s="170"/>
      <c r="M3" s="170"/>
      <c r="O3" s="172"/>
    </row>
    <row r="4" spans="2:39" ht="33.75" customHeight="1" x14ac:dyDescent="0.2">
      <c r="B4" s="146" t="s">
        <v>83</v>
      </c>
      <c r="C4" s="146" t="s">
        <v>84</v>
      </c>
      <c r="D4" s="146" t="s">
        <v>1092</v>
      </c>
      <c r="E4" s="146" t="s">
        <v>1010</v>
      </c>
      <c r="F4" s="146" t="s">
        <v>1007</v>
      </c>
      <c r="G4" s="146" t="s">
        <v>1004</v>
      </c>
      <c r="H4" s="146" t="s">
        <v>986</v>
      </c>
      <c r="I4" s="146" t="s">
        <v>894</v>
      </c>
      <c r="J4" s="146" t="s">
        <v>893</v>
      </c>
      <c r="K4" s="146" t="s">
        <v>876</v>
      </c>
      <c r="L4" s="146" t="s">
        <v>846</v>
      </c>
      <c r="M4" s="146" t="s">
        <v>838</v>
      </c>
      <c r="N4" s="146" t="s">
        <v>823</v>
      </c>
      <c r="O4" s="183" t="s">
        <v>762</v>
      </c>
      <c r="P4" s="183" t="s">
        <v>742</v>
      </c>
      <c r="Q4" s="183" t="s">
        <v>718</v>
      </c>
      <c r="R4" s="183" t="s">
        <v>703</v>
      </c>
      <c r="S4" s="183" t="s">
        <v>685</v>
      </c>
      <c r="T4" s="183" t="s">
        <v>670</v>
      </c>
      <c r="U4" s="183" t="s">
        <v>630</v>
      </c>
      <c r="V4" s="183" t="s">
        <v>618</v>
      </c>
      <c r="W4" s="183" t="s">
        <v>591</v>
      </c>
      <c r="X4" s="183">
        <v>44166</v>
      </c>
      <c r="Z4" s="184">
        <v>2021</v>
      </c>
      <c r="AA4" s="184">
        <v>2022</v>
      </c>
      <c r="AB4" s="148">
        <v>2023</v>
      </c>
      <c r="AC4" s="148">
        <v>2024</v>
      </c>
      <c r="AD4" s="148">
        <v>2025</v>
      </c>
    </row>
    <row r="5" spans="2:39" x14ac:dyDescent="0.2">
      <c r="B5" s="149" t="s">
        <v>88</v>
      </c>
      <c r="C5" s="149" t="s">
        <v>89</v>
      </c>
      <c r="D5" s="150">
        <v>1655455.6745299909</v>
      </c>
      <c r="E5" s="150">
        <v>1283318.1406400001</v>
      </c>
      <c r="F5" s="150">
        <v>1318192.5667900001</v>
      </c>
      <c r="G5" s="150">
        <v>1041306.0963099998</v>
      </c>
      <c r="H5" s="150">
        <v>1535339.0717200001</v>
      </c>
      <c r="I5" s="150">
        <v>1226391.3539199999</v>
      </c>
      <c r="J5" s="150">
        <v>1253239.1379699998</v>
      </c>
      <c r="K5" s="150">
        <v>1106747.2727000001</v>
      </c>
      <c r="L5" s="150">
        <v>1544331.9175052526</v>
      </c>
      <c r="M5" s="150">
        <v>1324609.6102847443</v>
      </c>
      <c r="N5" s="150">
        <v>1151331.342750754</v>
      </c>
      <c r="O5" s="150">
        <v>1081531.6072992396</v>
      </c>
      <c r="P5" s="150">
        <v>1261103.4214994498</v>
      </c>
      <c r="Q5" s="150">
        <v>929353.63980664453</v>
      </c>
      <c r="R5" s="150">
        <v>1003138.7358205867</v>
      </c>
      <c r="S5" s="150">
        <v>895061.07138249383</v>
      </c>
      <c r="T5" s="150">
        <v>962255.4902262385</v>
      </c>
      <c r="U5" s="150">
        <v>1046320.8525298624</v>
      </c>
      <c r="V5" s="150">
        <v>728432</v>
      </c>
      <c r="W5" s="150">
        <v>492832</v>
      </c>
      <c r="X5" s="150">
        <v>240330</v>
      </c>
      <c r="Z5" s="150">
        <v>3229840.3427561009</v>
      </c>
      <c r="AA5" s="150">
        <v>4088656.8685091748</v>
      </c>
      <c r="AB5" s="150">
        <v>5101804.4778399905</v>
      </c>
      <c r="AC5" s="150">
        <v>5121716.8363099992</v>
      </c>
      <c r="AD5" s="150">
        <v>5298272.4782699915</v>
      </c>
    </row>
    <row r="6" spans="2:39" ht="15" customHeight="1" x14ac:dyDescent="0.2">
      <c r="B6" s="152" t="s">
        <v>553</v>
      </c>
      <c r="C6" s="152" t="s">
        <v>573</v>
      </c>
      <c r="D6" s="48">
        <v>509652.89136999997</v>
      </c>
      <c r="E6" s="48">
        <v>425972.96887999994</v>
      </c>
      <c r="F6" s="48">
        <v>463971.66044999991</v>
      </c>
      <c r="G6" s="48">
        <v>324863.02387000003</v>
      </c>
      <c r="H6" s="48">
        <v>463637.49077000003</v>
      </c>
      <c r="I6" s="48">
        <v>357678.47016999987</v>
      </c>
      <c r="J6" s="48">
        <v>431244.04134000005</v>
      </c>
      <c r="K6" s="48">
        <v>394652.94193999993</v>
      </c>
      <c r="L6" s="48">
        <v>461272.05253096088</v>
      </c>
      <c r="M6" s="48">
        <v>462275.17618903401</v>
      </c>
      <c r="N6" s="48">
        <v>399003.22292030219</v>
      </c>
      <c r="O6" s="48">
        <v>465608.55707969784</v>
      </c>
      <c r="P6" s="48">
        <v>544943.1068096899</v>
      </c>
      <c r="Q6" s="48">
        <v>419048.88157011976</v>
      </c>
      <c r="R6" s="48">
        <v>503405.54898985516</v>
      </c>
      <c r="S6" s="48">
        <v>470499.25016985013</v>
      </c>
      <c r="T6" s="48">
        <v>484427.53559999866</v>
      </c>
      <c r="U6" s="48">
        <v>668624</v>
      </c>
      <c r="V6" s="48">
        <v>445685</v>
      </c>
      <c r="W6" s="48">
        <v>276741</v>
      </c>
      <c r="X6" s="48">
        <v>116761</v>
      </c>
      <c r="Z6" s="48">
        <v>1875477.5355999987</v>
      </c>
      <c r="AA6" s="48">
        <v>1937896.7875395149</v>
      </c>
      <c r="AB6" s="48">
        <v>1788159.0087199952</v>
      </c>
      <c r="AC6" s="48">
        <v>1647212.9442199999</v>
      </c>
      <c r="AD6" s="48">
        <v>1724460.5445699999</v>
      </c>
    </row>
    <row r="7" spans="2:39" ht="15" customHeight="1" x14ac:dyDescent="0.2">
      <c r="B7" s="152" t="s">
        <v>92</v>
      </c>
      <c r="C7" s="152" t="s">
        <v>93</v>
      </c>
      <c r="D7" s="48">
        <v>657516.08027999999</v>
      </c>
      <c r="E7" s="48">
        <v>510074.46085000015</v>
      </c>
      <c r="F7" s="48">
        <v>508662.11983000004</v>
      </c>
      <c r="G7" s="48">
        <v>429127.63336999994</v>
      </c>
      <c r="H7" s="48">
        <v>623666.99550999992</v>
      </c>
      <c r="I7" s="48">
        <v>505918.94710999995</v>
      </c>
      <c r="J7" s="48">
        <v>482785.49898999999</v>
      </c>
      <c r="K7" s="48">
        <v>427061.15310000011</v>
      </c>
      <c r="L7" s="48">
        <v>623132.28846068843</v>
      </c>
      <c r="M7" s="48">
        <v>510920.74702930753</v>
      </c>
      <c r="N7" s="48">
        <v>445842.28075021104</v>
      </c>
      <c r="O7" s="48">
        <v>394017.05724978895</v>
      </c>
      <c r="P7" s="48">
        <v>429681.18667069578</v>
      </c>
      <c r="Q7" s="48">
        <v>322757.20482106204</v>
      </c>
      <c r="R7" s="48">
        <v>328919.10093353118</v>
      </c>
      <c r="S7" s="48">
        <v>276918.03751984378</v>
      </c>
      <c r="T7" s="48">
        <v>243188.05285999749</v>
      </c>
      <c r="U7" s="48">
        <v>200784</v>
      </c>
      <c r="V7" s="48">
        <v>153879</v>
      </c>
      <c r="W7" s="48">
        <v>125692</v>
      </c>
      <c r="X7" s="48">
        <v>45919</v>
      </c>
      <c r="Y7" s="170"/>
      <c r="Z7" s="48">
        <v>723543.05285999749</v>
      </c>
      <c r="AA7" s="48">
        <v>1358275.5299451328</v>
      </c>
      <c r="AB7" s="48">
        <v>1973912.373489996</v>
      </c>
      <c r="AC7" s="48">
        <v>2039432.5947099999</v>
      </c>
      <c r="AD7" s="48">
        <v>2105380.2943299999</v>
      </c>
    </row>
    <row r="8" spans="2:39" ht="15" customHeight="1" x14ac:dyDescent="0.2">
      <c r="B8" s="152" t="s">
        <v>90</v>
      </c>
      <c r="C8" s="152" t="s">
        <v>91</v>
      </c>
      <c r="D8" s="48">
        <v>488286.70287999097</v>
      </c>
      <c r="E8" s="48">
        <v>347270.71090999997</v>
      </c>
      <c r="F8" s="48">
        <v>345558.78651000006</v>
      </c>
      <c r="G8" s="48">
        <v>287315.43906999985</v>
      </c>
      <c r="H8" s="48">
        <v>448034.58544000023</v>
      </c>
      <c r="I8" s="48">
        <v>362793.93664000003</v>
      </c>
      <c r="J8" s="48">
        <v>339209.59763999976</v>
      </c>
      <c r="K8" s="48">
        <v>285033.17765999993</v>
      </c>
      <c r="L8" s="48">
        <v>459927.57651360345</v>
      </c>
      <c r="M8" s="48">
        <v>351415.63911639666</v>
      </c>
      <c r="N8" s="48">
        <v>306483.88703024713</v>
      </c>
      <c r="O8" s="48">
        <v>221905.99296975284</v>
      </c>
      <c r="P8" s="48">
        <v>286479.12801906443</v>
      </c>
      <c r="Q8" s="48">
        <v>187547.55341546301</v>
      </c>
      <c r="R8" s="48">
        <v>170814.08589720004</v>
      </c>
      <c r="S8" s="48">
        <v>147643.78369279997</v>
      </c>
      <c r="T8" s="48">
        <v>234639.46478000004</v>
      </c>
      <c r="U8" s="48">
        <v>176913</v>
      </c>
      <c r="V8" s="48">
        <v>128868</v>
      </c>
      <c r="W8" s="48">
        <v>90399</v>
      </c>
      <c r="X8" s="48">
        <v>77651</v>
      </c>
      <c r="Z8" s="48">
        <v>630819.46478000004</v>
      </c>
      <c r="AA8" s="48">
        <v>792484.55102452752</v>
      </c>
      <c r="AB8" s="48">
        <v>1339733.0956299999</v>
      </c>
      <c r="AC8" s="48">
        <v>1435071.2973799999</v>
      </c>
      <c r="AD8" s="48">
        <v>1468431.6393699909</v>
      </c>
    </row>
    <row r="9" spans="2:39" ht="15" customHeight="1" x14ac:dyDescent="0.2"/>
    <row r="10" spans="2:39" ht="15" customHeight="1" x14ac:dyDescent="0.2">
      <c r="B10" s="149" t="s">
        <v>585</v>
      </c>
      <c r="C10" s="149" t="s">
        <v>586</v>
      </c>
      <c r="D10" s="150">
        <v>1379795.0503702033</v>
      </c>
      <c r="E10" s="150">
        <v>1061326.6159399999</v>
      </c>
      <c r="F10" s="150">
        <v>1046597.8915800001</v>
      </c>
      <c r="G10" s="150">
        <v>825362.92460999987</v>
      </c>
      <c r="H10" s="150">
        <v>1219875.3766300003</v>
      </c>
      <c r="I10" s="150">
        <v>971569.23207999987</v>
      </c>
      <c r="J10" s="150">
        <v>990631.52813999995</v>
      </c>
      <c r="K10" s="150">
        <v>877457.80991000007</v>
      </c>
      <c r="L10" s="150">
        <v>1224537.854193534</v>
      </c>
      <c r="M10" s="153">
        <v>1057656.9191564601</v>
      </c>
      <c r="N10" s="153">
        <v>905978.57922076038</v>
      </c>
      <c r="O10" s="153">
        <v>855916.42077923962</v>
      </c>
      <c r="P10" s="153">
        <v>968838.68027966586</v>
      </c>
      <c r="Q10" s="153">
        <v>719244.47275999701</v>
      </c>
      <c r="R10" s="153">
        <v>783552.20714000007</v>
      </c>
      <c r="S10" s="153">
        <v>734496.61570999993</v>
      </c>
      <c r="T10" s="153">
        <v>746486.61857197434</v>
      </c>
      <c r="U10" s="153">
        <v>824856.81327986205</v>
      </c>
      <c r="V10" s="153">
        <v>574801</v>
      </c>
      <c r="W10" s="153">
        <v>390777.91027999995</v>
      </c>
      <c r="X10" s="153">
        <v>188294</v>
      </c>
      <c r="Y10" s="170"/>
      <c r="Z10" s="153">
        <v>2536924</v>
      </c>
      <c r="AA10" s="150">
        <v>3206131.9758896627</v>
      </c>
      <c r="AB10" s="150">
        <v>4044089.7733499939</v>
      </c>
      <c r="AC10" s="150">
        <v>4059533.9467600007</v>
      </c>
      <c r="AD10" s="150">
        <v>4313082.482500203</v>
      </c>
    </row>
    <row r="11" spans="2:39" ht="15" customHeight="1" x14ac:dyDescent="0.2">
      <c r="B11" s="152" t="s">
        <v>553</v>
      </c>
      <c r="C11" s="152" t="s">
        <v>573</v>
      </c>
      <c r="D11" s="48">
        <v>468145.62277999992</v>
      </c>
      <c r="E11" s="48">
        <v>374971.73902813578</v>
      </c>
      <c r="F11" s="48">
        <v>364495.52336999995</v>
      </c>
      <c r="G11" s="48">
        <v>260181.46724</v>
      </c>
      <c r="H11" s="48">
        <v>379596.50481000007</v>
      </c>
      <c r="I11" s="48">
        <v>292533.00243999989</v>
      </c>
      <c r="J11" s="48">
        <v>349146.6729200001</v>
      </c>
      <c r="K11" s="48">
        <v>320798.67149999994</v>
      </c>
      <c r="L11" s="48">
        <v>377277.83778140345</v>
      </c>
      <c r="M11" s="48">
        <v>381039.71915645699</v>
      </c>
      <c r="N11" s="48">
        <v>324812.4744203022</v>
      </c>
      <c r="O11" s="48">
        <v>371902.95557969785</v>
      </c>
      <c r="P11" s="48">
        <v>427910.70951185981</v>
      </c>
      <c r="Q11" s="48">
        <v>321735.50904021005</v>
      </c>
      <c r="R11" s="48">
        <v>409170.32165000006</v>
      </c>
      <c r="S11" s="48">
        <v>382586.04706999997</v>
      </c>
      <c r="T11" s="48">
        <v>382081.38579197438</v>
      </c>
      <c r="U11" s="48">
        <v>540594.85956999997</v>
      </c>
      <c r="V11" s="48">
        <v>368011</v>
      </c>
      <c r="W11" s="48">
        <v>228736</v>
      </c>
      <c r="X11" s="48">
        <v>95763</v>
      </c>
      <c r="Z11" s="48">
        <v>1519423.2453619745</v>
      </c>
      <c r="AA11" s="48">
        <v>1541402.5872720699</v>
      </c>
      <c r="AB11" s="48">
        <v>1455032.9869378605</v>
      </c>
      <c r="AC11" s="48">
        <v>1342074.85167</v>
      </c>
      <c r="AD11" s="48">
        <v>1467794.3524181356</v>
      </c>
    </row>
    <row r="12" spans="2:39" ht="15" customHeight="1" x14ac:dyDescent="0.2">
      <c r="B12" s="152" t="s">
        <v>92</v>
      </c>
      <c r="C12" s="152" t="s">
        <v>93</v>
      </c>
      <c r="D12" s="48">
        <v>528190.13747808221</v>
      </c>
      <c r="E12" s="48">
        <v>408057.54288511939</v>
      </c>
      <c r="F12" s="48">
        <v>406614.45554</v>
      </c>
      <c r="G12" s="48">
        <v>344416.47139999998</v>
      </c>
      <c r="H12" s="48">
        <v>503091.66871999984</v>
      </c>
      <c r="I12" s="48">
        <v>407244.07822999998</v>
      </c>
      <c r="J12" s="48">
        <v>386846.15918000008</v>
      </c>
      <c r="K12" s="48">
        <v>341253.47581000015</v>
      </c>
      <c r="L12" s="48">
        <v>503226.3744347794</v>
      </c>
      <c r="M12" s="48">
        <v>410862</v>
      </c>
      <c r="N12" s="48">
        <v>348913.65704021108</v>
      </c>
      <c r="O12" s="48">
        <v>318162.37295978895</v>
      </c>
      <c r="P12" s="48">
        <v>327806.32600762334</v>
      </c>
      <c r="Q12" s="48">
        <v>252293.31119999907</v>
      </c>
      <c r="R12" s="48">
        <v>246947.4773</v>
      </c>
      <c r="S12" s="48">
        <v>240358.92640999999</v>
      </c>
      <c r="T12" s="48">
        <v>189396.18319013808</v>
      </c>
      <c r="U12" s="48">
        <v>149945.91225986203</v>
      </c>
      <c r="V12" s="48">
        <v>110776</v>
      </c>
      <c r="W12" s="48">
        <v>93751</v>
      </c>
      <c r="X12" s="48">
        <v>34825</v>
      </c>
      <c r="Z12" s="48">
        <v>543869.09545000014</v>
      </c>
      <c r="AA12" s="48">
        <v>1067406.0409176224</v>
      </c>
      <c r="AB12" s="48">
        <v>1581164.4044347794</v>
      </c>
      <c r="AC12" s="48">
        <v>1638435.3819400002</v>
      </c>
      <c r="AD12" s="48">
        <v>1687278.6073032015</v>
      </c>
    </row>
    <row r="13" spans="2:39" ht="15" customHeight="1" x14ac:dyDescent="0.2">
      <c r="B13" s="152" t="s">
        <v>90</v>
      </c>
      <c r="C13" s="152" t="s">
        <v>91</v>
      </c>
      <c r="D13" s="48">
        <v>383459.29011212121</v>
      </c>
      <c r="E13" s="48">
        <v>278297.33402674488</v>
      </c>
      <c r="F13" s="48">
        <v>275487.91267000005</v>
      </c>
      <c r="G13" s="48">
        <v>220764.98596999989</v>
      </c>
      <c r="H13" s="48">
        <v>337187.20310000028</v>
      </c>
      <c r="I13" s="48">
        <v>271792.15141000005</v>
      </c>
      <c r="J13" s="48">
        <v>254638.69603999972</v>
      </c>
      <c r="K13" s="48">
        <v>215405.66259999987</v>
      </c>
      <c r="L13" s="48">
        <v>344033.64197735116</v>
      </c>
      <c r="M13" s="48">
        <v>265755.19999999995</v>
      </c>
      <c r="N13" s="48">
        <v>232252.4477602471</v>
      </c>
      <c r="O13" s="48">
        <v>165851.09223975288</v>
      </c>
      <c r="P13" s="48">
        <v>213121.64476018265</v>
      </c>
      <c r="Q13" s="48">
        <v>145215.65251978792</v>
      </c>
      <c r="R13" s="48">
        <v>127434.40819000002</v>
      </c>
      <c r="S13" s="48">
        <v>111551.64223</v>
      </c>
      <c r="T13" s="48">
        <v>175009.05112999998</v>
      </c>
      <c r="U13" s="48">
        <v>134316.04144999996</v>
      </c>
      <c r="V13" s="48">
        <v>96014</v>
      </c>
      <c r="W13" s="48">
        <v>68291</v>
      </c>
      <c r="X13" s="48">
        <v>57706</v>
      </c>
      <c r="Y13" s="48"/>
      <c r="Z13" s="48">
        <v>473631</v>
      </c>
      <c r="AA13" s="48">
        <v>597323.34769997059</v>
      </c>
      <c r="AB13" s="48">
        <v>1007892.3819773511</v>
      </c>
      <c r="AC13" s="48">
        <v>1079023.71315</v>
      </c>
      <c r="AD13" s="48">
        <v>1158009.5227788659</v>
      </c>
      <c r="AE13" s="48"/>
      <c r="AF13" s="48"/>
      <c r="AG13" s="48"/>
      <c r="AH13" s="48"/>
      <c r="AI13" s="48"/>
      <c r="AJ13" s="48"/>
      <c r="AK13" s="48"/>
      <c r="AL13" s="48"/>
      <c r="AM13" s="48"/>
    </row>
    <row r="14" spans="2:39" ht="15" customHeight="1" x14ac:dyDescent="0.2">
      <c r="B14" s="152" t="s">
        <v>96</v>
      </c>
      <c r="C14" s="152" t="s">
        <v>97</v>
      </c>
      <c r="D14" s="48">
        <v>-833416.75311020343</v>
      </c>
      <c r="E14" s="48">
        <v>-636570.2869199994</v>
      </c>
      <c r="F14" s="48">
        <v>-623103.11100000003</v>
      </c>
      <c r="G14" s="48">
        <v>-464973.09362</v>
      </c>
      <c r="H14" s="48">
        <v>-701256.58773999964</v>
      </c>
      <c r="I14" s="48">
        <v>-532120.60913999996</v>
      </c>
      <c r="J14" s="48">
        <v>-555057.26105000009</v>
      </c>
      <c r="K14" s="48">
        <v>-496248.70404000004</v>
      </c>
      <c r="L14" s="48">
        <v>-732542.56532000005</v>
      </c>
      <c r="M14" s="48">
        <v>-615803.41405000002</v>
      </c>
      <c r="N14" s="48">
        <v>-531696.78547</v>
      </c>
      <c r="O14" s="48">
        <v>-483066.27271999995</v>
      </c>
      <c r="P14" s="48">
        <v>-555856.281672735</v>
      </c>
      <c r="Q14" s="48">
        <v>-409107.07284999709</v>
      </c>
      <c r="R14" s="48">
        <v>-498399.6748000001</v>
      </c>
      <c r="S14" s="48">
        <v>-441991.09114999988</v>
      </c>
      <c r="T14" s="48">
        <v>-474388.73559000017</v>
      </c>
      <c r="U14" s="48">
        <v>-534196.71120999986</v>
      </c>
      <c r="V14" s="48">
        <v>-367468.76215000008</v>
      </c>
      <c r="W14" s="48">
        <v>-243879.33271000002</v>
      </c>
      <c r="X14" s="48">
        <v>-123310</v>
      </c>
      <c r="Y14" s="48"/>
      <c r="Z14" s="48">
        <v>-1619933.5416600001</v>
      </c>
      <c r="AA14" s="48">
        <v>-1905354.120472732</v>
      </c>
      <c r="AB14" s="48">
        <v>-2363109.0375600001</v>
      </c>
      <c r="AC14" s="48">
        <v>-2284683.1619699998</v>
      </c>
      <c r="AD14" s="48">
        <v>-2558063.2446502028</v>
      </c>
      <c r="AE14" s="48"/>
      <c r="AF14" s="48"/>
      <c r="AG14" s="48"/>
      <c r="AH14" s="48"/>
      <c r="AI14" s="48"/>
      <c r="AJ14" s="48"/>
      <c r="AK14" s="48"/>
      <c r="AL14" s="48"/>
      <c r="AM14" s="48"/>
    </row>
    <row r="15" spans="2:39" ht="10.35" customHeight="1" x14ac:dyDescent="0.2"/>
    <row r="16" spans="2:39" ht="15" customHeight="1" x14ac:dyDescent="0.2">
      <c r="B16" s="149" t="s">
        <v>608</v>
      </c>
      <c r="C16" s="149" t="s">
        <v>609</v>
      </c>
      <c r="D16" s="150">
        <v>546378.29726000014</v>
      </c>
      <c r="E16" s="150">
        <v>424756.32902000006</v>
      </c>
      <c r="F16" s="150">
        <v>423494.7805800002</v>
      </c>
      <c r="G16" s="150">
        <v>360389.83098999999</v>
      </c>
      <c r="H16" s="150">
        <v>518618.7888900002</v>
      </c>
      <c r="I16" s="150">
        <v>439448.6229400002</v>
      </c>
      <c r="J16" s="150">
        <v>435574.26708999998</v>
      </c>
      <c r="K16" s="150">
        <v>381209.10586999997</v>
      </c>
      <c r="L16" s="150">
        <v>491995.60380000016</v>
      </c>
      <c r="M16" s="153">
        <v>441850.94673000625</v>
      </c>
      <c r="N16" s="153">
        <v>374282.7438007539</v>
      </c>
      <c r="O16" s="153">
        <v>372850.14805923967</v>
      </c>
      <c r="P16" s="153">
        <v>412982.39860692783</v>
      </c>
      <c r="Q16" s="153">
        <v>310137.39990999992</v>
      </c>
      <c r="R16" s="153">
        <v>285152.94420999993</v>
      </c>
      <c r="S16" s="153">
        <v>292505.52456000005</v>
      </c>
      <c r="T16" s="153">
        <v>272094.67205999978</v>
      </c>
      <c r="U16" s="153">
        <v>290660.10206</v>
      </c>
      <c r="V16" s="153">
        <v>207332.65812000001</v>
      </c>
      <c r="W16" s="153">
        <v>146899</v>
      </c>
      <c r="X16" s="153">
        <v>64984</v>
      </c>
      <c r="Y16" s="185"/>
      <c r="Z16" s="153">
        <v>916986.43223999976</v>
      </c>
      <c r="AA16" s="150">
        <v>1300778.2672869277</v>
      </c>
      <c r="AB16" s="150">
        <v>1680979.44239</v>
      </c>
      <c r="AC16" s="150">
        <v>1774850.7847900004</v>
      </c>
      <c r="AD16" s="150">
        <v>1755019.2378500004</v>
      </c>
      <c r="AE16" s="185"/>
      <c r="AF16" s="151"/>
      <c r="AG16" s="151"/>
      <c r="AH16" s="151"/>
      <c r="AI16" s="151"/>
      <c r="AJ16" s="151"/>
      <c r="AK16" s="151"/>
      <c r="AL16" s="151"/>
      <c r="AM16" s="151"/>
    </row>
    <row r="17" spans="2:39" ht="15" customHeight="1" x14ac:dyDescent="0.2">
      <c r="B17" s="152" t="s">
        <v>611</v>
      </c>
      <c r="C17" s="152" t="s">
        <v>610</v>
      </c>
      <c r="D17" s="156">
        <v>0.39598511178410528</v>
      </c>
      <c r="E17" s="156">
        <v>0.40021264202801532</v>
      </c>
      <c r="F17" s="156">
        <v>0.40463943601173308</v>
      </c>
      <c r="G17" s="156">
        <v>0.43664407528396221</v>
      </c>
      <c r="H17" s="156">
        <v>0.42514079620389139</v>
      </c>
      <c r="I17" s="156">
        <v>0.45230808925391702</v>
      </c>
      <c r="J17" s="156">
        <v>0.4396935234918577</v>
      </c>
      <c r="K17" s="156">
        <v>0.43444721964364325</v>
      </c>
      <c r="L17" s="156">
        <v>0.40178064084758131</v>
      </c>
      <c r="M17" s="156">
        <v>0.41776396365128327</v>
      </c>
      <c r="N17" s="156">
        <v>0.4131253788833259</v>
      </c>
      <c r="O17" s="156">
        <v>0.43561513601969581</v>
      </c>
      <c r="P17" s="156">
        <v>0.42626539073328074</v>
      </c>
      <c r="Q17" s="156">
        <v>0.43119886444158873</v>
      </c>
      <c r="R17" s="156">
        <v>0.3639233501119481</v>
      </c>
      <c r="S17" s="156">
        <v>0.39823944495271779</v>
      </c>
      <c r="T17" s="156">
        <v>0.36450040133407308</v>
      </c>
      <c r="U17" s="156">
        <v>0.35237643355851533</v>
      </c>
      <c r="V17" s="156">
        <v>0.3607033705926051</v>
      </c>
      <c r="W17" s="156">
        <v>0.376</v>
      </c>
      <c r="X17" s="156">
        <v>0.34499999999999997</v>
      </c>
      <c r="Y17" s="48"/>
      <c r="Z17" s="156">
        <v>0.36145624838852347</v>
      </c>
      <c r="AA17" s="156">
        <v>0.40571575876129601</v>
      </c>
      <c r="AB17" s="156">
        <v>0.41566323612977829</v>
      </c>
      <c r="AC17" s="156">
        <v>0.43720555316615745</v>
      </c>
      <c r="AD17" s="156">
        <v>0.40690602254206204</v>
      </c>
      <c r="AE17" s="48"/>
      <c r="AF17" s="48"/>
      <c r="AG17" s="48"/>
      <c r="AH17" s="48"/>
      <c r="AI17" s="48"/>
      <c r="AJ17" s="48"/>
      <c r="AK17" s="48"/>
      <c r="AL17" s="48"/>
      <c r="AM17" s="48"/>
    </row>
    <row r="18" spans="2:39" ht="10.35" customHeight="1" x14ac:dyDescent="0.2"/>
    <row r="19" spans="2:39" ht="21" customHeight="1" x14ac:dyDescent="0.2">
      <c r="B19" s="146" t="s">
        <v>161</v>
      </c>
      <c r="C19" s="146" t="s">
        <v>161</v>
      </c>
      <c r="D19" s="146" t="s">
        <v>1092</v>
      </c>
      <c r="E19" s="146" t="s">
        <v>1010</v>
      </c>
      <c r="F19" s="146" t="s">
        <v>1007</v>
      </c>
      <c r="G19" s="146" t="s">
        <v>1004</v>
      </c>
      <c r="H19" s="146" t="s">
        <v>986</v>
      </c>
      <c r="I19" s="146" t="s">
        <v>894</v>
      </c>
      <c r="J19" s="146" t="s">
        <v>893</v>
      </c>
      <c r="K19" s="146" t="s">
        <v>876</v>
      </c>
      <c r="L19" s="146" t="s">
        <v>846</v>
      </c>
      <c r="M19" s="146" t="s">
        <v>838</v>
      </c>
      <c r="N19" s="146" t="s">
        <v>823</v>
      </c>
      <c r="O19" s="183" t="s">
        <v>762</v>
      </c>
      <c r="P19" s="183" t="s">
        <v>742</v>
      </c>
      <c r="Q19" s="183" t="s">
        <v>718</v>
      </c>
      <c r="R19" s="183" t="s">
        <v>703</v>
      </c>
      <c r="S19" s="158" t="s">
        <v>685</v>
      </c>
      <c r="AA19" s="158">
        <v>2022</v>
      </c>
      <c r="AB19" s="148">
        <v>2023</v>
      </c>
      <c r="AC19" s="148">
        <v>2024</v>
      </c>
      <c r="AD19" s="148">
        <v>2025</v>
      </c>
    </row>
    <row r="20" spans="2:39" ht="15" customHeight="1" x14ac:dyDescent="0.2">
      <c r="B20" s="159" t="s">
        <v>711</v>
      </c>
      <c r="C20" s="159" t="s">
        <v>711</v>
      </c>
      <c r="D20" s="207">
        <v>4.8104885815594134E-2</v>
      </c>
      <c r="E20" s="207">
        <v>-1.5775372227521789E-2</v>
      </c>
      <c r="F20" s="207">
        <v>7.4012797285338161E-2</v>
      </c>
      <c r="G20" s="207">
        <v>-1.2241539027524784E-2</v>
      </c>
      <c r="H20" s="207">
        <v>-2.9101142348981091E-2</v>
      </c>
      <c r="I20" s="207">
        <v>-1.8310573976581646E-2</v>
      </c>
      <c r="J20" s="207">
        <v>4.8356718358482986E-2</v>
      </c>
      <c r="K20" s="207">
        <v>9.4661845612408202E-2</v>
      </c>
      <c r="L20" s="207">
        <v>0.38055659123602004</v>
      </c>
      <c r="M20" s="160">
        <v>0.44206141303307822</v>
      </c>
      <c r="N20" s="160">
        <v>0.31275664247325885</v>
      </c>
      <c r="O20" s="160">
        <v>0.30386881498041141</v>
      </c>
      <c r="P20" s="160">
        <v>0.37645763517804598</v>
      </c>
      <c r="Q20" s="160">
        <v>0.32119333463221045</v>
      </c>
      <c r="R20" s="160">
        <v>0.73344434987458729</v>
      </c>
      <c r="S20" s="160">
        <v>0.92900000000000005</v>
      </c>
      <c r="AA20" s="160">
        <v>0.52400000000000002</v>
      </c>
      <c r="AB20" s="160">
        <v>0.36421485258575537</v>
      </c>
      <c r="AC20" s="160">
        <v>1.4087576835512206E-2</v>
      </c>
      <c r="AD20" s="160">
        <v>1.712675199010838E-2</v>
      </c>
    </row>
    <row r="21" spans="2:39" ht="15" customHeight="1" x14ac:dyDescent="0.2">
      <c r="B21" s="161" t="s">
        <v>712</v>
      </c>
      <c r="C21" s="161" t="s">
        <v>712</v>
      </c>
      <c r="D21" s="156">
        <v>3.1109048479971646E-2</v>
      </c>
      <c r="E21" s="156">
        <v>-6.0754551197159334E-2</v>
      </c>
      <c r="F21" s="156">
        <v>5.2240426637999438E-2</v>
      </c>
      <c r="G21" s="156">
        <v>-3.356225023794801E-2</v>
      </c>
      <c r="H21" s="156">
        <v>-7.5871697884219658E-2</v>
      </c>
      <c r="I21" s="156">
        <v>-2.5730653252932001E-2</v>
      </c>
      <c r="J21" s="156">
        <v>5.6667016046263452E-3</v>
      </c>
      <c r="K21" s="156">
        <v>0.11466827147683079</v>
      </c>
      <c r="L21" s="156">
        <v>0.24345077910431878</v>
      </c>
      <c r="M21" s="186">
        <v>0.19915460268302687</v>
      </c>
      <c r="N21" s="186">
        <v>0.22689872163449065</v>
      </c>
      <c r="O21" s="186">
        <v>8.0283100277227959E-2</v>
      </c>
      <c r="P21" s="186">
        <v>-2.8368750296030698E-2</v>
      </c>
      <c r="Q21" s="186">
        <v>4.741519834821073E-4</v>
      </c>
      <c r="R21" s="162">
        <v>0.25619032426641097</v>
      </c>
      <c r="S21" s="162">
        <v>0.54800000000000004</v>
      </c>
      <c r="AA21" s="162">
        <v>0.12</v>
      </c>
      <c r="AB21" s="162">
        <v>0.19750572862875693</v>
      </c>
      <c r="AC21" s="162">
        <v>-1.3087991568595081E-2</v>
      </c>
      <c r="AD21" s="162">
        <v>-9.9739258397036901E-3</v>
      </c>
    </row>
    <row r="22" spans="2:39" ht="15" customHeight="1" x14ac:dyDescent="0.2">
      <c r="B22" s="161" t="s">
        <v>713</v>
      </c>
      <c r="C22" s="161" t="s">
        <v>713</v>
      </c>
      <c r="D22" s="156">
        <v>5.4274292232379784E-2</v>
      </c>
      <c r="E22" s="156">
        <v>8.2137934618535802E-3</v>
      </c>
      <c r="F22" s="156">
        <v>5.3598587559350097E-2</v>
      </c>
      <c r="G22" s="156">
        <v>4.8388392505371858E-3</v>
      </c>
      <c r="H22" s="156">
        <v>6.6918043849264475E-3</v>
      </c>
      <c r="I22" s="156">
        <v>-9.7897764934973264E-3</v>
      </c>
      <c r="J22" s="156">
        <v>8.2855453631104137E-2</v>
      </c>
      <c r="K22" s="156">
        <v>8.386463286857837E-2</v>
      </c>
      <c r="L22" s="156">
        <v>0.45022008826803028</v>
      </c>
      <c r="M22" s="162">
        <v>0.58278189440641559</v>
      </c>
      <c r="N22" s="162">
        <v>0.35547718735281664</v>
      </c>
      <c r="O22" s="162">
        <v>0.42286526648360212</v>
      </c>
      <c r="P22" s="162">
        <v>0.76686799214623314</v>
      </c>
      <c r="Q22" s="162">
        <v>0.60748468414346779</v>
      </c>
      <c r="R22" s="162">
        <v>1.1375177960185026</v>
      </c>
      <c r="S22" s="162">
        <v>1.2030000000000001</v>
      </c>
      <c r="AA22" s="162">
        <v>0.877</v>
      </c>
      <c r="AB22" s="162">
        <v>0.45319995838415106</v>
      </c>
      <c r="AC22" s="162">
        <v>3.5111768187661152E-2</v>
      </c>
      <c r="AD22" s="162">
        <v>3.1892069636775044E-2</v>
      </c>
    </row>
  </sheetData>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35"/>
  <sheetViews>
    <sheetView showGridLines="0" zoomScale="80" zoomScaleNormal="80" workbookViewId="0">
      <pane xSplit="3" ySplit="3" topLeftCell="D5" activePane="bottomRight" state="frozen"/>
      <selection activeCell="P34" sqref="P34"/>
      <selection pane="topRight" activeCell="P34" sqref="P34"/>
      <selection pane="bottomLeft" activeCell="P34" sqref="P34"/>
      <selection pane="bottomRight"/>
    </sheetView>
  </sheetViews>
  <sheetFormatPr defaultColWidth="12.625" defaultRowHeight="15" customHeight="1" x14ac:dyDescent="0.2"/>
  <cols>
    <col min="1" max="1" width="3.375" style="75" customWidth="1"/>
    <col min="2" max="3" width="26" style="75" customWidth="1"/>
    <col min="4" max="4" width="12.875" style="289" customWidth="1"/>
    <col min="5" max="5" width="12.875" style="258" customWidth="1"/>
    <col min="6" max="6" width="12.875" style="255" customWidth="1"/>
    <col min="7" max="7" width="13.375" style="253" customWidth="1"/>
    <col min="8" max="15" width="13.375" style="75" customWidth="1"/>
    <col min="16" max="16" width="4.875" customWidth="1"/>
    <col min="17" max="19" width="14.125" style="244" customWidth="1"/>
    <col min="20" max="20" width="12.125" customWidth="1"/>
    <col min="21" max="31" width="11.5" customWidth="1"/>
    <col min="32" max="46" width="11.375" customWidth="1"/>
    <col min="47" max="47" width="2.875" customWidth="1"/>
    <col min="48" max="54" width="11.375" customWidth="1"/>
  </cols>
  <sheetData>
    <row r="2" spans="1:19" ht="15" customHeight="1" x14ac:dyDescent="0.2">
      <c r="L2" s="75" t="s">
        <v>847</v>
      </c>
    </row>
    <row r="3" spans="1:19" ht="33.75" customHeight="1" x14ac:dyDescent="0.2">
      <c r="B3" s="107" t="s">
        <v>120</v>
      </c>
      <c r="C3" s="107" t="s">
        <v>121</v>
      </c>
      <c r="D3" s="107" t="s">
        <v>1092</v>
      </c>
      <c r="E3" s="107" t="s">
        <v>1010</v>
      </c>
      <c r="F3" s="107" t="s">
        <v>1007</v>
      </c>
      <c r="G3" s="107" t="s">
        <v>1004</v>
      </c>
      <c r="H3" s="107" t="s">
        <v>986</v>
      </c>
      <c r="I3" s="107" t="s">
        <v>894</v>
      </c>
      <c r="J3" s="107" t="s">
        <v>893</v>
      </c>
      <c r="K3" s="107" t="s">
        <v>876</v>
      </c>
      <c r="L3" s="107" t="s">
        <v>846</v>
      </c>
      <c r="M3" s="107" t="s">
        <v>838</v>
      </c>
      <c r="N3" s="107" t="s">
        <v>823</v>
      </c>
      <c r="O3" s="107" t="s">
        <v>762</v>
      </c>
      <c r="Q3" s="245">
        <v>2023</v>
      </c>
      <c r="R3" s="245">
        <v>2024</v>
      </c>
      <c r="S3" s="245">
        <v>2025</v>
      </c>
    </row>
    <row r="4" spans="1:19" ht="15" customHeight="1" x14ac:dyDescent="0.2">
      <c r="B4" s="173" t="s">
        <v>102</v>
      </c>
      <c r="C4" s="173" t="s">
        <v>122</v>
      </c>
      <c r="D4" s="181"/>
      <c r="E4" s="181"/>
      <c r="F4" s="181"/>
      <c r="G4" s="181"/>
      <c r="H4" s="181"/>
      <c r="I4" s="181"/>
      <c r="J4" s="181"/>
      <c r="K4" s="181"/>
      <c r="L4" s="181"/>
      <c r="M4" s="181"/>
      <c r="N4" s="181"/>
      <c r="O4" s="181"/>
      <c r="Q4" s="246"/>
      <c r="R4" s="246"/>
      <c r="S4" s="246"/>
    </row>
    <row r="5" spans="1:19" ht="15" customHeight="1" x14ac:dyDescent="0.2">
      <c r="B5" s="75" t="s">
        <v>123</v>
      </c>
      <c r="C5" s="75" t="s">
        <v>124</v>
      </c>
      <c r="D5" s="174">
        <v>-260289</v>
      </c>
      <c r="E5" s="174">
        <v>-207542</v>
      </c>
      <c r="F5" s="174">
        <v>-195093</v>
      </c>
      <c r="G5" s="174">
        <v>-158076</v>
      </c>
      <c r="H5" s="174">
        <v>-207741</v>
      </c>
      <c r="I5" s="174">
        <v>-165254</v>
      </c>
      <c r="J5" s="174">
        <v>-164402</v>
      </c>
      <c r="K5" s="174">
        <v>-138499</v>
      </c>
      <c r="L5" s="174">
        <v>-200565</v>
      </c>
      <c r="M5" s="174">
        <v>-152541</v>
      </c>
      <c r="N5" s="174">
        <v>-164005</v>
      </c>
      <c r="O5" s="174">
        <v>-143081</v>
      </c>
      <c r="Q5" s="247">
        <v>-660192</v>
      </c>
      <c r="R5" s="247">
        <v>-675896</v>
      </c>
      <c r="S5" s="247">
        <v>-821000</v>
      </c>
    </row>
    <row r="6" spans="1:19" ht="15" customHeight="1" x14ac:dyDescent="0.2">
      <c r="B6" s="75" t="s">
        <v>852</v>
      </c>
      <c r="C6" s="75" t="s">
        <v>890</v>
      </c>
      <c r="D6" s="174">
        <v>-190964</v>
      </c>
      <c r="E6" s="174">
        <v>-145449</v>
      </c>
      <c r="F6" s="174">
        <v>-140744</v>
      </c>
      <c r="G6" s="174">
        <v>-119446</v>
      </c>
      <c r="H6" s="174">
        <v>-151888</v>
      </c>
      <c r="I6" s="174">
        <v>-136151</v>
      </c>
      <c r="J6" s="174">
        <v>-125066</v>
      </c>
      <c r="K6" s="174">
        <v>-104607</v>
      </c>
      <c r="L6" s="174">
        <v>-114199</v>
      </c>
      <c r="M6" s="174">
        <v>-128681</v>
      </c>
      <c r="N6" s="174">
        <v>-142646</v>
      </c>
      <c r="O6" s="174">
        <v>-107176</v>
      </c>
      <c r="Q6" s="247">
        <v>-492702</v>
      </c>
      <c r="R6" s="247">
        <v>-517712</v>
      </c>
      <c r="S6" s="247">
        <v>-596603</v>
      </c>
    </row>
    <row r="7" spans="1:19" ht="15" customHeight="1" x14ac:dyDescent="0.2">
      <c r="B7" s="75" t="s">
        <v>137</v>
      </c>
      <c r="C7" s="75" t="s">
        <v>138</v>
      </c>
      <c r="D7" s="174">
        <v>-32276</v>
      </c>
      <c r="E7" s="174">
        <v>-27510</v>
      </c>
      <c r="F7" s="174">
        <v>-23262</v>
      </c>
      <c r="G7" s="174">
        <v>-21516</v>
      </c>
      <c r="H7" s="174">
        <v>-29647</v>
      </c>
      <c r="I7" s="174">
        <v>-20795</v>
      </c>
      <c r="J7" s="174">
        <v>-23877</v>
      </c>
      <c r="K7" s="174">
        <v>-17547</v>
      </c>
      <c r="L7" s="174">
        <v>-55506</v>
      </c>
      <c r="M7" s="174">
        <v>-64134</v>
      </c>
      <c r="N7" s="174">
        <v>-75063</v>
      </c>
      <c r="O7" s="174">
        <v>-63285</v>
      </c>
      <c r="Q7" s="247">
        <v>-257988</v>
      </c>
      <c r="R7" s="247">
        <v>-91866</v>
      </c>
      <c r="S7" s="247">
        <v>-104564</v>
      </c>
    </row>
    <row r="8" spans="1:19" ht="15" customHeight="1" x14ac:dyDescent="0.2">
      <c r="B8" s="75" t="s">
        <v>877</v>
      </c>
      <c r="C8" s="75" t="s">
        <v>126</v>
      </c>
      <c r="D8" s="174">
        <v>-44147</v>
      </c>
      <c r="E8" s="174">
        <v>-45259</v>
      </c>
      <c r="F8" s="174">
        <v>-45731</v>
      </c>
      <c r="G8" s="174">
        <v>-42290</v>
      </c>
      <c r="H8" s="174">
        <v>-41677</v>
      </c>
      <c r="I8" s="174">
        <v>-41272</v>
      </c>
      <c r="J8" s="174">
        <v>-34555</v>
      </c>
      <c r="K8" s="174">
        <v>-47540</v>
      </c>
      <c r="L8" s="174">
        <v>-47728</v>
      </c>
      <c r="M8" s="174">
        <v>-47131</v>
      </c>
      <c r="N8" s="174">
        <v>-45832</v>
      </c>
      <c r="O8" s="174">
        <v>-43032</v>
      </c>
      <c r="Q8" s="247">
        <v>-183723</v>
      </c>
      <c r="R8" s="247">
        <v>-165044</v>
      </c>
      <c r="S8" s="247">
        <v>-177427</v>
      </c>
    </row>
    <row r="9" spans="1:19" ht="15" customHeight="1" x14ac:dyDescent="0.2">
      <c r="A9" s="32"/>
      <c r="B9" s="75" t="s">
        <v>878</v>
      </c>
      <c r="C9" s="75" t="s">
        <v>888</v>
      </c>
      <c r="D9" s="174">
        <v>-62344</v>
      </c>
      <c r="E9" s="174">
        <v>-46626</v>
      </c>
      <c r="F9" s="174">
        <v>-52463</v>
      </c>
      <c r="G9" s="174">
        <v>-49633</v>
      </c>
      <c r="H9" s="174">
        <v>-61731</v>
      </c>
      <c r="I9" s="174">
        <v>-62030</v>
      </c>
      <c r="J9" s="174">
        <v>-65196</v>
      </c>
      <c r="K9" s="174">
        <v>-57445</v>
      </c>
      <c r="L9" s="174">
        <v>-50958</v>
      </c>
      <c r="M9" s="174">
        <v>-40392</v>
      </c>
      <c r="N9" s="174">
        <v>-29950</v>
      </c>
      <c r="O9" s="174">
        <v>-24064</v>
      </c>
      <c r="Q9" s="247">
        <v>-145364</v>
      </c>
      <c r="R9" s="247">
        <v>-246402</v>
      </c>
      <c r="S9" s="247">
        <v>-211066</v>
      </c>
    </row>
    <row r="10" spans="1:19" ht="15" customHeight="1" x14ac:dyDescent="0.2">
      <c r="A10" s="32"/>
      <c r="B10" s="75" t="s">
        <v>879</v>
      </c>
      <c r="C10" s="75" t="s">
        <v>886</v>
      </c>
      <c r="D10" s="174">
        <v>-47249</v>
      </c>
      <c r="E10" s="174">
        <v>-36788</v>
      </c>
      <c r="F10" s="174">
        <v>-34982</v>
      </c>
      <c r="G10" s="174">
        <v>-33994</v>
      </c>
      <c r="H10" s="174">
        <v>-42026</v>
      </c>
      <c r="I10" s="174">
        <v>-34723</v>
      </c>
      <c r="J10" s="174">
        <v>-35400</v>
      </c>
      <c r="K10" s="174">
        <v>-28418</v>
      </c>
      <c r="L10" s="174">
        <v>-42989</v>
      </c>
      <c r="M10" s="174">
        <v>-30927</v>
      </c>
      <c r="N10" s="174">
        <v>-35320</v>
      </c>
      <c r="O10" s="174">
        <v>-31740</v>
      </c>
      <c r="Q10" s="247">
        <v>-140976</v>
      </c>
      <c r="R10" s="247">
        <v>-140567</v>
      </c>
      <c r="S10" s="247">
        <v>-153013</v>
      </c>
    </row>
    <row r="11" spans="1:19" ht="15" customHeight="1" x14ac:dyDescent="0.2">
      <c r="A11" s="32"/>
      <c r="B11" s="75" t="s">
        <v>880</v>
      </c>
      <c r="C11" s="219" t="s">
        <v>880</v>
      </c>
      <c r="D11" s="174">
        <v>-37278</v>
      </c>
      <c r="E11" s="174">
        <v>-31750</v>
      </c>
      <c r="F11" s="174">
        <v>-31533</v>
      </c>
      <c r="G11" s="174">
        <v>-30321</v>
      </c>
      <c r="H11" s="174">
        <v>-31263</v>
      </c>
      <c r="I11" s="174">
        <v>-29097</v>
      </c>
      <c r="J11" s="174">
        <v>-28645</v>
      </c>
      <c r="K11" s="174">
        <v>-28823</v>
      </c>
      <c r="L11" s="174">
        <v>-35045</v>
      </c>
      <c r="M11" s="174">
        <v>-30471</v>
      </c>
      <c r="N11" s="174">
        <v>-29843</v>
      </c>
      <c r="O11" s="174">
        <v>-26507</v>
      </c>
      <c r="Q11" s="247">
        <v>-121866</v>
      </c>
      <c r="R11" s="247">
        <v>-117828</v>
      </c>
      <c r="S11" s="247">
        <v>-130882</v>
      </c>
    </row>
    <row r="12" spans="1:19" ht="15" customHeight="1" x14ac:dyDescent="0.2">
      <c r="A12" s="32"/>
      <c r="B12" s="75" t="s">
        <v>881</v>
      </c>
      <c r="C12" s="75" t="s">
        <v>134</v>
      </c>
      <c r="D12" s="174">
        <v>-23108</v>
      </c>
      <c r="E12" s="174">
        <v>-24595</v>
      </c>
      <c r="F12" s="174">
        <v>-22991</v>
      </c>
      <c r="G12" s="174">
        <v>-22899</v>
      </c>
      <c r="H12" s="174">
        <v>-23056</v>
      </c>
      <c r="I12" s="174">
        <v>-22093</v>
      </c>
      <c r="J12" s="174">
        <v>-21821</v>
      </c>
      <c r="K12" s="174">
        <v>-21634</v>
      </c>
      <c r="L12" s="174">
        <v>-7963</v>
      </c>
      <c r="M12" s="174">
        <v>-25636</v>
      </c>
      <c r="N12" s="174">
        <v>-24419</v>
      </c>
      <c r="O12" s="174">
        <v>-25001</v>
      </c>
      <c r="Q12" s="247">
        <v>-83019</v>
      </c>
      <c r="R12" s="247">
        <v>-88604</v>
      </c>
      <c r="S12" s="247">
        <v>-93593</v>
      </c>
    </row>
    <row r="13" spans="1:19" ht="15" customHeight="1" x14ac:dyDescent="0.2">
      <c r="A13" s="32"/>
      <c r="B13" s="75" t="s">
        <v>127</v>
      </c>
      <c r="C13" s="75" t="s">
        <v>128</v>
      </c>
      <c r="D13" s="174">
        <v>-27141</v>
      </c>
      <c r="E13" s="174">
        <v>-23347</v>
      </c>
      <c r="F13" s="174">
        <v>-23432</v>
      </c>
      <c r="G13" s="174">
        <v>-21128</v>
      </c>
      <c r="H13" s="174">
        <v>-23501</v>
      </c>
      <c r="I13" s="174">
        <v>-22845</v>
      </c>
      <c r="J13" s="174">
        <v>-23051</v>
      </c>
      <c r="K13" s="174">
        <v>-19270</v>
      </c>
      <c r="L13" s="174">
        <v>-24432</v>
      </c>
      <c r="M13" s="174">
        <v>-19905</v>
      </c>
      <c r="N13" s="174">
        <v>-20189</v>
      </c>
      <c r="O13" s="174">
        <v>-18328</v>
      </c>
      <c r="Q13" s="247">
        <v>-82854</v>
      </c>
      <c r="R13" s="247">
        <v>-88667</v>
      </c>
      <c r="S13" s="247">
        <v>-95048</v>
      </c>
    </row>
    <row r="14" spans="1:19" ht="15" customHeight="1" x14ac:dyDescent="0.2">
      <c r="A14" s="32"/>
      <c r="B14" s="75" t="s">
        <v>882</v>
      </c>
      <c r="C14" s="75" t="s">
        <v>887</v>
      </c>
      <c r="D14" s="174">
        <v>-14199</v>
      </c>
      <c r="E14" s="174">
        <v>-13541</v>
      </c>
      <c r="F14" s="174">
        <v>-13249</v>
      </c>
      <c r="G14" s="174">
        <v>-13876</v>
      </c>
      <c r="H14" s="174">
        <v>-13769</v>
      </c>
      <c r="I14" s="174">
        <v>-13708</v>
      </c>
      <c r="J14" s="174">
        <v>-13070</v>
      </c>
      <c r="K14" s="174">
        <v>-12646</v>
      </c>
      <c r="L14" s="174">
        <v>-14091</v>
      </c>
      <c r="M14" s="174">
        <v>-14192</v>
      </c>
      <c r="N14" s="174">
        <v>-15499</v>
      </c>
      <c r="O14" s="174">
        <v>-12501</v>
      </c>
      <c r="Q14" s="247">
        <v>-56283</v>
      </c>
      <c r="R14" s="247">
        <v>-53193</v>
      </c>
      <c r="S14" s="247">
        <v>-54865</v>
      </c>
    </row>
    <row r="15" spans="1:19" ht="15" customHeight="1" x14ac:dyDescent="0.2">
      <c r="A15" s="32"/>
      <c r="B15" s="75" t="s">
        <v>883</v>
      </c>
      <c r="C15" s="75" t="s">
        <v>889</v>
      </c>
      <c r="D15" s="174">
        <v>-11445</v>
      </c>
      <c r="E15" s="174">
        <v>-6745</v>
      </c>
      <c r="F15" s="174">
        <v>-6875</v>
      </c>
      <c r="G15" s="174">
        <v>-6047</v>
      </c>
      <c r="H15" s="174">
        <v>-10298</v>
      </c>
      <c r="I15" s="174">
        <v>-8044</v>
      </c>
      <c r="J15" s="174">
        <v>-5008</v>
      </c>
      <c r="K15" s="174">
        <v>-4130</v>
      </c>
      <c r="L15" s="174">
        <v>-9418</v>
      </c>
      <c r="M15" s="174">
        <v>-7229</v>
      </c>
      <c r="N15" s="174">
        <v>-6758</v>
      </c>
      <c r="O15" s="174">
        <v>-5646</v>
      </c>
      <c r="Q15" s="247">
        <v>-29051</v>
      </c>
      <c r="R15" s="247">
        <v>-27480</v>
      </c>
      <c r="S15" s="247">
        <v>-31112</v>
      </c>
    </row>
    <row r="16" spans="1:19" ht="15" customHeight="1" x14ac:dyDescent="0.2">
      <c r="A16" s="32"/>
      <c r="B16" s="75" t="s">
        <v>884</v>
      </c>
      <c r="C16" s="75" t="s">
        <v>140</v>
      </c>
      <c r="D16" s="174">
        <v>13847</v>
      </c>
      <c r="E16" s="174">
        <v>-2647</v>
      </c>
      <c r="F16" s="174">
        <v>-6071</v>
      </c>
      <c r="G16" s="174">
        <v>-3633</v>
      </c>
      <c r="H16" s="174">
        <v>-3659</v>
      </c>
      <c r="I16" s="174">
        <v>-3506</v>
      </c>
      <c r="J16" s="174">
        <v>-6550</v>
      </c>
      <c r="K16" s="174">
        <v>-1442</v>
      </c>
      <c r="L16" s="174">
        <v>-4713</v>
      </c>
      <c r="M16" s="174">
        <v>-2855</v>
      </c>
      <c r="N16" s="174">
        <v>-7812</v>
      </c>
      <c r="O16" s="174">
        <v>-3902</v>
      </c>
      <c r="Q16" s="247">
        <v>-19282</v>
      </c>
      <c r="R16" s="247">
        <v>-15157</v>
      </c>
      <c r="S16" s="247">
        <v>1496</v>
      </c>
    </row>
    <row r="17" spans="1:19" ht="15" customHeight="1" x14ac:dyDescent="0.2">
      <c r="A17" s="32"/>
      <c r="B17" s="75" t="s">
        <v>885</v>
      </c>
      <c r="C17" s="75" t="s">
        <v>142</v>
      </c>
      <c r="D17" s="174">
        <v>1186</v>
      </c>
      <c r="E17" s="174">
        <v>-1374</v>
      </c>
      <c r="F17" s="174">
        <v>-450</v>
      </c>
      <c r="G17" s="174">
        <v>-542</v>
      </c>
      <c r="H17" s="174">
        <v>-1617</v>
      </c>
      <c r="I17" s="174">
        <v>1122</v>
      </c>
      <c r="J17" s="174">
        <v>1230</v>
      </c>
      <c r="K17" s="174">
        <v>-2822</v>
      </c>
      <c r="L17" s="174">
        <v>-685</v>
      </c>
      <c r="M17" s="174">
        <v>69</v>
      </c>
      <c r="N17" s="174">
        <v>-1876</v>
      </c>
      <c r="O17" s="174">
        <v>-2049</v>
      </c>
      <c r="Q17" s="247">
        <v>-4541</v>
      </c>
      <c r="R17" s="247">
        <v>-2087</v>
      </c>
      <c r="S17" s="247">
        <v>-1180</v>
      </c>
    </row>
    <row r="18" spans="1:19" ht="15" customHeight="1" x14ac:dyDescent="0.2">
      <c r="A18" s="32"/>
      <c r="B18" s="75" t="s">
        <v>679</v>
      </c>
      <c r="C18" s="75" t="s">
        <v>680</v>
      </c>
      <c r="D18" s="174">
        <v>1089</v>
      </c>
      <c r="E18" s="174">
        <v>376</v>
      </c>
      <c r="F18" s="174">
        <v>-2152</v>
      </c>
      <c r="G18" s="174">
        <v>-975</v>
      </c>
      <c r="H18" s="174">
        <v>30</v>
      </c>
      <c r="I18" s="174">
        <v>216.32983000000002</v>
      </c>
      <c r="J18" s="174">
        <v>30.670169999999985</v>
      </c>
      <c r="K18" s="174">
        <v>458</v>
      </c>
      <c r="L18" s="174">
        <v>1849</v>
      </c>
      <c r="M18" s="174">
        <v>1944</v>
      </c>
      <c r="N18" s="174">
        <v>-2202</v>
      </c>
      <c r="O18" s="174">
        <v>-1211</v>
      </c>
      <c r="Q18" s="247">
        <v>380</v>
      </c>
      <c r="R18" s="247">
        <v>735</v>
      </c>
      <c r="S18" s="247">
        <v>-1662</v>
      </c>
    </row>
    <row r="19" spans="1:19" ht="15" customHeight="1" x14ac:dyDescent="0.2">
      <c r="A19" s="32"/>
      <c r="B19" s="176" t="s">
        <v>143</v>
      </c>
      <c r="C19" s="176" t="s">
        <v>144</v>
      </c>
      <c r="D19" s="206">
        <v>-734318</v>
      </c>
      <c r="E19" s="206">
        <v>-612797</v>
      </c>
      <c r="F19" s="206">
        <v>-599028</v>
      </c>
      <c r="G19" s="206">
        <v>-524376</v>
      </c>
      <c r="H19" s="206">
        <v>-641843</v>
      </c>
      <c r="I19" s="206">
        <v>-558179.67017000006</v>
      </c>
      <c r="J19" s="206">
        <v>-545380.32982999994</v>
      </c>
      <c r="K19" s="206">
        <v>-484365</v>
      </c>
      <c r="L19" s="206">
        <v>-606443</v>
      </c>
      <c r="M19" s="206">
        <v>-562081</v>
      </c>
      <c r="N19" s="206">
        <v>-601414</v>
      </c>
      <c r="O19" s="206">
        <v>-507523</v>
      </c>
      <c r="Q19" s="206">
        <v>-2277461</v>
      </c>
      <c r="R19" s="206">
        <v>-2229768</v>
      </c>
      <c r="S19" s="206">
        <v>-2470519</v>
      </c>
    </row>
    <row r="20" spans="1:19" ht="15" customHeight="1" x14ac:dyDescent="0.2">
      <c r="A20" s="33"/>
      <c r="B20" s="178"/>
      <c r="C20" s="178"/>
      <c r="D20" s="178"/>
      <c r="E20" s="178"/>
      <c r="F20" s="178"/>
      <c r="G20" s="178"/>
      <c r="H20" s="178"/>
      <c r="I20" s="178"/>
      <c r="J20" s="178"/>
      <c r="K20" s="178"/>
      <c r="L20" s="178"/>
      <c r="M20" s="178"/>
      <c r="N20" s="178"/>
      <c r="O20" s="178"/>
      <c r="Q20" s="248"/>
      <c r="R20" s="248"/>
      <c r="S20" s="248"/>
    </row>
    <row r="21" spans="1:19" ht="15" customHeight="1" x14ac:dyDescent="0.2">
      <c r="A21" s="32"/>
      <c r="B21" s="173" t="s">
        <v>145</v>
      </c>
      <c r="C21" s="173" t="s">
        <v>146</v>
      </c>
      <c r="D21" s="181"/>
      <c r="E21" s="181"/>
      <c r="F21" s="181"/>
      <c r="G21" s="181"/>
      <c r="H21" s="181"/>
      <c r="I21" s="181"/>
      <c r="J21" s="181"/>
      <c r="K21" s="181"/>
      <c r="L21" s="181"/>
      <c r="M21" s="181"/>
      <c r="N21" s="181"/>
      <c r="O21" s="181"/>
      <c r="Q21" s="246"/>
      <c r="R21" s="246"/>
      <c r="S21" s="246"/>
    </row>
    <row r="22" spans="1:19" ht="15" customHeight="1" x14ac:dyDescent="0.2">
      <c r="A22" s="32"/>
      <c r="B22" s="75" t="s">
        <v>123</v>
      </c>
      <c r="C22" s="75" t="s">
        <v>124</v>
      </c>
      <c r="D22" s="174">
        <v>-91446</v>
      </c>
      <c r="E22" s="174">
        <v>-70338</v>
      </c>
      <c r="F22" s="174">
        <v>-96126</v>
      </c>
      <c r="G22" s="174">
        <v>-50175</v>
      </c>
      <c r="H22" s="174">
        <v>-97975</v>
      </c>
      <c r="I22" s="174">
        <v>-76598</v>
      </c>
      <c r="J22" s="174">
        <v>-86426</v>
      </c>
      <c r="K22" s="174">
        <v>-57271</v>
      </c>
      <c r="L22" s="174">
        <v>-64389</v>
      </c>
      <c r="M22" s="174">
        <v>-41738</v>
      </c>
      <c r="N22" s="174">
        <v>-44852</v>
      </c>
      <c r="O22" s="174">
        <v>-55473</v>
      </c>
      <c r="Q22" s="247">
        <v>-206452</v>
      </c>
      <c r="R22" s="247">
        <v>-318270</v>
      </c>
      <c r="S22" s="247">
        <v>-308085</v>
      </c>
    </row>
    <row r="23" spans="1:19" ht="15" customHeight="1" x14ac:dyDescent="0.2">
      <c r="A23" s="32"/>
      <c r="B23" s="75" t="s">
        <v>881</v>
      </c>
      <c r="C23" s="75" t="s">
        <v>134</v>
      </c>
      <c r="D23" s="174">
        <v>-34132</v>
      </c>
      <c r="E23" s="174">
        <v>-29606</v>
      </c>
      <c r="F23" s="174">
        <v>-35394</v>
      </c>
      <c r="G23" s="174">
        <v>-34947</v>
      </c>
      <c r="H23" s="174">
        <v>-31684</v>
      </c>
      <c r="I23" s="174">
        <v>-30247</v>
      </c>
      <c r="J23" s="174">
        <v>-29626</v>
      </c>
      <c r="K23" s="174">
        <v>-29320</v>
      </c>
      <c r="L23" s="174">
        <v>-23213</v>
      </c>
      <c r="M23" s="174">
        <v>-24978</v>
      </c>
      <c r="N23" s="174">
        <v>-24583</v>
      </c>
      <c r="O23" s="174">
        <v>-25070</v>
      </c>
      <c r="Q23" s="247">
        <v>-97844</v>
      </c>
      <c r="R23" s="247">
        <v>-120877</v>
      </c>
      <c r="S23" s="247">
        <v>-134079</v>
      </c>
    </row>
    <row r="24" spans="1:19" ht="15" customHeight="1" x14ac:dyDescent="0.2">
      <c r="A24" s="32"/>
      <c r="B24" s="75" t="s">
        <v>882</v>
      </c>
      <c r="C24" s="75" t="s">
        <v>887</v>
      </c>
      <c r="D24" s="174">
        <v>-25959</v>
      </c>
      <c r="E24" s="174">
        <v>-19790</v>
      </c>
      <c r="F24" s="174">
        <v>-21163</v>
      </c>
      <c r="G24" s="174">
        <v>-21323</v>
      </c>
      <c r="H24" s="174">
        <v>-22822</v>
      </c>
      <c r="I24" s="174">
        <v>-19226</v>
      </c>
      <c r="J24" s="174">
        <v>-18754</v>
      </c>
      <c r="K24" s="174">
        <v>-16824</v>
      </c>
      <c r="L24" s="174">
        <v>-18634</v>
      </c>
      <c r="M24" s="174">
        <v>-14781</v>
      </c>
      <c r="N24" s="174">
        <v>-18096</v>
      </c>
      <c r="O24" s="174">
        <v>-17843</v>
      </c>
      <c r="Q24" s="247">
        <v>-69354</v>
      </c>
      <c r="R24" s="247">
        <v>-77626</v>
      </c>
      <c r="S24" s="247">
        <v>-88235</v>
      </c>
    </row>
    <row r="25" spans="1:19" ht="15" customHeight="1" x14ac:dyDescent="0.2">
      <c r="A25" s="32"/>
      <c r="B25" s="75" t="s">
        <v>137</v>
      </c>
      <c r="C25" s="75" t="s">
        <v>138</v>
      </c>
      <c r="D25" s="174">
        <v>-8884</v>
      </c>
      <c r="E25" s="174">
        <v>-10567</v>
      </c>
      <c r="F25" s="174">
        <v>-9370</v>
      </c>
      <c r="G25" s="174">
        <v>-6597</v>
      </c>
      <c r="H25" s="174">
        <v>-11532</v>
      </c>
      <c r="I25" s="174">
        <v>-7030</v>
      </c>
      <c r="J25" s="174">
        <v>-9237</v>
      </c>
      <c r="K25" s="174">
        <v>-5056</v>
      </c>
      <c r="L25" s="174">
        <v>-9060</v>
      </c>
      <c r="M25" s="174">
        <v>-6666</v>
      </c>
      <c r="N25" s="174">
        <v>-9264</v>
      </c>
      <c r="O25" s="174">
        <v>-7708</v>
      </c>
      <c r="Q25" s="247">
        <v>-32698</v>
      </c>
      <c r="R25" s="247">
        <v>-32855</v>
      </c>
      <c r="S25" s="247">
        <v>-35418</v>
      </c>
    </row>
    <row r="26" spans="1:19" ht="15" customHeight="1" x14ac:dyDescent="0.2">
      <c r="A26" s="32"/>
      <c r="B26" s="75" t="s">
        <v>884</v>
      </c>
      <c r="C26" s="75" t="s">
        <v>140</v>
      </c>
      <c r="D26" s="174">
        <v>-16815</v>
      </c>
      <c r="E26" s="174">
        <v>-16603</v>
      </c>
      <c r="F26" s="174">
        <v>-4001</v>
      </c>
      <c r="G26" s="174">
        <v>-4221</v>
      </c>
      <c r="H26" s="174">
        <v>-25047</v>
      </c>
      <c r="I26" s="174">
        <v>-8549</v>
      </c>
      <c r="J26" s="174">
        <v>-15687</v>
      </c>
      <c r="K26" s="174">
        <v>-2651</v>
      </c>
      <c r="L26" s="174">
        <v>-22216</v>
      </c>
      <c r="M26" s="174">
        <v>-4415</v>
      </c>
      <c r="N26" s="174">
        <v>-4184</v>
      </c>
      <c r="O26" s="174">
        <v>286</v>
      </c>
      <c r="Q26" s="247">
        <v>-30529</v>
      </c>
      <c r="R26" s="247">
        <v>-51934</v>
      </c>
      <c r="S26" s="247">
        <v>-41640</v>
      </c>
    </row>
    <row r="27" spans="1:19" ht="15" customHeight="1" x14ac:dyDescent="0.2">
      <c r="A27" s="32"/>
      <c r="B27" s="75" t="s">
        <v>880</v>
      </c>
      <c r="C27" s="75" t="s">
        <v>880</v>
      </c>
      <c r="D27" s="174">
        <v>-7646</v>
      </c>
      <c r="E27" s="174">
        <v>-7792</v>
      </c>
      <c r="F27" s="174">
        <v>-6489</v>
      </c>
      <c r="G27" s="174">
        <v>-6420</v>
      </c>
      <c r="H27" s="174">
        <v>-9107</v>
      </c>
      <c r="I27" s="174">
        <v>-5654</v>
      </c>
      <c r="J27" s="174">
        <v>-6527</v>
      </c>
      <c r="K27" s="174">
        <v>-5468</v>
      </c>
      <c r="L27" s="174">
        <v>-7895</v>
      </c>
      <c r="M27" s="174">
        <v>-5107</v>
      </c>
      <c r="N27" s="174">
        <v>-5432</v>
      </c>
      <c r="O27" s="174">
        <v>-6963</v>
      </c>
      <c r="Q27" s="247">
        <v>-25397</v>
      </c>
      <c r="R27" s="247">
        <v>-26756</v>
      </c>
      <c r="S27" s="247">
        <v>-28347</v>
      </c>
    </row>
    <row r="28" spans="1:19" ht="15" customHeight="1" x14ac:dyDescent="0.2">
      <c r="A28" s="32"/>
      <c r="B28" s="75" t="s">
        <v>877</v>
      </c>
      <c r="C28" s="75" t="s">
        <v>126</v>
      </c>
      <c r="D28" s="174">
        <v>-3984</v>
      </c>
      <c r="E28" s="174">
        <v>-4259</v>
      </c>
      <c r="F28" s="174">
        <v>-4356</v>
      </c>
      <c r="G28" s="174">
        <v>-4836</v>
      </c>
      <c r="H28" s="174">
        <v>-4897</v>
      </c>
      <c r="I28" s="174">
        <v>-5012</v>
      </c>
      <c r="J28" s="174">
        <v>-6217</v>
      </c>
      <c r="K28" s="174">
        <v>-6008</v>
      </c>
      <c r="L28" s="174">
        <v>-5428</v>
      </c>
      <c r="M28" s="174">
        <v>-5305</v>
      </c>
      <c r="N28" s="174">
        <v>-5197</v>
      </c>
      <c r="O28" s="174">
        <v>-4889</v>
      </c>
      <c r="Q28" s="247">
        <v>-20819</v>
      </c>
      <c r="R28" s="247">
        <v>-22134</v>
      </c>
      <c r="S28" s="247">
        <v>-17435</v>
      </c>
    </row>
    <row r="29" spans="1:19" ht="15" customHeight="1" x14ac:dyDescent="0.2">
      <c r="A29" s="32"/>
      <c r="B29" s="75" t="s">
        <v>852</v>
      </c>
      <c r="C29" s="75" t="s">
        <v>890</v>
      </c>
      <c r="D29" s="174">
        <v>-5023</v>
      </c>
      <c r="E29" s="174">
        <v>-3219</v>
      </c>
      <c r="F29" s="174">
        <v>-2458</v>
      </c>
      <c r="G29" s="174">
        <v>-2927</v>
      </c>
      <c r="H29" s="174">
        <v>-4644</v>
      </c>
      <c r="I29" s="174">
        <v>-1698</v>
      </c>
      <c r="J29" s="174">
        <v>-2569</v>
      </c>
      <c r="K29" s="174">
        <v>-1353</v>
      </c>
      <c r="L29" s="174">
        <v>-3159</v>
      </c>
      <c r="M29" s="174">
        <v>-2935</v>
      </c>
      <c r="N29" s="174">
        <v>-1256</v>
      </c>
      <c r="O29" s="174">
        <v>-3616</v>
      </c>
      <c r="Q29" s="247">
        <v>-10966</v>
      </c>
      <c r="R29" s="247">
        <v>-10264</v>
      </c>
      <c r="S29" s="247">
        <v>-13627</v>
      </c>
    </row>
    <row r="30" spans="1:19" ht="15" customHeight="1" x14ac:dyDescent="0.2">
      <c r="A30" s="32"/>
      <c r="B30" s="75" t="s">
        <v>879</v>
      </c>
      <c r="C30" s="75" t="s">
        <v>886</v>
      </c>
      <c r="D30" s="174">
        <v>-5868</v>
      </c>
      <c r="E30" s="174">
        <v>-2229</v>
      </c>
      <c r="F30" s="174">
        <v>-6552</v>
      </c>
      <c r="G30" s="174">
        <v>-2223</v>
      </c>
      <c r="H30" s="174">
        <v>-2615</v>
      </c>
      <c r="I30" s="174">
        <v>-1643</v>
      </c>
      <c r="J30" s="174">
        <v>-1572</v>
      </c>
      <c r="K30" s="174">
        <v>-1857</v>
      </c>
      <c r="L30" s="174">
        <v>-2034</v>
      </c>
      <c r="M30" s="174">
        <v>-2646</v>
      </c>
      <c r="N30" s="174">
        <v>-688</v>
      </c>
      <c r="O30" s="174">
        <v>-1522</v>
      </c>
      <c r="Q30" s="247">
        <v>-6890</v>
      </c>
      <c r="R30" s="247">
        <v>-7687</v>
      </c>
      <c r="S30" s="247">
        <v>-16872</v>
      </c>
    </row>
    <row r="31" spans="1:19" ht="15" customHeight="1" x14ac:dyDescent="0.2">
      <c r="A31" s="32"/>
      <c r="B31" s="75" t="s">
        <v>127</v>
      </c>
      <c r="C31" s="75" t="s">
        <v>128</v>
      </c>
      <c r="D31" s="174">
        <v>-1074</v>
      </c>
      <c r="E31" s="174">
        <v>-1110</v>
      </c>
      <c r="F31" s="174">
        <v>-1081</v>
      </c>
      <c r="G31" s="174">
        <v>-505</v>
      </c>
      <c r="H31" s="174">
        <v>-990</v>
      </c>
      <c r="I31" s="174">
        <v>-3015</v>
      </c>
      <c r="J31" s="174">
        <v>-1445</v>
      </c>
      <c r="K31" s="174">
        <v>-1108</v>
      </c>
      <c r="L31" s="174">
        <v>-2416</v>
      </c>
      <c r="M31" s="174">
        <v>-922</v>
      </c>
      <c r="N31" s="174">
        <v>-1038</v>
      </c>
      <c r="O31" s="174">
        <v>-1578</v>
      </c>
      <c r="Q31" s="247">
        <v>-5954</v>
      </c>
      <c r="R31" s="247">
        <v>-6558</v>
      </c>
      <c r="S31" s="247">
        <v>-3770</v>
      </c>
    </row>
    <row r="32" spans="1:19" ht="15" customHeight="1" x14ac:dyDescent="0.2">
      <c r="A32" s="32"/>
      <c r="B32" s="75" t="s">
        <v>878</v>
      </c>
      <c r="C32" s="75" t="s">
        <v>888</v>
      </c>
      <c r="D32" s="174">
        <v>-389</v>
      </c>
      <c r="E32" s="174">
        <v>-832</v>
      </c>
      <c r="F32" s="174">
        <v>-72</v>
      </c>
      <c r="G32" s="174">
        <v>-15</v>
      </c>
      <c r="H32" s="174">
        <v>-174</v>
      </c>
      <c r="I32" s="174">
        <v>-90</v>
      </c>
      <c r="J32" s="174">
        <v>-29</v>
      </c>
      <c r="K32" s="174">
        <v>-265</v>
      </c>
      <c r="L32" s="174">
        <v>-229</v>
      </c>
      <c r="M32" s="174">
        <v>-240</v>
      </c>
      <c r="N32" s="174">
        <v>-178</v>
      </c>
      <c r="O32" s="174">
        <v>-159</v>
      </c>
      <c r="Q32" s="247">
        <v>-806</v>
      </c>
      <c r="R32" s="247">
        <v>-558</v>
      </c>
      <c r="S32" s="247">
        <v>-1308</v>
      </c>
    </row>
    <row r="33" spans="1:19" ht="15" customHeight="1" x14ac:dyDescent="0.2">
      <c r="A33" s="32"/>
      <c r="B33" s="75" t="s">
        <v>883</v>
      </c>
      <c r="C33" s="75" t="s">
        <v>889</v>
      </c>
      <c r="D33" s="174">
        <v>0</v>
      </c>
      <c r="E33" s="174">
        <v>0</v>
      </c>
      <c r="F33" s="174">
        <v>0</v>
      </c>
      <c r="G33" s="174">
        <v>0</v>
      </c>
      <c r="H33" s="174">
        <v>-114</v>
      </c>
      <c r="I33" s="174">
        <v>-54</v>
      </c>
      <c r="J33" s="174">
        <v>0</v>
      </c>
      <c r="K33" s="174">
        <v>0</v>
      </c>
      <c r="L33" s="174">
        <v>-231</v>
      </c>
      <c r="M33" s="174">
        <v>-222</v>
      </c>
      <c r="N33" s="174">
        <v>106</v>
      </c>
      <c r="O33" s="174">
        <v>-106</v>
      </c>
      <c r="Q33" s="247">
        <v>-453</v>
      </c>
      <c r="R33" s="247">
        <v>-168</v>
      </c>
      <c r="S33" s="247">
        <v>0</v>
      </c>
    </row>
    <row r="34" spans="1:19" ht="15" customHeight="1" x14ac:dyDescent="0.2">
      <c r="A34" s="32"/>
      <c r="B34" s="75" t="s">
        <v>141</v>
      </c>
      <c r="C34" s="75" t="s">
        <v>142</v>
      </c>
      <c r="D34" s="174">
        <v>669</v>
      </c>
      <c r="E34" s="174">
        <v>-3613</v>
      </c>
      <c r="F34" s="174">
        <v>-1258</v>
      </c>
      <c r="G34" s="174">
        <v>-2275</v>
      </c>
      <c r="H34" s="174">
        <v>-650</v>
      </c>
      <c r="I34" s="174">
        <v>-3827</v>
      </c>
      <c r="J34" s="174">
        <v>-7004</v>
      </c>
      <c r="K34" s="174">
        <v>-1186</v>
      </c>
      <c r="L34" s="174">
        <v>590</v>
      </c>
      <c r="M34" s="174">
        <v>-4003</v>
      </c>
      <c r="N34" s="174">
        <v>-2317</v>
      </c>
      <c r="O34" s="174">
        <v>-3708</v>
      </c>
      <c r="Q34" s="247">
        <v>-9438</v>
      </c>
      <c r="R34" s="247">
        <v>-12667</v>
      </c>
      <c r="S34" s="247">
        <v>-6477</v>
      </c>
    </row>
    <row r="35" spans="1:19" ht="15" customHeight="1" x14ac:dyDescent="0.2">
      <c r="A35" s="64"/>
      <c r="B35" s="176" t="s">
        <v>147</v>
      </c>
      <c r="C35" s="176" t="s">
        <v>148</v>
      </c>
      <c r="D35" s="206">
        <v>-200551</v>
      </c>
      <c r="E35" s="206">
        <v>-169958</v>
      </c>
      <c r="F35" s="206">
        <v>-188320</v>
      </c>
      <c r="G35" s="206">
        <v>-136464</v>
      </c>
      <c r="H35" s="206">
        <v>-212251</v>
      </c>
      <c r="I35" s="206">
        <v>-162643</v>
      </c>
      <c r="J35" s="206">
        <v>-185093</v>
      </c>
      <c r="K35" s="206">
        <v>-128367</v>
      </c>
      <c r="L35" s="206">
        <v>-158314</v>
      </c>
      <c r="M35" s="206">
        <v>-113958</v>
      </c>
      <c r="N35" s="206">
        <v>-116979</v>
      </c>
      <c r="O35" s="206">
        <v>-128349</v>
      </c>
      <c r="Q35" s="206">
        <v>-517600</v>
      </c>
      <c r="R35" s="206">
        <v>-688354</v>
      </c>
      <c r="S35" s="206">
        <v>-695293</v>
      </c>
    </row>
  </sheetData>
  <pageMargins left="0.511811024" right="0.511811024" top="0.78740157499999996" bottom="0.78740157499999996"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AW10"/>
  <sheetViews>
    <sheetView showGridLines="0" zoomScale="80" zoomScaleNormal="80" workbookViewId="0">
      <pane xSplit="3" ySplit="4" topLeftCell="D5" activePane="bottomRight" state="frozen"/>
      <selection activeCell="P34" sqref="P34"/>
      <selection pane="topRight" activeCell="P34" sqref="P34"/>
      <selection pane="bottomLeft" activeCell="P34" sqref="P34"/>
      <selection pane="bottomRight"/>
    </sheetView>
  </sheetViews>
  <sheetFormatPr defaultColWidth="12.625" defaultRowHeight="15" customHeight="1" x14ac:dyDescent="0.2"/>
  <cols>
    <col min="1" max="1" width="3.375" style="75" customWidth="1"/>
    <col min="2" max="2" width="19.625" style="75" customWidth="1"/>
    <col min="3" max="3" width="20" style="75" customWidth="1"/>
    <col min="4" max="4" width="12.375" style="289" customWidth="1"/>
    <col min="5" max="5" width="12.375" style="258" customWidth="1"/>
    <col min="6" max="6" width="12.375" style="255" customWidth="1"/>
    <col min="7" max="7" width="12.375" style="253" customWidth="1"/>
    <col min="8" max="8" width="12.375" style="75" customWidth="1"/>
    <col min="9" max="11" width="12.375" style="197" customWidth="1"/>
    <col min="12" max="12" width="12.375" style="75" customWidth="1"/>
    <col min="13" max="13" width="11.875" style="75" customWidth="1"/>
    <col min="14" max="39" width="11.375" style="75" customWidth="1"/>
    <col min="40" max="40" width="4.125" style="75" customWidth="1"/>
    <col min="41" max="47" width="10.125" style="75" customWidth="1"/>
    <col min="48" max="49" width="10.125" style="258" customWidth="1"/>
    <col min="50" max="16384" width="12.625" style="75"/>
  </cols>
  <sheetData>
    <row r="4" spans="2:49" ht="33.75" customHeight="1" x14ac:dyDescent="0.2">
      <c r="B4" s="99" t="s">
        <v>151</v>
      </c>
      <c r="C4" s="99" t="s">
        <v>152</v>
      </c>
      <c r="D4" s="99" t="s">
        <v>1092</v>
      </c>
      <c r="E4" s="99" t="s">
        <v>1010</v>
      </c>
      <c r="F4" s="99" t="s">
        <v>1007</v>
      </c>
      <c r="G4" s="99" t="s">
        <v>1004</v>
      </c>
      <c r="H4" s="99" t="s">
        <v>986</v>
      </c>
      <c r="I4" s="99" t="s">
        <v>894</v>
      </c>
      <c r="J4" s="99" t="s">
        <v>893</v>
      </c>
      <c r="K4" s="99" t="s">
        <v>876</v>
      </c>
      <c r="L4" s="99" t="s">
        <v>846</v>
      </c>
      <c r="M4" s="99" t="s">
        <v>838</v>
      </c>
      <c r="N4" s="99" t="s">
        <v>823</v>
      </c>
      <c r="O4" s="99" t="s">
        <v>762</v>
      </c>
      <c r="P4" s="99" t="s">
        <v>742</v>
      </c>
      <c r="Q4" s="99" t="s">
        <v>718</v>
      </c>
      <c r="R4" s="99" t="s">
        <v>703</v>
      </c>
      <c r="S4" s="99" t="s">
        <v>685</v>
      </c>
      <c r="T4" s="99" t="s">
        <v>670</v>
      </c>
      <c r="U4" s="99" t="s">
        <v>630</v>
      </c>
      <c r="V4" s="99" t="s">
        <v>618</v>
      </c>
      <c r="W4" s="99" t="s">
        <v>591</v>
      </c>
      <c r="X4" s="99" t="s">
        <v>551</v>
      </c>
      <c r="Y4" s="99" t="s">
        <v>153</v>
      </c>
      <c r="Z4" s="99" t="s">
        <v>0</v>
      </c>
      <c r="AA4" s="99" t="s">
        <v>1</v>
      </c>
      <c r="AB4" s="101" t="s">
        <v>2</v>
      </c>
      <c r="AC4" s="101" t="s">
        <v>3</v>
      </c>
      <c r="AD4" s="101" t="s">
        <v>4</v>
      </c>
      <c r="AE4" s="101" t="s">
        <v>5</v>
      </c>
      <c r="AF4" s="103" t="s">
        <v>6</v>
      </c>
      <c r="AG4" s="103" t="s">
        <v>7</v>
      </c>
      <c r="AH4" s="101" t="s">
        <v>8</v>
      </c>
      <c r="AI4" s="103" t="s">
        <v>9</v>
      </c>
      <c r="AJ4" s="103" t="s">
        <v>10</v>
      </c>
      <c r="AK4" s="103" t="s">
        <v>11</v>
      </c>
      <c r="AL4" s="103" t="s">
        <v>12</v>
      </c>
      <c r="AM4" s="102" t="s">
        <v>13</v>
      </c>
      <c r="AO4" s="102">
        <v>2017</v>
      </c>
      <c r="AP4" s="102">
        <v>2018</v>
      </c>
      <c r="AQ4" s="102">
        <v>2019</v>
      </c>
      <c r="AR4" s="102">
        <v>2020</v>
      </c>
      <c r="AS4" s="102">
        <v>2021</v>
      </c>
      <c r="AT4" s="102">
        <v>2022</v>
      </c>
      <c r="AU4" s="102">
        <v>2023</v>
      </c>
      <c r="AV4" s="102">
        <v>2024</v>
      </c>
      <c r="AW4" s="102">
        <v>2025</v>
      </c>
    </row>
    <row r="5" spans="2:49" ht="15" customHeight="1" x14ac:dyDescent="0.2">
      <c r="B5" s="187" t="s">
        <v>154</v>
      </c>
      <c r="C5" s="187" t="s">
        <v>155</v>
      </c>
      <c r="D5" s="218">
        <v>24628.169180000001</v>
      </c>
      <c r="E5" s="218">
        <v>16558</v>
      </c>
      <c r="F5" s="218">
        <v>5446.3025100000004</v>
      </c>
      <c r="G5" s="218">
        <v>2482</v>
      </c>
      <c r="H5" s="218">
        <v>3212.3785200000034</v>
      </c>
      <c r="I5" s="218">
        <v>487</v>
      </c>
      <c r="J5" s="218">
        <v>6045</v>
      </c>
      <c r="K5" s="218">
        <v>2820</v>
      </c>
      <c r="L5" s="44">
        <v>3970</v>
      </c>
      <c r="M5" s="44">
        <v>7807</v>
      </c>
      <c r="N5" s="44">
        <v>19962</v>
      </c>
      <c r="O5" s="44">
        <v>12292</v>
      </c>
      <c r="P5" s="44">
        <v>70521</v>
      </c>
      <c r="Q5" s="44">
        <v>14586</v>
      </c>
      <c r="R5" s="44">
        <v>14693</v>
      </c>
      <c r="S5" s="44">
        <v>16356</v>
      </c>
      <c r="T5" s="44">
        <v>21328</v>
      </c>
      <c r="U5" s="44">
        <v>28726</v>
      </c>
      <c r="V5" s="44">
        <v>22959</v>
      </c>
      <c r="W5" s="44">
        <v>2348</v>
      </c>
      <c r="X5" s="44">
        <v>12124</v>
      </c>
      <c r="Y5" s="44">
        <v>6023</v>
      </c>
      <c r="Z5" s="44">
        <v>2405.1233400000001</v>
      </c>
      <c r="AA5" s="44">
        <v>3835.9255200000002</v>
      </c>
      <c r="AB5" s="44">
        <v>48443.15</v>
      </c>
      <c r="AC5" s="44">
        <v>13605.43</v>
      </c>
      <c r="AD5" s="44">
        <v>5463.1019999999999</v>
      </c>
      <c r="AE5" s="44">
        <v>2375</v>
      </c>
      <c r="AF5" s="44">
        <v>11787.165000000001</v>
      </c>
      <c r="AG5" s="44">
        <v>3558.39</v>
      </c>
      <c r="AH5" s="44">
        <v>1.415</v>
      </c>
      <c r="AI5" s="84">
        <v>0</v>
      </c>
      <c r="AJ5" s="44">
        <v>3737.1869999999999</v>
      </c>
      <c r="AK5" s="44">
        <v>32.216999999999999</v>
      </c>
      <c r="AL5" s="44">
        <v>0</v>
      </c>
      <c r="AM5" s="44">
        <v>0</v>
      </c>
      <c r="AO5" s="44">
        <v>3769.404</v>
      </c>
      <c r="AP5" s="44">
        <v>15346.970000000001</v>
      </c>
      <c r="AQ5" s="44">
        <v>69886.682000000001</v>
      </c>
      <c r="AR5" s="44">
        <v>24388.048859999999</v>
      </c>
      <c r="AS5" s="44">
        <v>75361</v>
      </c>
      <c r="AT5" s="44">
        <v>116156</v>
      </c>
      <c r="AU5" s="44">
        <v>44031</v>
      </c>
      <c r="AV5" s="44">
        <v>12564.378520000004</v>
      </c>
      <c r="AW5" s="44">
        <v>49114.471689999998</v>
      </c>
    </row>
    <row r="6" spans="2:49" ht="15" customHeight="1" x14ac:dyDescent="0.2">
      <c r="B6" s="187" t="s">
        <v>849</v>
      </c>
      <c r="C6" s="187" t="s">
        <v>156</v>
      </c>
      <c r="D6" s="218">
        <v>87548.171350000004</v>
      </c>
      <c r="E6" s="218">
        <v>13859</v>
      </c>
      <c r="F6" s="218">
        <v>5523</v>
      </c>
      <c r="G6" s="218">
        <v>3900</v>
      </c>
      <c r="H6" s="218">
        <v>46147.979339999903</v>
      </c>
      <c r="I6" s="218">
        <v>9793.2078499999989</v>
      </c>
      <c r="J6" s="218">
        <v>1927</v>
      </c>
      <c r="K6" s="218">
        <v>295</v>
      </c>
      <c r="L6" s="44">
        <v>910</v>
      </c>
      <c r="M6" s="44">
        <v>2889</v>
      </c>
      <c r="N6" s="44">
        <v>4535</v>
      </c>
      <c r="O6" s="44">
        <v>2331</v>
      </c>
      <c r="P6" s="44">
        <v>15908</v>
      </c>
      <c r="Q6" s="44">
        <v>2205</v>
      </c>
      <c r="R6" s="44">
        <v>17226</v>
      </c>
      <c r="S6" s="44">
        <v>2481</v>
      </c>
      <c r="T6" s="44">
        <v>25613</v>
      </c>
      <c r="U6" s="44">
        <v>8815</v>
      </c>
      <c r="V6" s="44">
        <v>20038</v>
      </c>
      <c r="W6" s="44">
        <v>18503</v>
      </c>
      <c r="X6" s="44">
        <v>7856</v>
      </c>
      <c r="Y6" s="44">
        <v>19278</v>
      </c>
      <c r="Z6" s="44">
        <v>8990.1262699999988</v>
      </c>
      <c r="AA6" s="44">
        <v>13674.596029999999</v>
      </c>
      <c r="AB6" s="44">
        <v>14793.166999999999</v>
      </c>
      <c r="AC6" s="44">
        <v>13040.084999999999</v>
      </c>
      <c r="AD6" s="44">
        <v>6772.991</v>
      </c>
      <c r="AE6" s="44">
        <v>217</v>
      </c>
      <c r="AF6" s="44">
        <v>3835.489</v>
      </c>
      <c r="AG6" s="44">
        <v>5721.0770000000002</v>
      </c>
      <c r="AH6" s="44">
        <v>21063.703000000001</v>
      </c>
      <c r="AI6" s="84">
        <v>569.29899999999998</v>
      </c>
      <c r="AJ6" s="44">
        <v>4718.3140000000003</v>
      </c>
      <c r="AK6" s="44">
        <v>4068.9479999999999</v>
      </c>
      <c r="AL6" s="44">
        <v>816.92899999999997</v>
      </c>
      <c r="AM6" s="44">
        <v>105.44199999999999</v>
      </c>
      <c r="AO6" s="44">
        <v>9709.6329999999998</v>
      </c>
      <c r="AP6" s="44">
        <v>31189.567999999999</v>
      </c>
      <c r="AQ6" s="44">
        <v>34823.243000000002</v>
      </c>
      <c r="AR6" s="44">
        <v>49798.722300000001</v>
      </c>
      <c r="AS6" s="44">
        <v>72969</v>
      </c>
      <c r="AT6" s="44">
        <v>37820</v>
      </c>
      <c r="AU6" s="44">
        <v>10665</v>
      </c>
      <c r="AV6" s="44">
        <v>58163.187189999902</v>
      </c>
      <c r="AW6" s="44">
        <v>110830.17135</v>
      </c>
    </row>
    <row r="7" spans="2:49" ht="15" customHeight="1" x14ac:dyDescent="0.2">
      <c r="B7" s="187" t="s">
        <v>850</v>
      </c>
      <c r="C7" s="187" t="s">
        <v>157</v>
      </c>
      <c r="D7" s="218">
        <v>38712.225599999998</v>
      </c>
      <c r="E7" s="218">
        <v>32377</v>
      </c>
      <c r="F7" s="218">
        <v>30471.982919999991</v>
      </c>
      <c r="G7" s="218">
        <v>30936</v>
      </c>
      <c r="H7" s="218">
        <v>37596.080159999998</v>
      </c>
      <c r="I7" s="218">
        <v>29115</v>
      </c>
      <c r="J7" s="218">
        <v>32170</v>
      </c>
      <c r="K7" s="218">
        <v>27835</v>
      </c>
      <c r="L7" s="44">
        <v>26831</v>
      </c>
      <c r="M7" s="44">
        <v>26357</v>
      </c>
      <c r="N7" s="44">
        <v>36947</v>
      </c>
      <c r="O7" s="44">
        <v>29109</v>
      </c>
      <c r="P7" s="44">
        <v>33705</v>
      </c>
      <c r="Q7" s="44">
        <v>27459</v>
      </c>
      <c r="R7" s="44">
        <v>30318</v>
      </c>
      <c r="S7" s="44">
        <v>25233</v>
      </c>
      <c r="T7" s="44">
        <v>31830</v>
      </c>
      <c r="U7" s="44">
        <v>27138</v>
      </c>
      <c r="V7" s="44">
        <v>18625</v>
      </c>
      <c r="W7" s="44">
        <v>16228</v>
      </c>
      <c r="X7" s="44">
        <v>24757</v>
      </c>
      <c r="Y7" s="44">
        <v>11023</v>
      </c>
      <c r="Z7" s="44">
        <v>8225.3796899999998</v>
      </c>
      <c r="AA7" s="44">
        <v>15648.663</v>
      </c>
      <c r="AB7" s="44">
        <v>11621.988000000001</v>
      </c>
      <c r="AC7" s="44">
        <v>10777.42</v>
      </c>
      <c r="AD7" s="44">
        <v>9510.3109999999997</v>
      </c>
      <c r="AE7" s="44">
        <v>7535</v>
      </c>
      <c r="AF7" s="44">
        <v>6865.7420000000002</v>
      </c>
      <c r="AG7" s="44">
        <v>12219.404</v>
      </c>
      <c r="AH7" s="44">
        <v>8939.09</v>
      </c>
      <c r="AI7" s="84">
        <v>12466.959000000001</v>
      </c>
      <c r="AJ7" s="44">
        <v>8497.9629999999997</v>
      </c>
      <c r="AK7" s="44">
        <v>9062.3279999999995</v>
      </c>
      <c r="AL7" s="44">
        <v>9470.2340000000004</v>
      </c>
      <c r="AM7" s="44">
        <v>5293.0060000000003</v>
      </c>
      <c r="AO7" s="44">
        <v>32323.530999999999</v>
      </c>
      <c r="AP7" s="44">
        <v>40491.195</v>
      </c>
      <c r="AQ7" s="44">
        <v>39444.719000000005</v>
      </c>
      <c r="AR7" s="44">
        <v>59654.042690000002</v>
      </c>
      <c r="AS7" s="44">
        <v>93821</v>
      </c>
      <c r="AT7" s="44">
        <v>116715</v>
      </c>
      <c r="AU7" s="44">
        <v>119244</v>
      </c>
      <c r="AV7" s="44">
        <v>126716.08016</v>
      </c>
      <c r="AW7" s="44">
        <v>132497.20851999999</v>
      </c>
    </row>
    <row r="8" spans="2:49" ht="15" customHeight="1" x14ac:dyDescent="0.2">
      <c r="B8" s="187" t="s">
        <v>687</v>
      </c>
      <c r="C8" s="187" t="s">
        <v>686</v>
      </c>
      <c r="D8" s="218">
        <v>21355.404770000001</v>
      </c>
      <c r="E8" s="218">
        <v>12684</v>
      </c>
      <c r="F8" s="218">
        <v>2843</v>
      </c>
      <c r="G8" s="218">
        <v>875</v>
      </c>
      <c r="H8" s="218">
        <v>12370.73486</v>
      </c>
      <c r="I8" s="218">
        <v>6084.7160199999998</v>
      </c>
      <c r="J8" s="218">
        <v>7107</v>
      </c>
      <c r="K8" s="218">
        <v>1847</v>
      </c>
      <c r="L8" s="44">
        <v>5439</v>
      </c>
      <c r="M8" s="44">
        <v>13858</v>
      </c>
      <c r="N8" s="44">
        <v>25484</v>
      </c>
      <c r="O8" s="44">
        <v>7826</v>
      </c>
      <c r="P8" s="44">
        <v>20078</v>
      </c>
      <c r="Q8" s="44">
        <v>5090</v>
      </c>
      <c r="R8" s="44">
        <v>5153</v>
      </c>
      <c r="S8" s="44">
        <v>884</v>
      </c>
      <c r="T8" s="44">
        <v>1083.8686800000003</v>
      </c>
      <c r="U8" s="44">
        <v>3137.5128999999997</v>
      </c>
      <c r="V8" s="44">
        <v>1665.6400900000001</v>
      </c>
      <c r="W8" s="44">
        <v>66.605800000000002</v>
      </c>
      <c r="X8" s="84" t="s">
        <v>166</v>
      </c>
      <c r="Y8" s="84" t="s">
        <v>166</v>
      </c>
      <c r="Z8" s="84" t="s">
        <v>166</v>
      </c>
      <c r="AA8" s="84" t="s">
        <v>166</v>
      </c>
      <c r="AB8" s="84" t="s">
        <v>166</v>
      </c>
      <c r="AC8" s="84" t="s">
        <v>166</v>
      </c>
      <c r="AD8" s="84" t="s">
        <v>166</v>
      </c>
      <c r="AE8" s="84" t="s">
        <v>166</v>
      </c>
      <c r="AF8" s="84" t="s">
        <v>166</v>
      </c>
      <c r="AG8" s="84" t="s">
        <v>166</v>
      </c>
      <c r="AH8" s="84" t="s">
        <v>166</v>
      </c>
      <c r="AI8" s="84" t="s">
        <v>166</v>
      </c>
      <c r="AJ8" s="84" t="s">
        <v>166</v>
      </c>
      <c r="AK8" s="84" t="s">
        <v>166</v>
      </c>
      <c r="AL8" s="84" t="s">
        <v>166</v>
      </c>
      <c r="AM8" s="84" t="s">
        <v>166</v>
      </c>
      <c r="AO8" s="84">
        <v>0</v>
      </c>
      <c r="AP8" s="84">
        <v>0</v>
      </c>
      <c r="AQ8" s="84">
        <v>0</v>
      </c>
      <c r="AR8" s="84">
        <v>0</v>
      </c>
      <c r="AS8" s="84">
        <v>5953.6274700000004</v>
      </c>
      <c r="AT8" s="84">
        <v>31205</v>
      </c>
      <c r="AU8" s="44">
        <v>52607</v>
      </c>
      <c r="AV8" s="44">
        <v>27409.45088</v>
      </c>
      <c r="AW8" s="44">
        <v>37757.404770000001</v>
      </c>
    </row>
    <row r="9" spans="2:49" ht="15" customHeight="1" x14ac:dyDescent="0.2">
      <c r="B9" s="187" t="s">
        <v>158</v>
      </c>
      <c r="C9" s="187" t="s">
        <v>159</v>
      </c>
      <c r="D9" s="218">
        <v>17455.570679999997</v>
      </c>
      <c r="E9" s="218">
        <v>69097</v>
      </c>
      <c r="F9" s="218">
        <v>6314</v>
      </c>
      <c r="G9" s="218">
        <v>468</v>
      </c>
      <c r="H9" s="218">
        <v>15012.186210000049</v>
      </c>
      <c r="I9" s="218">
        <v>10975.389220000001</v>
      </c>
      <c r="J9" s="218">
        <v>9345</v>
      </c>
      <c r="K9" s="218">
        <v>924</v>
      </c>
      <c r="L9" s="44">
        <v>11648</v>
      </c>
      <c r="M9" s="44">
        <v>8339</v>
      </c>
      <c r="N9" s="44">
        <v>6956</v>
      </c>
      <c r="O9" s="44">
        <v>4174</v>
      </c>
      <c r="P9" s="44">
        <v>12522</v>
      </c>
      <c r="Q9" s="44">
        <v>14052</v>
      </c>
      <c r="R9" s="44">
        <v>6885</v>
      </c>
      <c r="S9" s="44">
        <v>5877</v>
      </c>
      <c r="T9" s="44">
        <v>20276.13132</v>
      </c>
      <c r="U9" s="44">
        <v>7859.4871000000003</v>
      </c>
      <c r="V9" s="44">
        <v>4661.3599100000001</v>
      </c>
      <c r="W9" s="44">
        <v>3354.3942000000002</v>
      </c>
      <c r="X9" s="44">
        <v>12637</v>
      </c>
      <c r="Y9" s="44">
        <v>8198</v>
      </c>
      <c r="Z9" s="44">
        <v>1428.58896</v>
      </c>
      <c r="AA9" s="44">
        <v>2794.8747999999996</v>
      </c>
      <c r="AB9" s="44">
        <v>4796.5129999999999</v>
      </c>
      <c r="AC9" s="44">
        <v>4883.0240000000003</v>
      </c>
      <c r="AD9" s="44">
        <v>4059.9839999999999</v>
      </c>
      <c r="AE9" s="44">
        <v>1532</v>
      </c>
      <c r="AF9" s="44">
        <v>5462.7340000000004</v>
      </c>
      <c r="AG9" s="44">
        <v>2252.1579999999999</v>
      </c>
      <c r="AH9" s="44">
        <v>1986.1279999999999</v>
      </c>
      <c r="AI9" s="84">
        <v>1276</v>
      </c>
      <c r="AJ9" s="44">
        <v>5984.6210000000001</v>
      </c>
      <c r="AK9" s="44">
        <v>5087.3149999999996</v>
      </c>
      <c r="AL9" s="44">
        <v>3425.0590000000002</v>
      </c>
      <c r="AM9" s="44">
        <v>3013.7759999999998</v>
      </c>
      <c r="AO9" s="44">
        <v>17510.771000000001</v>
      </c>
      <c r="AP9" s="44">
        <v>10977.02</v>
      </c>
      <c r="AQ9" s="44">
        <v>15271.521000000001</v>
      </c>
      <c r="AR9" s="44">
        <v>25058.463759999999</v>
      </c>
      <c r="AS9" s="44">
        <v>36151.372530000001</v>
      </c>
      <c r="AT9" s="44">
        <v>39336</v>
      </c>
      <c r="AU9" s="44">
        <v>31117</v>
      </c>
      <c r="AV9" s="44">
        <v>36256.575430000048</v>
      </c>
      <c r="AW9" s="44">
        <v>93334.570680000004</v>
      </c>
    </row>
    <row r="10" spans="2:49" ht="15" customHeight="1" x14ac:dyDescent="0.2">
      <c r="B10" s="104" t="s">
        <v>160</v>
      </c>
      <c r="C10" s="104" t="s">
        <v>160</v>
      </c>
      <c r="D10" s="123">
        <v>189699.54157999999</v>
      </c>
      <c r="E10" s="123">
        <v>144575</v>
      </c>
      <c r="F10" s="123">
        <v>50598.285429999989</v>
      </c>
      <c r="G10" s="123">
        <v>38661</v>
      </c>
      <c r="H10" s="123">
        <v>114339.35908999995</v>
      </c>
      <c r="I10" s="123">
        <v>56455.313089999996</v>
      </c>
      <c r="J10" s="123">
        <v>56594</v>
      </c>
      <c r="K10" s="123">
        <v>33721</v>
      </c>
      <c r="L10" s="188">
        <v>48798</v>
      </c>
      <c r="M10" s="122">
        <v>59250</v>
      </c>
      <c r="N10" s="122">
        <v>93884</v>
      </c>
      <c r="O10" s="122">
        <v>55732</v>
      </c>
      <c r="P10" s="122">
        <v>152734</v>
      </c>
      <c r="Q10" s="122">
        <v>63392</v>
      </c>
      <c r="R10" s="122">
        <v>74275</v>
      </c>
      <c r="S10" s="122">
        <v>50831</v>
      </c>
      <c r="T10" s="122">
        <v>100131</v>
      </c>
      <c r="U10" s="122">
        <v>75676</v>
      </c>
      <c r="V10" s="122">
        <v>67949</v>
      </c>
      <c r="W10" s="122">
        <v>40500</v>
      </c>
      <c r="X10" s="122">
        <v>57374</v>
      </c>
      <c r="Y10" s="122">
        <v>44522</v>
      </c>
      <c r="Z10" s="122">
        <v>21049.218260000001</v>
      </c>
      <c r="AA10" s="122">
        <v>35954.059349999996</v>
      </c>
      <c r="AB10" s="122">
        <v>79654.818000000014</v>
      </c>
      <c r="AC10" s="122">
        <v>42305.958999999995</v>
      </c>
      <c r="AD10" s="122">
        <v>25806.388000000003</v>
      </c>
      <c r="AE10" s="122">
        <v>11659</v>
      </c>
      <c r="AF10" s="122">
        <v>27951.13</v>
      </c>
      <c r="AG10" s="122">
        <v>23751.028999999999</v>
      </c>
      <c r="AH10" s="122">
        <v>31990.336000000003</v>
      </c>
      <c r="AI10" s="122">
        <v>14312.258000000002</v>
      </c>
      <c r="AJ10" s="122">
        <v>22938.084999999999</v>
      </c>
      <c r="AK10" s="122">
        <v>18250.807999999997</v>
      </c>
      <c r="AL10" s="122">
        <v>13712.222000000002</v>
      </c>
      <c r="AM10" s="122">
        <v>8412.2240000000002</v>
      </c>
      <c r="AO10" s="122">
        <v>63313.339</v>
      </c>
      <c r="AP10" s="122">
        <v>98004.752999999997</v>
      </c>
      <c r="AQ10" s="122">
        <v>159426.16500000001</v>
      </c>
      <c r="AR10" s="122">
        <v>158899.27760999999</v>
      </c>
      <c r="AS10" s="122">
        <v>284256</v>
      </c>
      <c r="AT10" s="122">
        <v>341232</v>
      </c>
      <c r="AU10" s="122">
        <v>257664</v>
      </c>
      <c r="AV10" s="122">
        <v>261109.67217999994</v>
      </c>
      <c r="AW10" s="122">
        <v>423533.82700999995</v>
      </c>
    </row>
  </sheetData>
  <pageMargins left="0.511811024" right="0.511811024" top="0.78740157499999996" bottom="0.78740157499999996"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Q1004"/>
  <sheetViews>
    <sheetView showGridLines="0" zoomScale="80" zoomScaleNormal="80" workbookViewId="0">
      <pane xSplit="3" ySplit="2" topLeftCell="D3" activePane="bottomRight" state="frozen"/>
      <selection activeCell="I344" sqref="I344"/>
      <selection pane="topRight" activeCell="I344" sqref="I344"/>
      <selection pane="bottomLeft" activeCell="I344" sqref="I344"/>
      <selection pane="bottomRight"/>
    </sheetView>
  </sheetViews>
  <sheetFormatPr defaultColWidth="12.625" defaultRowHeight="15" customHeight="1" x14ac:dyDescent="0.2"/>
  <cols>
    <col min="1" max="1" width="3.375" style="75" customWidth="1"/>
    <col min="2" max="3" width="23.5" style="75" customWidth="1"/>
    <col min="4" max="4" width="14.75" style="289" customWidth="1"/>
    <col min="5" max="5" width="14.75" style="258" customWidth="1"/>
    <col min="6" max="6" width="14.75" style="255" customWidth="1"/>
    <col min="7" max="11" width="12.5" style="64" customWidth="1"/>
    <col min="12" max="12" width="13.125" style="64" customWidth="1"/>
    <col min="13" max="25" width="12.625" style="75" customWidth="1"/>
    <col min="26" max="47" width="11.375" style="75" customWidth="1"/>
    <col min="48" max="16384" width="12.625" style="75"/>
  </cols>
  <sheetData>
    <row r="1" spans="2:43" ht="37.5" customHeight="1" x14ac:dyDescent="0.2">
      <c r="C1" s="189"/>
      <c r="D1" s="190"/>
      <c r="E1" s="190"/>
      <c r="F1" s="190"/>
      <c r="G1" s="211"/>
      <c r="H1" s="211"/>
      <c r="I1" s="211"/>
      <c r="J1" s="211"/>
      <c r="K1" s="211"/>
      <c r="L1" s="211"/>
      <c r="M1" s="190"/>
      <c r="N1" s="190"/>
      <c r="O1" s="190"/>
      <c r="P1" s="190"/>
      <c r="Q1" s="190"/>
      <c r="R1" s="190"/>
      <c r="S1" s="190"/>
      <c r="T1" s="190"/>
      <c r="U1" s="190"/>
      <c r="V1" s="190"/>
      <c r="W1" s="190"/>
      <c r="X1" s="190"/>
      <c r="Y1" s="194"/>
      <c r="Z1" s="195"/>
    </row>
    <row r="2" spans="2:43" ht="33.75" customHeight="1" x14ac:dyDescent="0.2">
      <c r="B2" s="100" t="s">
        <v>167</v>
      </c>
      <c r="C2" s="100" t="s">
        <v>168</v>
      </c>
      <c r="D2" s="100" t="s">
        <v>1092</v>
      </c>
      <c r="E2" s="100" t="s">
        <v>1010</v>
      </c>
      <c r="F2" s="100" t="s">
        <v>1007</v>
      </c>
      <c r="G2" s="100" t="s">
        <v>1004</v>
      </c>
      <c r="H2" s="100" t="s">
        <v>986</v>
      </c>
      <c r="I2" s="100" t="s">
        <v>894</v>
      </c>
      <c r="J2" s="100" t="s">
        <v>893</v>
      </c>
      <c r="K2" s="100" t="s">
        <v>876</v>
      </c>
      <c r="L2" s="100" t="s">
        <v>846</v>
      </c>
      <c r="M2" s="97" t="s">
        <v>838</v>
      </c>
      <c r="N2" s="97" t="s">
        <v>823</v>
      </c>
      <c r="O2" s="97" t="s">
        <v>762</v>
      </c>
      <c r="P2" s="97" t="s">
        <v>742</v>
      </c>
      <c r="Q2" s="97" t="s">
        <v>718</v>
      </c>
      <c r="R2" s="97" t="s">
        <v>703</v>
      </c>
      <c r="S2" s="97" t="s">
        <v>685</v>
      </c>
      <c r="T2" s="97" t="s">
        <v>670</v>
      </c>
      <c r="U2" s="97" t="s">
        <v>630</v>
      </c>
      <c r="V2" s="97" t="s">
        <v>618</v>
      </c>
      <c r="W2" s="97" t="s">
        <v>591</v>
      </c>
      <c r="X2" s="97" t="s">
        <v>551</v>
      </c>
      <c r="Y2" s="99" t="s">
        <v>153</v>
      </c>
      <c r="Z2" s="100" t="s">
        <v>0</v>
      </c>
      <c r="AA2" s="100" t="s">
        <v>1</v>
      </c>
      <c r="AB2" s="97" t="s">
        <v>2</v>
      </c>
      <c r="AC2" s="100" t="s">
        <v>3</v>
      </c>
      <c r="AD2" s="101" t="s">
        <v>4</v>
      </c>
      <c r="AE2" s="101" t="s">
        <v>5</v>
      </c>
      <c r="AF2" s="102" t="s">
        <v>6</v>
      </c>
      <c r="AG2" s="103" t="s">
        <v>7</v>
      </c>
      <c r="AH2" s="103" t="s">
        <v>8</v>
      </c>
      <c r="AI2" s="103" t="s">
        <v>9</v>
      </c>
      <c r="AJ2" s="102" t="s">
        <v>10</v>
      </c>
      <c r="AK2" s="103" t="s">
        <v>11</v>
      </c>
      <c r="AL2" s="103" t="s">
        <v>12</v>
      </c>
      <c r="AM2" s="103" t="s">
        <v>13</v>
      </c>
      <c r="AN2" s="102" t="s">
        <v>85</v>
      </c>
      <c r="AO2" s="103" t="s">
        <v>86</v>
      </c>
      <c r="AP2" s="103" t="s">
        <v>714</v>
      </c>
      <c r="AQ2" s="102" t="s">
        <v>87</v>
      </c>
    </row>
    <row r="3" spans="2:43" ht="15" customHeight="1" x14ac:dyDescent="0.2">
      <c r="B3" s="173" t="s">
        <v>169</v>
      </c>
      <c r="C3" s="173" t="s">
        <v>170</v>
      </c>
      <c r="D3" s="209">
        <v>288735.14</v>
      </c>
      <c r="E3" s="209">
        <v>284450.21999999991</v>
      </c>
      <c r="F3" s="209">
        <v>282239.74999999988</v>
      </c>
      <c r="G3" s="209">
        <v>281005.31999999989</v>
      </c>
      <c r="H3" s="209">
        <v>281005.31999999989</v>
      </c>
      <c r="I3" s="209">
        <v>280069.31999999989</v>
      </c>
      <c r="J3" s="209">
        <v>281050.58999999997</v>
      </c>
      <c r="K3" s="209">
        <v>277277.90999999992</v>
      </c>
      <c r="L3" s="209">
        <v>278599.29999999993</v>
      </c>
      <c r="M3" s="209">
        <v>277980.14999999991</v>
      </c>
      <c r="N3" s="209">
        <v>276976.14999999991</v>
      </c>
      <c r="O3" s="209">
        <v>270836.98999999993</v>
      </c>
      <c r="P3" s="210">
        <v>273000.68999999994</v>
      </c>
      <c r="Q3" s="210">
        <v>262897.99999999994</v>
      </c>
      <c r="R3" s="210">
        <v>259624.53999999995</v>
      </c>
      <c r="S3" s="210">
        <v>258472.02999999994</v>
      </c>
      <c r="T3" s="210">
        <v>252868.10999999993</v>
      </c>
      <c r="U3" s="210">
        <v>249092.17999999993</v>
      </c>
      <c r="V3" s="210">
        <v>240167.29999999993</v>
      </c>
      <c r="W3" s="210">
        <v>237153.16999999993</v>
      </c>
      <c r="X3" s="210">
        <v>237256.84</v>
      </c>
      <c r="Y3" s="210">
        <v>211828.49999999994</v>
      </c>
      <c r="Z3" s="210">
        <v>211547.24999999994</v>
      </c>
      <c r="AA3" s="210">
        <v>211894.25</v>
      </c>
      <c r="AB3" s="210">
        <v>210892.25</v>
      </c>
      <c r="AC3" s="210">
        <v>194271.29</v>
      </c>
      <c r="AD3" s="210">
        <v>191565.06</v>
      </c>
      <c r="AE3" s="210">
        <v>189107.95</v>
      </c>
      <c r="AF3" s="210">
        <v>189107.95</v>
      </c>
      <c r="AG3" s="210">
        <v>184983.03</v>
      </c>
      <c r="AH3" s="210">
        <v>184983.66</v>
      </c>
      <c r="AI3" s="210">
        <v>184790.38999999996</v>
      </c>
      <c r="AJ3" s="210">
        <v>184790.38999999996</v>
      </c>
      <c r="AK3" s="210">
        <v>183761.31999999995</v>
      </c>
      <c r="AL3" s="210">
        <v>183809</v>
      </c>
      <c r="AM3" s="210">
        <v>184429</v>
      </c>
      <c r="AN3" s="210">
        <v>184517</v>
      </c>
      <c r="AO3" s="210">
        <v>182995.16</v>
      </c>
      <c r="AP3" s="210">
        <v>183979.6</v>
      </c>
      <c r="AQ3" s="210">
        <v>183979.6</v>
      </c>
    </row>
    <row r="4" spans="2:43" s="258" customFormat="1" ht="15" customHeight="1" x14ac:dyDescent="0.2">
      <c r="B4" s="53" t="s">
        <v>1012</v>
      </c>
      <c r="C4" s="53" t="s">
        <v>1011</v>
      </c>
      <c r="D4" s="179">
        <v>237414.80000000002</v>
      </c>
      <c r="E4" s="179">
        <v>235214.2999999999</v>
      </c>
      <c r="F4" s="179">
        <v>234281.6999999999</v>
      </c>
      <c r="G4" s="179">
        <v>234551.18999999994</v>
      </c>
      <c r="H4" s="179">
        <v>234551.18999999994</v>
      </c>
      <c r="I4" s="179">
        <v>233615.18999999994</v>
      </c>
      <c r="J4" s="179">
        <v>233615.18999999994</v>
      </c>
      <c r="K4" s="179">
        <v>232656.18999999994</v>
      </c>
      <c r="L4" s="179">
        <v>232656.18999999994</v>
      </c>
      <c r="M4" s="179">
        <v>232335.03999999995</v>
      </c>
      <c r="N4" s="179">
        <v>232335.03999999995</v>
      </c>
      <c r="O4" s="179">
        <v>230224.39999999994</v>
      </c>
      <c r="P4" s="179">
        <v>238945.09999999995</v>
      </c>
      <c r="Q4" s="179">
        <v>238255.19999999995</v>
      </c>
      <c r="R4" s="179">
        <v>236250.77999999997</v>
      </c>
      <c r="S4" s="179">
        <v>235098.52999999994</v>
      </c>
      <c r="T4" s="179">
        <v>230707.60999999993</v>
      </c>
      <c r="U4" s="179">
        <v>226947.73999999993</v>
      </c>
      <c r="V4" s="179">
        <v>216810.37999999992</v>
      </c>
      <c r="W4" s="179">
        <v>214956.61999999994</v>
      </c>
      <c r="X4" s="179">
        <v>214533.03999999998</v>
      </c>
      <c r="Y4" s="179">
        <v>211439.03999999995</v>
      </c>
      <c r="Z4" s="179">
        <v>211400.28999999995</v>
      </c>
      <c r="AA4" s="179">
        <v>211747.59999999995</v>
      </c>
      <c r="AB4" s="179">
        <v>210744.25999999995</v>
      </c>
      <c r="AC4" s="179">
        <v>194128.17999999996</v>
      </c>
      <c r="AD4" s="179">
        <v>191421.07999999996</v>
      </c>
      <c r="AE4" s="179">
        <v>188964.02999999994</v>
      </c>
      <c r="AF4" s="179">
        <v>188964.02999999994</v>
      </c>
      <c r="AG4" s="179">
        <v>184838.46999999991</v>
      </c>
      <c r="AH4" s="179">
        <v>184838.46999999994</v>
      </c>
      <c r="AI4" s="179">
        <v>184838.46999999994</v>
      </c>
      <c r="AJ4" s="179">
        <v>184838.46999999994</v>
      </c>
      <c r="AK4" s="179">
        <v>183809.39999999994</v>
      </c>
      <c r="AL4" s="179">
        <v>183809.39999999994</v>
      </c>
      <c r="AM4" s="179">
        <v>184429.13999999993</v>
      </c>
      <c r="AN4" s="179">
        <v>184517</v>
      </c>
      <c r="AO4" s="179">
        <v>182995.16</v>
      </c>
      <c r="AP4" s="179">
        <v>183979.6</v>
      </c>
      <c r="AQ4" s="179">
        <v>183979.6</v>
      </c>
    </row>
    <row r="5" spans="2:43" ht="15" customHeight="1" x14ac:dyDescent="0.2">
      <c r="B5" s="53" t="s">
        <v>708</v>
      </c>
      <c r="C5" s="53" t="s">
        <v>707</v>
      </c>
      <c r="D5" s="179">
        <v>42722.580000000009</v>
      </c>
      <c r="E5" s="179">
        <v>42722.580000000009</v>
      </c>
      <c r="F5" s="179">
        <v>42394.830000000009</v>
      </c>
      <c r="G5" s="179">
        <v>41160.400000000009</v>
      </c>
      <c r="H5" s="179">
        <v>41160.400000000009</v>
      </c>
      <c r="I5" s="179">
        <v>41160.400000000009</v>
      </c>
      <c r="J5" s="179">
        <v>41832.400000000009</v>
      </c>
      <c r="K5" s="179">
        <v>39946.400000000009</v>
      </c>
      <c r="L5" s="179">
        <v>40618.400000000009</v>
      </c>
      <c r="M5" s="179">
        <v>40618.400000000001</v>
      </c>
      <c r="N5" s="179">
        <v>39614.400000000009</v>
      </c>
      <c r="O5" s="179">
        <v>37113.400000000009</v>
      </c>
      <c r="P5" s="179">
        <v>30556.400000000005</v>
      </c>
      <c r="Q5" s="179">
        <v>23020</v>
      </c>
      <c r="R5" s="179">
        <v>23019.610000000004</v>
      </c>
      <c r="S5" s="179">
        <v>23019.610000000004</v>
      </c>
      <c r="T5" s="179">
        <v>21806.610000000004</v>
      </c>
      <c r="U5" s="179">
        <v>21806.610000000004</v>
      </c>
      <c r="V5" s="179">
        <v>21806.61</v>
      </c>
      <c r="W5" s="179">
        <v>21806.61</v>
      </c>
      <c r="X5" s="179">
        <v>22334.84</v>
      </c>
      <c r="Y5" s="179">
        <v>0</v>
      </c>
      <c r="Z5" s="179">
        <v>0</v>
      </c>
      <c r="AA5" s="179">
        <v>0</v>
      </c>
      <c r="AB5" s="179">
        <v>0</v>
      </c>
      <c r="AC5" s="179">
        <v>0</v>
      </c>
      <c r="AD5" s="179">
        <v>0</v>
      </c>
      <c r="AE5" s="179">
        <v>0</v>
      </c>
      <c r="AF5" s="179">
        <v>0</v>
      </c>
      <c r="AG5" s="179">
        <v>0</v>
      </c>
      <c r="AH5" s="179">
        <v>0</v>
      </c>
      <c r="AI5" s="179">
        <v>0</v>
      </c>
      <c r="AJ5" s="179">
        <v>0</v>
      </c>
      <c r="AK5" s="179">
        <v>0</v>
      </c>
      <c r="AL5" s="179">
        <v>0</v>
      </c>
      <c r="AM5" s="179">
        <v>0</v>
      </c>
      <c r="AN5" s="179">
        <v>0</v>
      </c>
      <c r="AO5" s="179">
        <v>0</v>
      </c>
      <c r="AP5" s="179">
        <v>0</v>
      </c>
      <c r="AQ5" s="179">
        <v>0</v>
      </c>
    </row>
    <row r="6" spans="2:43" ht="15" customHeight="1" x14ac:dyDescent="0.2">
      <c r="B6" s="53" t="s">
        <v>739</v>
      </c>
      <c r="C6" s="53" t="s">
        <v>740</v>
      </c>
      <c r="D6" s="179">
        <v>8597.7599999999984</v>
      </c>
      <c r="E6" s="179">
        <v>6513.3399999999992</v>
      </c>
      <c r="F6" s="179">
        <v>5563.2199999999993</v>
      </c>
      <c r="G6" s="179">
        <v>5563.2199999999993</v>
      </c>
      <c r="H6" s="179">
        <v>5563.2199999999993</v>
      </c>
      <c r="I6" s="179">
        <v>5563.2199999999993</v>
      </c>
      <c r="J6" s="179">
        <v>5603</v>
      </c>
      <c r="K6" s="179">
        <v>4944.8099999999995</v>
      </c>
      <c r="L6" s="179">
        <v>4969</v>
      </c>
      <c r="M6" s="179">
        <v>4671</v>
      </c>
      <c r="N6" s="179">
        <v>4671</v>
      </c>
      <c r="O6" s="179">
        <v>3144</v>
      </c>
      <c r="P6" s="179">
        <v>3144</v>
      </c>
      <c r="Q6" s="179">
        <v>1270</v>
      </c>
      <c r="R6" s="179">
        <v>0</v>
      </c>
      <c r="S6" s="179">
        <v>0</v>
      </c>
      <c r="T6" s="179">
        <v>0</v>
      </c>
      <c r="U6" s="179">
        <v>0</v>
      </c>
      <c r="V6" s="179">
        <v>0</v>
      </c>
      <c r="W6" s="179">
        <v>0</v>
      </c>
      <c r="X6" s="179">
        <v>0</v>
      </c>
      <c r="Y6" s="179">
        <v>0</v>
      </c>
      <c r="Z6" s="179">
        <v>0</v>
      </c>
      <c r="AA6" s="179">
        <v>0</v>
      </c>
      <c r="AB6" s="179">
        <v>0</v>
      </c>
      <c r="AC6" s="179">
        <v>0</v>
      </c>
      <c r="AD6" s="179">
        <v>0</v>
      </c>
      <c r="AE6" s="179">
        <v>0</v>
      </c>
      <c r="AF6" s="179">
        <v>0</v>
      </c>
      <c r="AG6" s="179">
        <v>0</v>
      </c>
      <c r="AH6" s="179">
        <v>0</v>
      </c>
      <c r="AI6" s="179">
        <v>0</v>
      </c>
      <c r="AJ6" s="179">
        <v>0</v>
      </c>
      <c r="AK6" s="179">
        <v>0</v>
      </c>
      <c r="AL6" s="179">
        <v>0</v>
      </c>
      <c r="AM6" s="179">
        <v>0</v>
      </c>
      <c r="AN6" s="179">
        <v>0</v>
      </c>
      <c r="AO6" s="179">
        <v>0</v>
      </c>
      <c r="AP6" s="179">
        <v>0</v>
      </c>
      <c r="AQ6" s="179">
        <v>0</v>
      </c>
    </row>
    <row r="7" spans="2:43" ht="15" customHeight="1" x14ac:dyDescent="0.2">
      <c r="B7" s="191" t="s">
        <v>171</v>
      </c>
      <c r="C7" s="191" t="s">
        <v>172</v>
      </c>
      <c r="D7" s="212">
        <v>280</v>
      </c>
      <c r="E7" s="212">
        <v>276</v>
      </c>
      <c r="F7" s="212">
        <v>274</v>
      </c>
      <c r="G7" s="212">
        <v>273</v>
      </c>
      <c r="H7" s="212">
        <v>273</v>
      </c>
      <c r="I7" s="212">
        <v>272</v>
      </c>
      <c r="J7" s="212">
        <v>272</v>
      </c>
      <c r="K7" s="212">
        <v>269</v>
      </c>
      <c r="L7" s="212">
        <v>269</v>
      </c>
      <c r="M7" s="212">
        <v>268</v>
      </c>
      <c r="N7" s="212">
        <v>267</v>
      </c>
      <c r="O7" s="212">
        <v>261</v>
      </c>
      <c r="P7" s="212">
        <v>265</v>
      </c>
      <c r="Q7" s="212">
        <v>257</v>
      </c>
      <c r="R7" s="212">
        <v>253</v>
      </c>
      <c r="S7" s="212">
        <v>252</v>
      </c>
      <c r="T7" s="212">
        <v>248</v>
      </c>
      <c r="U7" s="212">
        <v>245</v>
      </c>
      <c r="V7" s="212">
        <v>235</v>
      </c>
      <c r="W7" s="212">
        <v>232</v>
      </c>
      <c r="X7" s="212">
        <v>233</v>
      </c>
      <c r="Y7" s="212">
        <v>209</v>
      </c>
      <c r="Z7" s="212">
        <v>211</v>
      </c>
      <c r="AA7" s="212">
        <v>211</v>
      </c>
      <c r="AB7" s="212">
        <v>210</v>
      </c>
      <c r="AC7" s="212">
        <v>196</v>
      </c>
      <c r="AD7" s="212">
        <v>194</v>
      </c>
      <c r="AE7" s="212">
        <v>192</v>
      </c>
      <c r="AF7" s="212">
        <v>192</v>
      </c>
      <c r="AG7" s="212">
        <v>188</v>
      </c>
      <c r="AH7" s="212">
        <v>188</v>
      </c>
      <c r="AI7" s="212">
        <v>188</v>
      </c>
      <c r="AJ7" s="212">
        <v>188</v>
      </c>
      <c r="AK7" s="212">
        <v>187</v>
      </c>
      <c r="AL7" s="212">
        <v>187</v>
      </c>
      <c r="AM7" s="212">
        <v>193</v>
      </c>
      <c r="AN7" s="212">
        <v>194</v>
      </c>
      <c r="AO7" s="212">
        <v>193</v>
      </c>
      <c r="AP7" s="212">
        <v>196</v>
      </c>
      <c r="AQ7" s="212">
        <v>197</v>
      </c>
    </row>
    <row r="8" spans="2:43" ht="15" customHeight="1" x14ac:dyDescent="0.2">
      <c r="B8" s="192" t="s">
        <v>671</v>
      </c>
      <c r="C8" s="192" t="s">
        <v>672</v>
      </c>
      <c r="D8" s="213">
        <v>230</v>
      </c>
      <c r="E8" s="213">
        <v>228</v>
      </c>
      <c r="F8" s="213">
        <v>227</v>
      </c>
      <c r="G8" s="213">
        <v>227</v>
      </c>
      <c r="H8" s="213">
        <v>227</v>
      </c>
      <c r="I8" s="213">
        <v>226</v>
      </c>
      <c r="J8" s="213">
        <v>226</v>
      </c>
      <c r="K8" s="213">
        <v>225</v>
      </c>
      <c r="L8" s="213">
        <v>225</v>
      </c>
      <c r="M8" s="213">
        <v>225</v>
      </c>
      <c r="N8" s="213">
        <v>225</v>
      </c>
      <c r="O8" s="213">
        <v>223</v>
      </c>
      <c r="P8" s="213">
        <v>232</v>
      </c>
      <c r="Q8" s="213">
        <v>233</v>
      </c>
      <c r="R8" s="213">
        <v>231</v>
      </c>
      <c r="S8" s="213">
        <v>230</v>
      </c>
      <c r="T8" s="213">
        <v>227</v>
      </c>
      <c r="U8" s="213">
        <v>224</v>
      </c>
      <c r="V8" s="213">
        <v>214</v>
      </c>
      <c r="W8" s="213">
        <v>211</v>
      </c>
      <c r="X8" s="213">
        <v>211</v>
      </c>
      <c r="Y8" s="213">
        <v>209</v>
      </c>
      <c r="Z8" s="213">
        <v>211</v>
      </c>
      <c r="AA8" s="213">
        <v>211</v>
      </c>
      <c r="AB8" s="213">
        <v>210</v>
      </c>
      <c r="AC8" s="213">
        <v>196</v>
      </c>
      <c r="AD8" s="213">
        <v>194</v>
      </c>
      <c r="AE8" s="213">
        <v>192</v>
      </c>
      <c r="AF8" s="213">
        <v>192</v>
      </c>
      <c r="AG8" s="213">
        <v>188</v>
      </c>
      <c r="AH8" s="213">
        <v>188</v>
      </c>
      <c r="AI8" s="213">
        <v>188</v>
      </c>
      <c r="AJ8" s="213">
        <v>188</v>
      </c>
      <c r="AK8" s="213">
        <v>187</v>
      </c>
      <c r="AL8" s="213">
        <v>187</v>
      </c>
      <c r="AM8" s="213">
        <v>193</v>
      </c>
      <c r="AN8" s="213">
        <v>194</v>
      </c>
      <c r="AO8" s="213">
        <v>193</v>
      </c>
      <c r="AP8" s="213">
        <v>196</v>
      </c>
      <c r="AQ8" s="213">
        <v>197</v>
      </c>
    </row>
    <row r="9" spans="2:43" ht="15" customHeight="1" x14ac:dyDescent="0.2">
      <c r="B9" s="53" t="s">
        <v>1013</v>
      </c>
      <c r="C9" s="53" t="s">
        <v>1014</v>
      </c>
      <c r="D9" s="180">
        <v>2</v>
      </c>
      <c r="E9" s="180">
        <v>2</v>
      </c>
      <c r="F9" s="180">
        <v>0</v>
      </c>
      <c r="G9" s="180">
        <v>0</v>
      </c>
      <c r="H9" s="180">
        <v>1</v>
      </c>
      <c r="I9" s="180">
        <v>0</v>
      </c>
      <c r="J9" s="180">
        <v>1</v>
      </c>
      <c r="K9" s="180">
        <v>0</v>
      </c>
      <c r="L9" s="180">
        <v>0</v>
      </c>
      <c r="M9" s="180">
        <v>0</v>
      </c>
      <c r="N9" s="180">
        <v>2</v>
      </c>
      <c r="O9" s="180">
        <v>0</v>
      </c>
      <c r="P9" s="180">
        <v>0</v>
      </c>
      <c r="Q9" s="180">
        <v>2</v>
      </c>
      <c r="R9" s="180">
        <v>1</v>
      </c>
      <c r="S9" s="180">
        <v>3</v>
      </c>
      <c r="T9" s="180">
        <v>3</v>
      </c>
      <c r="U9" s="180">
        <v>10</v>
      </c>
      <c r="V9" s="180">
        <v>4</v>
      </c>
      <c r="W9" s="180">
        <v>0</v>
      </c>
      <c r="X9" s="180">
        <v>2</v>
      </c>
      <c r="Y9" s="180">
        <v>1</v>
      </c>
      <c r="Z9" s="180">
        <v>0</v>
      </c>
      <c r="AA9" s="180">
        <v>1</v>
      </c>
      <c r="AB9" s="180">
        <v>14</v>
      </c>
      <c r="AC9" s="180">
        <v>2</v>
      </c>
      <c r="AD9" s="180">
        <v>2</v>
      </c>
      <c r="AE9" s="180">
        <v>0</v>
      </c>
      <c r="AF9" s="180">
        <v>4</v>
      </c>
      <c r="AG9" s="180">
        <v>0</v>
      </c>
      <c r="AH9" s="180">
        <v>0</v>
      </c>
      <c r="AI9" s="180">
        <v>0</v>
      </c>
      <c r="AJ9" s="180">
        <v>1</v>
      </c>
      <c r="AK9" s="180">
        <v>0</v>
      </c>
      <c r="AL9" s="180">
        <v>0</v>
      </c>
      <c r="AM9" s="180">
        <v>0</v>
      </c>
      <c r="AN9" s="180">
        <v>0</v>
      </c>
      <c r="AO9" s="180">
        <v>0</v>
      </c>
      <c r="AP9" s="180">
        <v>0</v>
      </c>
      <c r="AQ9" s="180">
        <v>0</v>
      </c>
    </row>
    <row r="10" spans="2:43" ht="15" customHeight="1" x14ac:dyDescent="0.2">
      <c r="B10" s="192" t="s">
        <v>758</v>
      </c>
      <c r="C10" s="192" t="s">
        <v>757</v>
      </c>
      <c r="D10" s="213">
        <v>50</v>
      </c>
      <c r="E10" s="213">
        <v>48</v>
      </c>
      <c r="F10" s="213">
        <v>47</v>
      </c>
      <c r="G10" s="213">
        <v>46</v>
      </c>
      <c r="H10" s="213">
        <v>46</v>
      </c>
      <c r="I10" s="213">
        <v>46</v>
      </c>
      <c r="J10" s="213">
        <v>46</v>
      </c>
      <c r="K10" s="213">
        <v>44</v>
      </c>
      <c r="L10" s="213">
        <v>44</v>
      </c>
      <c r="M10" s="213">
        <v>43</v>
      </c>
      <c r="N10" s="213">
        <v>42</v>
      </c>
      <c r="O10" s="213">
        <v>38</v>
      </c>
      <c r="P10" s="213">
        <v>32</v>
      </c>
      <c r="Q10" s="213">
        <v>24</v>
      </c>
      <c r="R10" s="213">
        <v>22</v>
      </c>
      <c r="S10" s="213">
        <v>22</v>
      </c>
      <c r="T10" s="213">
        <v>21</v>
      </c>
      <c r="U10" s="213">
        <v>21</v>
      </c>
      <c r="V10" s="213">
        <v>21</v>
      </c>
      <c r="W10" s="213">
        <v>21</v>
      </c>
      <c r="X10" s="213">
        <v>22</v>
      </c>
      <c r="Y10" s="213"/>
      <c r="Z10" s="213"/>
      <c r="AA10" s="213"/>
      <c r="AB10" s="213"/>
      <c r="AC10" s="213"/>
      <c r="AD10" s="213"/>
      <c r="AE10" s="213"/>
      <c r="AF10" s="213"/>
      <c r="AG10" s="213"/>
      <c r="AH10" s="213"/>
      <c r="AI10" s="213"/>
      <c r="AJ10" s="213"/>
      <c r="AK10" s="213"/>
      <c r="AL10" s="213"/>
      <c r="AM10" s="213"/>
      <c r="AN10" s="213"/>
      <c r="AO10" s="213"/>
      <c r="AP10" s="213"/>
      <c r="AQ10" s="213"/>
    </row>
    <row r="11" spans="2:43" ht="15" customHeight="1" x14ac:dyDescent="0.2">
      <c r="B11" s="193" t="s">
        <v>704</v>
      </c>
      <c r="C11" s="193" t="s">
        <v>704</v>
      </c>
      <c r="D11" s="208">
        <v>38</v>
      </c>
      <c r="E11" s="208">
        <v>38</v>
      </c>
      <c r="F11" s="208">
        <v>38</v>
      </c>
      <c r="G11" s="208">
        <v>37</v>
      </c>
      <c r="H11" s="208">
        <v>37</v>
      </c>
      <c r="I11" s="208">
        <v>37</v>
      </c>
      <c r="J11" s="208">
        <v>37</v>
      </c>
      <c r="K11" s="208">
        <v>36</v>
      </c>
      <c r="L11" s="208">
        <v>36</v>
      </c>
      <c r="M11" s="208">
        <v>36</v>
      </c>
      <c r="N11" s="208">
        <v>35</v>
      </c>
      <c r="O11" s="208">
        <v>33</v>
      </c>
      <c r="P11" s="208">
        <v>27</v>
      </c>
      <c r="Q11" s="208">
        <v>22</v>
      </c>
      <c r="R11" s="208">
        <v>22</v>
      </c>
      <c r="S11" s="208">
        <v>22</v>
      </c>
      <c r="T11" s="208">
        <v>21</v>
      </c>
      <c r="U11" s="208">
        <v>21</v>
      </c>
      <c r="V11" s="208">
        <v>21</v>
      </c>
      <c r="W11" s="208">
        <v>21</v>
      </c>
      <c r="X11" s="208">
        <v>22</v>
      </c>
      <c r="Y11" s="208">
        <v>0</v>
      </c>
      <c r="Z11" s="208">
        <v>0</v>
      </c>
      <c r="AA11" s="208">
        <v>0</v>
      </c>
      <c r="AB11" s="208">
        <v>0</v>
      </c>
      <c r="AC11" s="208">
        <v>0</v>
      </c>
      <c r="AD11" s="208">
        <v>0</v>
      </c>
      <c r="AE11" s="208">
        <v>0</v>
      </c>
      <c r="AF11" s="208">
        <v>0</v>
      </c>
      <c r="AG11" s="208">
        <v>0</v>
      </c>
      <c r="AH11" s="208">
        <v>0</v>
      </c>
      <c r="AI11" s="208">
        <v>0</v>
      </c>
      <c r="AJ11" s="208">
        <v>0</v>
      </c>
      <c r="AK11" s="208">
        <v>0</v>
      </c>
      <c r="AL11" s="208">
        <v>0</v>
      </c>
      <c r="AM11" s="208">
        <v>0</v>
      </c>
      <c r="AN11" s="208">
        <v>0</v>
      </c>
      <c r="AO11" s="208">
        <v>0</v>
      </c>
      <c r="AP11" s="208">
        <v>0</v>
      </c>
      <c r="AQ11" s="208">
        <v>0</v>
      </c>
    </row>
    <row r="12" spans="2:43" ht="15" customHeight="1" x14ac:dyDescent="0.2">
      <c r="B12" s="53" t="s">
        <v>705</v>
      </c>
      <c r="C12" s="53" t="s">
        <v>706</v>
      </c>
      <c r="D12" s="180">
        <v>0</v>
      </c>
      <c r="E12" s="180">
        <v>0</v>
      </c>
      <c r="F12" s="180">
        <v>1</v>
      </c>
      <c r="G12" s="180">
        <v>0</v>
      </c>
      <c r="H12" s="180">
        <v>0</v>
      </c>
      <c r="I12" s="180">
        <v>0</v>
      </c>
      <c r="J12" s="180">
        <v>1</v>
      </c>
      <c r="K12" s="180">
        <v>0</v>
      </c>
      <c r="L12" s="180">
        <v>0</v>
      </c>
      <c r="M12" s="180">
        <v>1</v>
      </c>
      <c r="N12" s="180">
        <v>2</v>
      </c>
      <c r="O12" s="180">
        <v>6</v>
      </c>
      <c r="P12" s="180">
        <v>6</v>
      </c>
      <c r="Q12" s="180">
        <v>0</v>
      </c>
      <c r="R12" s="180">
        <v>0</v>
      </c>
      <c r="S12" s="180">
        <v>1</v>
      </c>
      <c r="T12" s="180">
        <v>0</v>
      </c>
      <c r="U12" s="180">
        <v>0</v>
      </c>
      <c r="V12" s="180">
        <v>0</v>
      </c>
      <c r="W12" s="180">
        <v>0</v>
      </c>
      <c r="X12" s="180">
        <v>0</v>
      </c>
      <c r="Y12" s="180">
        <v>0</v>
      </c>
      <c r="Z12" s="180">
        <v>0</v>
      </c>
      <c r="AA12" s="180">
        <v>0</v>
      </c>
      <c r="AB12" s="180">
        <v>0</v>
      </c>
      <c r="AC12" s="180">
        <v>0</v>
      </c>
      <c r="AD12" s="180">
        <v>0</v>
      </c>
      <c r="AE12" s="180">
        <v>0</v>
      </c>
      <c r="AF12" s="180">
        <v>0</v>
      </c>
      <c r="AG12" s="180">
        <v>0</v>
      </c>
      <c r="AH12" s="180">
        <v>0</v>
      </c>
      <c r="AI12" s="180">
        <v>0</v>
      </c>
      <c r="AJ12" s="180">
        <v>0</v>
      </c>
      <c r="AK12" s="180">
        <v>0</v>
      </c>
      <c r="AL12" s="180">
        <v>0</v>
      </c>
      <c r="AM12" s="180">
        <v>0</v>
      </c>
      <c r="AN12" s="180">
        <v>0</v>
      </c>
      <c r="AO12" s="180">
        <v>0</v>
      </c>
      <c r="AP12" s="180">
        <v>0</v>
      </c>
      <c r="AQ12" s="180">
        <v>0</v>
      </c>
    </row>
    <row r="13" spans="2:43" ht="15" customHeight="1" x14ac:dyDescent="0.2">
      <c r="B13" s="193" t="s">
        <v>731</v>
      </c>
      <c r="C13" s="193" t="s">
        <v>731</v>
      </c>
      <c r="D13" s="208">
        <v>12</v>
      </c>
      <c r="E13" s="208">
        <v>10</v>
      </c>
      <c r="F13" s="208">
        <v>9</v>
      </c>
      <c r="G13" s="208">
        <v>9</v>
      </c>
      <c r="H13" s="208">
        <v>9</v>
      </c>
      <c r="I13" s="208">
        <v>9</v>
      </c>
      <c r="J13" s="208">
        <v>9</v>
      </c>
      <c r="K13" s="208">
        <v>8</v>
      </c>
      <c r="L13" s="208">
        <v>8</v>
      </c>
      <c r="M13" s="208">
        <v>7</v>
      </c>
      <c r="N13" s="208">
        <v>7</v>
      </c>
      <c r="O13" s="208">
        <v>5</v>
      </c>
      <c r="P13" s="208">
        <v>5</v>
      </c>
      <c r="Q13" s="208">
        <v>2</v>
      </c>
      <c r="R13" s="208">
        <v>0</v>
      </c>
      <c r="S13" s="208">
        <v>0</v>
      </c>
      <c r="T13" s="208">
        <v>0</v>
      </c>
      <c r="U13" s="208">
        <v>0</v>
      </c>
      <c r="V13" s="208">
        <v>0</v>
      </c>
      <c r="W13" s="208">
        <v>0</v>
      </c>
      <c r="X13" s="208">
        <v>0</v>
      </c>
      <c r="Y13" s="208">
        <v>0</v>
      </c>
      <c r="Z13" s="208">
        <v>0</v>
      </c>
      <c r="AA13" s="208">
        <v>0</v>
      </c>
      <c r="AB13" s="208">
        <v>0</v>
      </c>
      <c r="AC13" s="208">
        <v>0</v>
      </c>
      <c r="AD13" s="208">
        <v>0</v>
      </c>
      <c r="AE13" s="208">
        <v>0</v>
      </c>
      <c r="AF13" s="208">
        <v>0</v>
      </c>
      <c r="AG13" s="208">
        <v>0</v>
      </c>
      <c r="AH13" s="208">
        <v>0</v>
      </c>
      <c r="AI13" s="208">
        <v>0</v>
      </c>
      <c r="AJ13" s="208">
        <v>0</v>
      </c>
      <c r="AK13" s="208">
        <v>0</v>
      </c>
      <c r="AL13" s="208">
        <v>0</v>
      </c>
      <c r="AM13" s="208">
        <v>0</v>
      </c>
      <c r="AN13" s="208">
        <v>0</v>
      </c>
      <c r="AO13" s="208">
        <v>0</v>
      </c>
      <c r="AP13" s="208">
        <v>0</v>
      </c>
      <c r="AQ13" s="208">
        <v>0</v>
      </c>
    </row>
    <row r="14" spans="2:43" ht="15" customHeight="1" x14ac:dyDescent="0.2">
      <c r="B14" s="53" t="s">
        <v>732</v>
      </c>
      <c r="C14" s="53" t="s">
        <v>733</v>
      </c>
      <c r="D14" s="180">
        <v>2</v>
      </c>
      <c r="E14" s="180">
        <v>1</v>
      </c>
      <c r="F14" s="180">
        <v>0</v>
      </c>
      <c r="G14" s="180">
        <v>0</v>
      </c>
      <c r="H14" s="180">
        <v>0</v>
      </c>
      <c r="I14" s="180">
        <v>0</v>
      </c>
      <c r="J14" s="180">
        <v>1</v>
      </c>
      <c r="K14" s="180">
        <v>0</v>
      </c>
      <c r="L14" s="180">
        <v>1</v>
      </c>
      <c r="M14" s="180">
        <v>0</v>
      </c>
      <c r="N14" s="180">
        <v>2</v>
      </c>
      <c r="O14" s="180">
        <v>0</v>
      </c>
      <c r="P14" s="180">
        <v>3</v>
      </c>
      <c r="Q14" s="180">
        <v>2</v>
      </c>
      <c r="R14" s="180">
        <v>0</v>
      </c>
      <c r="S14" s="180">
        <v>0</v>
      </c>
      <c r="T14" s="180">
        <v>0</v>
      </c>
      <c r="U14" s="180">
        <v>0</v>
      </c>
      <c r="V14" s="180">
        <v>0</v>
      </c>
      <c r="W14" s="180">
        <v>0</v>
      </c>
      <c r="X14" s="180">
        <v>0</v>
      </c>
      <c r="Y14" s="180">
        <v>0</v>
      </c>
      <c r="Z14" s="180">
        <v>0</v>
      </c>
      <c r="AA14" s="180">
        <v>0</v>
      </c>
      <c r="AB14" s="180">
        <v>0</v>
      </c>
      <c r="AC14" s="180">
        <v>0</v>
      </c>
      <c r="AD14" s="180">
        <v>0</v>
      </c>
      <c r="AE14" s="180">
        <v>0</v>
      </c>
      <c r="AF14" s="180">
        <v>0</v>
      </c>
      <c r="AG14" s="180">
        <v>0</v>
      </c>
      <c r="AH14" s="180">
        <v>0</v>
      </c>
      <c r="AI14" s="180">
        <v>0</v>
      </c>
      <c r="AJ14" s="180">
        <v>0</v>
      </c>
      <c r="AK14" s="180">
        <v>0</v>
      </c>
      <c r="AL14" s="180">
        <v>0</v>
      </c>
      <c r="AM14" s="180">
        <v>0</v>
      </c>
      <c r="AN14" s="180">
        <v>0</v>
      </c>
      <c r="AO14" s="180">
        <v>0</v>
      </c>
      <c r="AP14" s="180">
        <v>0</v>
      </c>
      <c r="AQ14" s="180">
        <v>0</v>
      </c>
    </row>
    <row r="15" spans="2:43" ht="15" customHeight="1" x14ac:dyDescent="0.2">
      <c r="B15" s="193" t="s">
        <v>173</v>
      </c>
      <c r="C15" s="193" t="s">
        <v>174</v>
      </c>
      <c r="D15" s="208" t="s">
        <v>166</v>
      </c>
      <c r="E15" s="208" t="s">
        <v>166</v>
      </c>
      <c r="F15" s="208" t="s">
        <v>166</v>
      </c>
      <c r="G15" s="208" t="s">
        <v>166</v>
      </c>
      <c r="H15" s="208" t="s">
        <v>166</v>
      </c>
      <c r="I15" s="208" t="s">
        <v>166</v>
      </c>
      <c r="J15" s="208" t="s">
        <v>166</v>
      </c>
      <c r="K15" s="208" t="s">
        <v>166</v>
      </c>
      <c r="L15" s="208" t="s">
        <v>166</v>
      </c>
      <c r="M15" s="208">
        <v>0</v>
      </c>
      <c r="N15" s="208">
        <v>0</v>
      </c>
      <c r="O15" s="208">
        <v>0</v>
      </c>
      <c r="P15" s="208">
        <v>1</v>
      </c>
      <c r="Q15" s="208">
        <v>1</v>
      </c>
      <c r="R15" s="208">
        <v>1</v>
      </c>
      <c r="S15" s="208">
        <v>1</v>
      </c>
      <c r="T15" s="208">
        <v>1</v>
      </c>
      <c r="U15" s="208">
        <v>1</v>
      </c>
      <c r="V15" s="208">
        <v>1</v>
      </c>
      <c r="W15" s="208">
        <v>1</v>
      </c>
      <c r="X15" s="208">
        <v>1</v>
      </c>
      <c r="Y15" s="208">
        <v>1</v>
      </c>
      <c r="Z15" s="208">
        <v>1</v>
      </c>
      <c r="AA15" s="208">
        <v>1</v>
      </c>
      <c r="AB15" s="208">
        <v>1</v>
      </c>
      <c r="AC15" s="208">
        <v>1</v>
      </c>
      <c r="AD15" s="208">
        <v>1</v>
      </c>
      <c r="AE15" s="208">
        <v>1</v>
      </c>
      <c r="AF15" s="208">
        <v>1</v>
      </c>
      <c r="AG15" s="208">
        <v>1</v>
      </c>
      <c r="AH15" s="208">
        <v>1</v>
      </c>
      <c r="AI15" s="208">
        <v>1</v>
      </c>
      <c r="AJ15" s="208">
        <v>1</v>
      </c>
      <c r="AK15" s="208">
        <v>1</v>
      </c>
      <c r="AL15" s="208">
        <v>1</v>
      </c>
      <c r="AM15" s="208">
        <v>7</v>
      </c>
      <c r="AN15" s="208">
        <v>8</v>
      </c>
      <c r="AO15" s="208">
        <v>8</v>
      </c>
      <c r="AP15" s="208">
        <v>10</v>
      </c>
      <c r="AQ15" s="208">
        <v>10</v>
      </c>
    </row>
    <row r="16" spans="2:43" ht="15" customHeight="1" x14ac:dyDescent="0.2">
      <c r="B16" s="57"/>
    </row>
    <row r="17" spans="25:36" ht="15" customHeight="1" x14ac:dyDescent="0.2">
      <c r="Z17" s="72"/>
    </row>
    <row r="18" spans="25:36" ht="11.25" x14ac:dyDescent="0.2">
      <c r="Y18" s="72"/>
      <c r="Z18" s="72"/>
      <c r="AA18" s="72"/>
      <c r="AI18" s="72"/>
      <c r="AJ18" s="72"/>
    </row>
    <row r="19" spans="25:36" ht="11.25" x14ac:dyDescent="0.2">
      <c r="Y19" s="72"/>
      <c r="AA19" s="72"/>
      <c r="AI19" s="72"/>
      <c r="AJ19" s="72"/>
    </row>
    <row r="20" spans="25:36" ht="15" customHeight="1" x14ac:dyDescent="0.2">
      <c r="Y20" s="72"/>
    </row>
    <row r="25" spans="25:36" ht="15.75" customHeight="1" x14ac:dyDescent="0.2"/>
    <row r="26" spans="25:36" ht="15.75" customHeight="1" x14ac:dyDescent="0.2"/>
    <row r="27" spans="25:36" ht="15.75" customHeight="1" x14ac:dyDescent="0.2"/>
    <row r="28" spans="25:36" ht="15.75" customHeight="1" x14ac:dyDescent="0.2"/>
    <row r="29" spans="25:36" ht="15.75" customHeight="1" x14ac:dyDescent="0.2"/>
    <row r="30" spans="25:36" ht="15.75" customHeight="1" x14ac:dyDescent="0.2"/>
    <row r="31" spans="25:36" ht="15.75" customHeight="1" x14ac:dyDescent="0.2"/>
    <row r="32" spans="25:3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pageMargins left="0.511811024" right="0.511811024" top="0.78740157499999996" bottom="0.78740157499999996" header="0" footer="0"/>
  <pageSetup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34"/>
  <sheetViews>
    <sheetView showGridLines="0" zoomScale="80" zoomScaleNormal="80" workbookViewId="0">
      <pane ySplit="3" topLeftCell="A4" activePane="bottomLeft" state="frozen"/>
      <selection activeCell="I344" sqref="I344"/>
      <selection pane="bottomLeft" activeCell="G9" sqref="G9"/>
    </sheetView>
  </sheetViews>
  <sheetFormatPr defaultColWidth="12.625" defaultRowHeight="15" customHeight="1" x14ac:dyDescent="0.2"/>
  <cols>
    <col min="1" max="1" width="3.375" style="75" customWidth="1"/>
    <col min="2" max="2" width="14.5" style="75" customWidth="1"/>
    <col min="3" max="3" width="30.625" style="75" bestFit="1" customWidth="1"/>
    <col min="4" max="4" width="9.625" style="75" customWidth="1"/>
    <col min="5" max="5" width="8.375" style="75" customWidth="1"/>
    <col min="6" max="6" width="16.875" style="75" customWidth="1"/>
    <col min="7" max="7" width="16.375" style="75" bestFit="1" customWidth="1"/>
    <col min="8" max="8" width="13.125" style="75" customWidth="1"/>
    <col min="9" max="9" width="19.125" style="75" customWidth="1"/>
    <col min="10" max="10" width="15.25" style="75" customWidth="1"/>
    <col min="11" max="11" width="12.625" style="75" bestFit="1" customWidth="1"/>
    <col min="12" max="26" width="7.625" style="75" customWidth="1"/>
    <col min="27" max="16384" width="12.625" style="75"/>
  </cols>
  <sheetData>
    <row r="1" spans="1:22" ht="37.5" customHeight="1" x14ac:dyDescent="0.2">
      <c r="D1" s="195"/>
      <c r="E1" s="195"/>
      <c r="F1" s="201"/>
      <c r="G1" s="201"/>
      <c r="H1" s="202"/>
      <c r="I1" s="201"/>
      <c r="J1" s="287"/>
      <c r="K1" s="201"/>
    </row>
    <row r="2" spans="1:22" ht="15.6" customHeight="1" x14ac:dyDescent="0.2">
      <c r="A2" s="296"/>
      <c r="B2" s="100" t="s">
        <v>587</v>
      </c>
      <c r="C2" s="100" t="s">
        <v>175</v>
      </c>
      <c r="D2" s="100" t="s">
        <v>176</v>
      </c>
      <c r="E2" s="101" t="s">
        <v>177</v>
      </c>
      <c r="F2" s="101" t="s">
        <v>178</v>
      </c>
      <c r="G2" s="101" t="s">
        <v>179</v>
      </c>
      <c r="H2" s="101" t="s">
        <v>663</v>
      </c>
      <c r="I2" s="101" t="s">
        <v>665</v>
      </c>
      <c r="J2" s="101" t="s">
        <v>1089</v>
      </c>
      <c r="K2" s="101" t="s">
        <v>180</v>
      </c>
    </row>
    <row r="3" spans="1:22" ht="15.6" customHeight="1" x14ac:dyDescent="0.2">
      <c r="A3" s="297"/>
      <c r="B3" s="100" t="s">
        <v>588</v>
      </c>
      <c r="C3" s="100" t="s">
        <v>175</v>
      </c>
      <c r="D3" s="100" t="s">
        <v>181</v>
      </c>
      <c r="E3" s="100" t="s">
        <v>182</v>
      </c>
      <c r="F3" s="100" t="s">
        <v>183</v>
      </c>
      <c r="G3" s="99" t="s">
        <v>184</v>
      </c>
      <c r="H3" s="99" t="s">
        <v>664</v>
      </c>
      <c r="I3" s="99" t="s">
        <v>185</v>
      </c>
      <c r="J3" s="99" t="s">
        <v>1090</v>
      </c>
      <c r="K3" s="99" t="s">
        <v>186</v>
      </c>
    </row>
    <row r="4" spans="1:22" ht="15" customHeight="1" x14ac:dyDescent="0.2">
      <c r="A4" s="196"/>
      <c r="B4" s="75" t="s">
        <v>589</v>
      </c>
      <c r="C4" s="75" t="s">
        <v>596</v>
      </c>
      <c r="D4" s="197" t="s">
        <v>234</v>
      </c>
      <c r="E4" s="180" t="s">
        <v>381</v>
      </c>
      <c r="F4" s="197" t="s">
        <v>382</v>
      </c>
      <c r="G4" s="180" t="s">
        <v>1050</v>
      </c>
      <c r="H4" s="198">
        <v>2013</v>
      </c>
      <c r="I4" s="180" t="s">
        <v>383</v>
      </c>
      <c r="J4" s="180" t="s">
        <v>166</v>
      </c>
      <c r="K4" s="199">
        <v>1016.41</v>
      </c>
      <c r="L4" s="197"/>
      <c r="N4" s="197"/>
      <c r="O4" s="197"/>
      <c r="P4" s="197"/>
      <c r="Q4" s="197"/>
      <c r="R4" s="197"/>
      <c r="S4" s="197"/>
      <c r="T4" s="197"/>
      <c r="U4" s="197"/>
      <c r="V4" s="203"/>
    </row>
    <row r="5" spans="1:22" ht="15" customHeight="1" x14ac:dyDescent="0.2">
      <c r="A5" s="196"/>
      <c r="B5" s="75" t="s">
        <v>589</v>
      </c>
      <c r="C5" s="75" t="s">
        <v>251</v>
      </c>
      <c r="D5" s="197" t="s">
        <v>242</v>
      </c>
      <c r="E5" s="180" t="s">
        <v>246</v>
      </c>
      <c r="F5" s="197" t="s">
        <v>247</v>
      </c>
      <c r="G5" s="180" t="s">
        <v>1050</v>
      </c>
      <c r="H5" s="198">
        <v>2019</v>
      </c>
      <c r="I5" s="180" t="s">
        <v>2</v>
      </c>
      <c r="J5" s="180" t="s">
        <v>2</v>
      </c>
      <c r="K5" s="199">
        <v>936.69</v>
      </c>
      <c r="L5" s="197"/>
      <c r="N5" s="197"/>
      <c r="O5" s="197"/>
      <c r="P5" s="197"/>
      <c r="Q5" s="197"/>
      <c r="R5" s="197"/>
      <c r="S5" s="197"/>
      <c r="T5" s="197"/>
      <c r="U5" s="197"/>
      <c r="V5" s="203"/>
    </row>
    <row r="6" spans="1:22" ht="15" customHeight="1" x14ac:dyDescent="0.2">
      <c r="A6" s="196"/>
      <c r="B6" s="75" t="s">
        <v>589</v>
      </c>
      <c r="C6" s="75" t="s">
        <v>333</v>
      </c>
      <c r="D6" s="197" t="s">
        <v>203</v>
      </c>
      <c r="E6" s="180" t="s">
        <v>334</v>
      </c>
      <c r="F6" s="197" t="s">
        <v>335</v>
      </c>
      <c r="G6" s="180" t="s">
        <v>1050</v>
      </c>
      <c r="H6" s="198">
        <v>2014</v>
      </c>
      <c r="I6" s="180" t="s">
        <v>336</v>
      </c>
      <c r="J6" s="180" t="s">
        <v>166</v>
      </c>
      <c r="K6" s="199">
        <v>815.63</v>
      </c>
      <c r="L6" s="197"/>
      <c r="N6" s="197"/>
      <c r="O6" s="197"/>
      <c r="P6" s="197"/>
      <c r="Q6" s="197"/>
      <c r="R6" s="197"/>
      <c r="S6" s="197"/>
      <c r="T6" s="197"/>
      <c r="U6" s="197"/>
      <c r="V6" s="203"/>
    </row>
    <row r="7" spans="1:22" ht="15" customHeight="1" x14ac:dyDescent="0.2">
      <c r="A7" s="196"/>
      <c r="B7" s="75" t="s">
        <v>589</v>
      </c>
      <c r="C7" s="75" t="s">
        <v>631</v>
      </c>
      <c r="D7" s="197" t="s">
        <v>242</v>
      </c>
      <c r="E7" s="180" t="s">
        <v>253</v>
      </c>
      <c r="F7" s="197" t="s">
        <v>631</v>
      </c>
      <c r="G7" s="180" t="s">
        <v>1050</v>
      </c>
      <c r="H7" s="198">
        <v>2021</v>
      </c>
      <c r="I7" s="180" t="s">
        <v>630</v>
      </c>
      <c r="J7" s="180" t="s">
        <v>630</v>
      </c>
      <c r="K7" s="198">
        <v>331.52</v>
      </c>
      <c r="L7" s="197"/>
      <c r="N7" s="197"/>
      <c r="O7" s="197"/>
      <c r="P7" s="197"/>
      <c r="Q7" s="197"/>
      <c r="R7" s="197"/>
      <c r="S7" s="197"/>
      <c r="T7" s="197"/>
      <c r="U7" s="197"/>
      <c r="V7" s="203"/>
    </row>
    <row r="8" spans="1:22" ht="15" customHeight="1" x14ac:dyDescent="0.2">
      <c r="A8" s="196"/>
      <c r="B8" s="75" t="s">
        <v>589</v>
      </c>
      <c r="C8" s="75" t="s">
        <v>293</v>
      </c>
      <c r="D8" s="197" t="s">
        <v>242</v>
      </c>
      <c r="E8" s="180" t="s">
        <v>253</v>
      </c>
      <c r="F8" s="197" t="s">
        <v>257</v>
      </c>
      <c r="G8" s="180" t="s">
        <v>1050</v>
      </c>
      <c r="H8" s="198">
        <v>2020</v>
      </c>
      <c r="I8" s="180" t="s">
        <v>153</v>
      </c>
      <c r="J8" s="180" t="s">
        <v>153</v>
      </c>
      <c r="K8" s="198">
        <v>2118</v>
      </c>
      <c r="L8" s="197"/>
      <c r="N8" s="197"/>
      <c r="O8" s="197"/>
      <c r="P8" s="197"/>
      <c r="Q8" s="197"/>
      <c r="R8" s="197"/>
      <c r="S8" s="197"/>
      <c r="T8" s="197"/>
      <c r="U8" s="197"/>
      <c r="V8" s="203"/>
    </row>
    <row r="9" spans="1:22" ht="15" customHeight="1" x14ac:dyDescent="0.2">
      <c r="A9" s="196"/>
      <c r="B9" s="75" t="s">
        <v>589</v>
      </c>
      <c r="C9" s="75" t="s">
        <v>306</v>
      </c>
      <c r="D9" s="197" t="s">
        <v>295</v>
      </c>
      <c r="E9" s="180" t="s">
        <v>307</v>
      </c>
      <c r="F9" s="197" t="s">
        <v>308</v>
      </c>
      <c r="G9" s="180" t="s">
        <v>1050</v>
      </c>
      <c r="H9" s="198">
        <v>2007</v>
      </c>
      <c r="I9" s="180" t="s">
        <v>255</v>
      </c>
      <c r="J9" s="180" t="s">
        <v>3</v>
      </c>
      <c r="K9" s="199">
        <v>1414</v>
      </c>
      <c r="L9" s="197"/>
      <c r="N9" s="197"/>
      <c r="O9" s="197"/>
      <c r="P9" s="197"/>
      <c r="Q9" s="197"/>
      <c r="R9" s="197"/>
      <c r="S9" s="197"/>
      <c r="T9" s="197"/>
      <c r="U9" s="197"/>
      <c r="V9" s="203"/>
    </row>
    <row r="10" spans="1:22" ht="15" customHeight="1" x14ac:dyDescent="0.2">
      <c r="A10" s="196"/>
      <c r="B10" s="75" t="s">
        <v>589</v>
      </c>
      <c r="C10" s="75" t="s">
        <v>425</v>
      </c>
      <c r="D10" s="197" t="s">
        <v>242</v>
      </c>
      <c r="E10" s="180" t="s">
        <v>246</v>
      </c>
      <c r="F10" s="197" t="s">
        <v>247</v>
      </c>
      <c r="G10" s="180" t="s">
        <v>1050</v>
      </c>
      <c r="H10" s="198">
        <v>2007</v>
      </c>
      <c r="I10" s="180" t="s">
        <v>255</v>
      </c>
      <c r="J10" s="180" t="s">
        <v>166</v>
      </c>
      <c r="K10" s="198">
        <v>678</v>
      </c>
      <c r="L10" s="197"/>
      <c r="N10" s="197"/>
      <c r="O10" s="197"/>
      <c r="P10" s="197"/>
      <c r="Q10" s="197"/>
      <c r="R10" s="197"/>
      <c r="S10" s="197"/>
      <c r="T10" s="197"/>
      <c r="U10" s="197"/>
      <c r="V10" s="203"/>
    </row>
    <row r="11" spans="1:22" ht="15" customHeight="1" x14ac:dyDescent="0.2">
      <c r="A11" s="196"/>
      <c r="B11" s="75" t="s">
        <v>590</v>
      </c>
      <c r="C11" s="75" t="s">
        <v>824</v>
      </c>
      <c r="D11" s="197" t="s">
        <v>242</v>
      </c>
      <c r="E11" s="180" t="s">
        <v>246</v>
      </c>
      <c r="F11" s="197" t="s">
        <v>247</v>
      </c>
      <c r="G11" s="180" t="s">
        <v>825</v>
      </c>
      <c r="H11" s="198">
        <v>2023</v>
      </c>
      <c r="I11" s="180" t="s">
        <v>823</v>
      </c>
      <c r="J11" s="180" t="s">
        <v>166</v>
      </c>
      <c r="K11" s="199">
        <v>825</v>
      </c>
      <c r="L11" s="197"/>
      <c r="N11" s="197"/>
      <c r="O11" s="197"/>
      <c r="P11" s="197"/>
      <c r="Q11" s="197"/>
      <c r="R11" s="197"/>
      <c r="S11" s="197"/>
      <c r="T11" s="197"/>
      <c r="U11" s="197"/>
      <c r="V11" s="203"/>
    </row>
    <row r="12" spans="1:22" ht="15" customHeight="1" x14ac:dyDescent="0.2">
      <c r="A12" s="196"/>
      <c r="B12" s="75" t="s">
        <v>589</v>
      </c>
      <c r="C12" s="75" t="s">
        <v>1005</v>
      </c>
      <c r="D12" s="197" t="s">
        <v>242</v>
      </c>
      <c r="E12" s="180" t="s">
        <v>246</v>
      </c>
      <c r="F12" s="197" t="s">
        <v>247</v>
      </c>
      <c r="G12" s="180" t="s">
        <v>1050</v>
      </c>
      <c r="H12" s="198">
        <v>1999</v>
      </c>
      <c r="I12" s="180" t="s">
        <v>426</v>
      </c>
      <c r="J12" s="180" t="s">
        <v>166</v>
      </c>
      <c r="K12" s="199">
        <v>324</v>
      </c>
      <c r="L12" s="197"/>
      <c r="N12" s="197"/>
      <c r="O12" s="197"/>
      <c r="P12" s="197"/>
      <c r="Q12" s="197"/>
      <c r="R12" s="197"/>
      <c r="S12" s="197"/>
      <c r="T12" s="197"/>
      <c r="U12" s="197"/>
      <c r="V12" s="203"/>
    </row>
    <row r="13" spans="1:22" ht="15" customHeight="1" x14ac:dyDescent="0.2">
      <c r="A13" s="196"/>
      <c r="B13" s="75" t="s">
        <v>589</v>
      </c>
      <c r="C13" s="75" t="s">
        <v>1005</v>
      </c>
      <c r="D13" s="197" t="s">
        <v>242</v>
      </c>
      <c r="E13" s="180" t="s">
        <v>246</v>
      </c>
      <c r="F13" s="197" t="s">
        <v>247</v>
      </c>
      <c r="G13" s="180" t="s">
        <v>1050</v>
      </c>
      <c r="H13" s="198">
        <v>2019</v>
      </c>
      <c r="I13" s="180" t="s">
        <v>4</v>
      </c>
      <c r="J13" s="180" t="s">
        <v>4</v>
      </c>
      <c r="K13" s="199">
        <v>1130.05</v>
      </c>
      <c r="L13" s="197"/>
      <c r="N13" s="197"/>
      <c r="O13" s="197"/>
      <c r="P13" s="197"/>
      <c r="Q13" s="197"/>
      <c r="R13" s="197"/>
      <c r="S13" s="197"/>
      <c r="T13" s="197"/>
      <c r="U13" s="197"/>
      <c r="V13" s="203"/>
    </row>
    <row r="14" spans="1:22" ht="15" customHeight="1" x14ac:dyDescent="0.2">
      <c r="A14" s="196"/>
      <c r="B14" s="75" t="s">
        <v>589</v>
      </c>
      <c r="C14" s="75" t="s">
        <v>300</v>
      </c>
      <c r="D14" s="197" t="s">
        <v>295</v>
      </c>
      <c r="E14" s="180" t="s">
        <v>301</v>
      </c>
      <c r="F14" s="197" t="s">
        <v>302</v>
      </c>
      <c r="G14" s="180" t="s">
        <v>1050</v>
      </c>
      <c r="H14" s="198">
        <v>2018</v>
      </c>
      <c r="I14" s="180" t="s">
        <v>6</v>
      </c>
      <c r="J14" s="180" t="s">
        <v>6</v>
      </c>
      <c r="K14" s="199">
        <v>995.34</v>
      </c>
      <c r="L14" s="197"/>
      <c r="N14" s="197"/>
      <c r="O14" s="197"/>
      <c r="P14" s="197"/>
      <c r="Q14" s="197"/>
      <c r="R14" s="197"/>
      <c r="S14" s="197"/>
      <c r="T14" s="197"/>
      <c r="U14" s="197"/>
      <c r="V14" s="203"/>
    </row>
    <row r="15" spans="1:22" ht="15" customHeight="1" x14ac:dyDescent="0.2">
      <c r="A15" s="196"/>
      <c r="B15" s="75" t="s">
        <v>589</v>
      </c>
      <c r="C15" s="75" t="s">
        <v>526</v>
      </c>
      <c r="D15" s="197" t="s">
        <v>295</v>
      </c>
      <c r="E15" s="180" t="s">
        <v>307</v>
      </c>
      <c r="F15" s="197" t="s">
        <v>527</v>
      </c>
      <c r="G15" s="180" t="s">
        <v>1050</v>
      </c>
      <c r="H15" s="198">
        <v>2009</v>
      </c>
      <c r="I15" s="180" t="s">
        <v>265</v>
      </c>
      <c r="J15" s="180" t="s">
        <v>166</v>
      </c>
      <c r="K15" s="198">
        <v>710.75</v>
      </c>
      <c r="L15" s="197"/>
      <c r="N15" s="197"/>
      <c r="O15" s="197"/>
      <c r="P15" s="197"/>
      <c r="Q15" s="197"/>
      <c r="R15" s="197"/>
      <c r="S15" s="197"/>
      <c r="T15" s="197"/>
      <c r="U15" s="197"/>
      <c r="V15" s="203"/>
    </row>
    <row r="16" spans="1:22" ht="15" customHeight="1" x14ac:dyDescent="0.2">
      <c r="A16" s="196"/>
      <c r="B16" s="75" t="s">
        <v>589</v>
      </c>
      <c r="C16" s="75" t="s">
        <v>241</v>
      </c>
      <c r="D16" s="197" t="s">
        <v>242</v>
      </c>
      <c r="E16" s="180" t="s">
        <v>243</v>
      </c>
      <c r="F16" s="197" t="s">
        <v>244</v>
      </c>
      <c r="G16" s="180" t="s">
        <v>1050</v>
      </c>
      <c r="H16" s="198">
        <v>2002</v>
      </c>
      <c r="I16" s="180" t="s">
        <v>245</v>
      </c>
      <c r="J16" s="180" t="s">
        <v>4</v>
      </c>
      <c r="K16" s="198">
        <v>1396.43</v>
      </c>
      <c r="L16" s="197"/>
      <c r="N16" s="197"/>
      <c r="O16" s="197"/>
      <c r="P16" s="197"/>
      <c r="Q16" s="197"/>
      <c r="R16" s="197"/>
      <c r="S16" s="197"/>
      <c r="T16" s="197"/>
      <c r="U16" s="197"/>
      <c r="V16" s="203"/>
    </row>
    <row r="17" spans="2:22" ht="15" customHeight="1" x14ac:dyDescent="0.2">
      <c r="B17" s="75" t="s">
        <v>589</v>
      </c>
      <c r="C17" s="75" t="s">
        <v>528</v>
      </c>
      <c r="D17" s="197" t="s">
        <v>295</v>
      </c>
      <c r="E17" s="180" t="s">
        <v>307</v>
      </c>
      <c r="F17" s="197" t="s">
        <v>529</v>
      </c>
      <c r="G17" s="180" t="s">
        <v>1050</v>
      </c>
      <c r="H17" s="198">
        <v>2011</v>
      </c>
      <c r="I17" s="180" t="s">
        <v>330</v>
      </c>
      <c r="J17" s="180" t="s">
        <v>166</v>
      </c>
      <c r="K17" s="198">
        <v>1069.68</v>
      </c>
      <c r="L17" s="197"/>
      <c r="N17" s="197"/>
      <c r="O17" s="197"/>
      <c r="P17" s="197"/>
      <c r="Q17" s="197"/>
      <c r="R17" s="197"/>
      <c r="S17" s="197"/>
      <c r="T17" s="197"/>
      <c r="U17" s="197"/>
      <c r="V17" s="203"/>
    </row>
    <row r="18" spans="2:22" ht="15" customHeight="1" x14ac:dyDescent="0.2">
      <c r="B18" s="75" t="s">
        <v>589</v>
      </c>
      <c r="C18" s="75" t="s">
        <v>427</v>
      </c>
      <c r="D18" s="197" t="s">
        <v>242</v>
      </c>
      <c r="E18" s="180" t="s">
        <v>246</v>
      </c>
      <c r="F18" s="197" t="s">
        <v>247</v>
      </c>
      <c r="G18" s="180" t="s">
        <v>1050</v>
      </c>
      <c r="H18" s="198">
        <v>2009</v>
      </c>
      <c r="I18" s="180" t="s">
        <v>265</v>
      </c>
      <c r="J18" s="180" t="s">
        <v>846</v>
      </c>
      <c r="K18" s="198">
        <v>622</v>
      </c>
      <c r="L18" s="197"/>
      <c r="N18" s="197"/>
      <c r="O18" s="197"/>
      <c r="P18" s="197"/>
      <c r="Q18" s="197"/>
      <c r="R18" s="197"/>
      <c r="S18" s="197"/>
      <c r="T18" s="197"/>
      <c r="U18" s="197"/>
      <c r="V18" s="203"/>
    </row>
    <row r="19" spans="2:22" ht="15" customHeight="1" x14ac:dyDescent="0.2">
      <c r="B19" s="75" t="s">
        <v>589</v>
      </c>
      <c r="C19" s="75" t="s">
        <v>505</v>
      </c>
      <c r="D19" s="197" t="s">
        <v>295</v>
      </c>
      <c r="E19" s="180" t="s">
        <v>296</v>
      </c>
      <c r="F19" s="197" t="s">
        <v>506</v>
      </c>
      <c r="G19" s="180" t="s">
        <v>1050</v>
      </c>
      <c r="H19" s="198">
        <v>2013</v>
      </c>
      <c r="I19" s="180" t="s">
        <v>388</v>
      </c>
      <c r="J19" s="180" t="s">
        <v>166</v>
      </c>
      <c r="K19" s="198">
        <v>1417.5</v>
      </c>
      <c r="L19" s="197"/>
      <c r="N19" s="197"/>
      <c r="O19" s="197"/>
      <c r="P19" s="197"/>
      <c r="Q19" s="197"/>
      <c r="R19" s="197"/>
      <c r="S19" s="197"/>
      <c r="T19" s="197"/>
      <c r="U19" s="197"/>
      <c r="V19" s="203"/>
    </row>
    <row r="20" spans="2:22" ht="15" customHeight="1" x14ac:dyDescent="0.2">
      <c r="B20" s="75" t="s">
        <v>589</v>
      </c>
      <c r="C20" s="75" t="s">
        <v>291</v>
      </c>
      <c r="D20" s="197" t="s">
        <v>242</v>
      </c>
      <c r="E20" s="180" t="s">
        <v>253</v>
      </c>
      <c r="F20" s="197" t="s">
        <v>632</v>
      </c>
      <c r="G20" s="180" t="s">
        <v>1050</v>
      </c>
      <c r="H20" s="198">
        <v>2019</v>
      </c>
      <c r="I20" s="180" t="s">
        <v>2</v>
      </c>
      <c r="J20" s="180" t="s">
        <v>2</v>
      </c>
      <c r="K20" s="199">
        <v>1185</v>
      </c>
      <c r="L20" s="197"/>
      <c r="N20" s="197"/>
      <c r="O20" s="197"/>
      <c r="P20" s="197"/>
      <c r="Q20" s="197"/>
      <c r="R20" s="197"/>
      <c r="S20" s="197"/>
      <c r="T20" s="197"/>
      <c r="U20" s="197"/>
      <c r="V20" s="203"/>
    </row>
    <row r="21" spans="2:22" ht="15" customHeight="1" x14ac:dyDescent="0.2">
      <c r="B21" s="75" t="s">
        <v>589</v>
      </c>
      <c r="C21" s="75" t="s">
        <v>633</v>
      </c>
      <c r="D21" s="197" t="s">
        <v>234</v>
      </c>
      <c r="E21" s="180" t="s">
        <v>235</v>
      </c>
      <c r="F21" s="197" t="s">
        <v>236</v>
      </c>
      <c r="G21" s="180" t="s">
        <v>1050</v>
      </c>
      <c r="H21" s="198">
        <v>2009</v>
      </c>
      <c r="I21" s="180" t="s">
        <v>265</v>
      </c>
      <c r="J21" s="180" t="s">
        <v>703</v>
      </c>
      <c r="K21" s="198">
        <v>1050.8</v>
      </c>
      <c r="L21" s="197"/>
      <c r="N21" s="197"/>
      <c r="O21" s="197"/>
      <c r="P21" s="197"/>
      <c r="Q21" s="197"/>
      <c r="R21" s="197"/>
      <c r="S21" s="197"/>
      <c r="T21" s="197"/>
      <c r="U21" s="197"/>
      <c r="V21" s="203"/>
    </row>
    <row r="22" spans="2:22" ht="15" customHeight="1" x14ac:dyDescent="0.2">
      <c r="B22" s="75" t="s">
        <v>589</v>
      </c>
      <c r="C22" s="75" t="s">
        <v>634</v>
      </c>
      <c r="D22" s="197" t="s">
        <v>242</v>
      </c>
      <c r="E22" s="180" t="s">
        <v>243</v>
      </c>
      <c r="F22" s="197" t="s">
        <v>244</v>
      </c>
      <c r="G22" s="180" t="s">
        <v>1050</v>
      </c>
      <c r="H22" s="198">
        <v>2010</v>
      </c>
      <c r="I22" s="180" t="s">
        <v>269</v>
      </c>
      <c r="J22" s="180" t="s">
        <v>166</v>
      </c>
      <c r="K22" s="199">
        <v>662</v>
      </c>
      <c r="L22" s="197"/>
      <c r="N22" s="197"/>
      <c r="O22" s="197"/>
      <c r="P22" s="197"/>
      <c r="Q22" s="197"/>
      <c r="R22" s="197"/>
      <c r="S22" s="197"/>
      <c r="T22" s="197"/>
      <c r="U22" s="197"/>
      <c r="V22" s="203"/>
    </row>
    <row r="23" spans="2:22" ht="15" customHeight="1" x14ac:dyDescent="0.2">
      <c r="B23" s="75" t="s">
        <v>589</v>
      </c>
      <c r="C23" s="75" t="s">
        <v>635</v>
      </c>
      <c r="D23" s="197" t="s">
        <v>203</v>
      </c>
      <c r="E23" s="180" t="s">
        <v>204</v>
      </c>
      <c r="F23" s="197" t="s">
        <v>340</v>
      </c>
      <c r="G23" s="180" t="s">
        <v>1050</v>
      </c>
      <c r="H23" s="198">
        <v>2011</v>
      </c>
      <c r="I23" s="180" t="s">
        <v>330</v>
      </c>
      <c r="J23" s="180" t="s">
        <v>166</v>
      </c>
      <c r="K23" s="199">
        <v>758.8</v>
      </c>
      <c r="L23" s="197"/>
      <c r="N23" s="197"/>
      <c r="O23" s="197"/>
      <c r="P23" s="197"/>
      <c r="Q23" s="197"/>
      <c r="R23" s="197"/>
      <c r="S23" s="197"/>
      <c r="T23" s="197"/>
      <c r="U23" s="197"/>
      <c r="V23" s="203"/>
    </row>
    <row r="24" spans="2:22" ht="15" customHeight="1" x14ac:dyDescent="0.2">
      <c r="B24" s="75" t="s">
        <v>589</v>
      </c>
      <c r="C24" s="75" t="s">
        <v>538</v>
      </c>
      <c r="D24" s="197" t="s">
        <v>242</v>
      </c>
      <c r="E24" s="180" t="s">
        <v>246</v>
      </c>
      <c r="F24" s="197" t="s">
        <v>428</v>
      </c>
      <c r="G24" s="180" t="s">
        <v>1050</v>
      </c>
      <c r="H24" s="198">
        <v>2010</v>
      </c>
      <c r="I24" s="180" t="s">
        <v>269</v>
      </c>
      <c r="J24" s="180" t="s">
        <v>166</v>
      </c>
      <c r="K24" s="199">
        <v>578</v>
      </c>
      <c r="L24" s="197"/>
      <c r="N24" s="197"/>
      <c r="O24" s="197"/>
      <c r="P24" s="197"/>
      <c r="Q24" s="197"/>
      <c r="R24" s="197"/>
      <c r="S24" s="197"/>
      <c r="T24" s="197"/>
      <c r="U24" s="197"/>
      <c r="V24" s="203"/>
    </row>
    <row r="25" spans="2:22" ht="15" customHeight="1" x14ac:dyDescent="0.2">
      <c r="B25" s="75" t="s">
        <v>589</v>
      </c>
      <c r="C25" s="75" t="s">
        <v>207</v>
      </c>
      <c r="D25" s="197" t="s">
        <v>203</v>
      </c>
      <c r="E25" s="180" t="s">
        <v>204</v>
      </c>
      <c r="F25" s="197" t="s">
        <v>636</v>
      </c>
      <c r="G25" s="180" t="s">
        <v>1050</v>
      </c>
      <c r="H25" s="198">
        <v>2019</v>
      </c>
      <c r="I25" s="180" t="s">
        <v>2</v>
      </c>
      <c r="J25" s="180" t="s">
        <v>2</v>
      </c>
      <c r="K25" s="199">
        <v>1245</v>
      </c>
      <c r="L25" s="197"/>
      <c r="N25" s="197"/>
      <c r="O25" s="197"/>
      <c r="P25" s="197"/>
      <c r="Q25" s="197"/>
      <c r="R25" s="197"/>
      <c r="S25" s="197"/>
      <c r="T25" s="197"/>
      <c r="U25" s="197"/>
      <c r="V25" s="203"/>
    </row>
    <row r="26" spans="2:22" ht="15" customHeight="1" x14ac:dyDescent="0.2">
      <c r="B26" s="75" t="s">
        <v>589</v>
      </c>
      <c r="C26" s="75" t="s">
        <v>517</v>
      </c>
      <c r="D26" s="197" t="s">
        <v>295</v>
      </c>
      <c r="E26" s="180" t="s">
        <v>301</v>
      </c>
      <c r="F26" s="197" t="s">
        <v>518</v>
      </c>
      <c r="G26" s="180" t="s">
        <v>1050</v>
      </c>
      <c r="H26" s="198">
        <v>2008</v>
      </c>
      <c r="I26" s="180" t="s">
        <v>322</v>
      </c>
      <c r="J26" s="180" t="s">
        <v>166</v>
      </c>
      <c r="K26" s="199">
        <v>622.42999999999995</v>
      </c>
      <c r="L26" s="197"/>
      <c r="N26" s="197"/>
      <c r="O26" s="197"/>
      <c r="P26" s="197"/>
      <c r="Q26" s="197"/>
      <c r="R26" s="197"/>
      <c r="S26" s="197"/>
      <c r="T26" s="197"/>
      <c r="U26" s="197"/>
      <c r="V26" s="203"/>
    </row>
    <row r="27" spans="2:22" ht="15" customHeight="1" x14ac:dyDescent="0.2">
      <c r="B27" s="75" t="s">
        <v>589</v>
      </c>
      <c r="C27" s="75" t="s">
        <v>519</v>
      </c>
      <c r="D27" s="197" t="s">
        <v>295</v>
      </c>
      <c r="E27" s="180" t="s">
        <v>301</v>
      </c>
      <c r="F27" s="197" t="s">
        <v>520</v>
      </c>
      <c r="G27" s="180" t="s">
        <v>1050</v>
      </c>
      <c r="H27" s="198">
        <v>2010</v>
      </c>
      <c r="I27" s="180" t="s">
        <v>354</v>
      </c>
      <c r="J27" s="180" t="s">
        <v>166</v>
      </c>
      <c r="K27" s="199">
        <v>720.42</v>
      </c>
      <c r="L27" s="197"/>
      <c r="N27" s="197"/>
      <c r="O27" s="197"/>
      <c r="P27" s="197"/>
      <c r="Q27" s="197"/>
      <c r="R27" s="197"/>
      <c r="S27" s="197"/>
      <c r="T27" s="197"/>
      <c r="U27" s="197"/>
      <c r="V27" s="203"/>
    </row>
    <row r="28" spans="2:22" ht="15" customHeight="1" x14ac:dyDescent="0.2">
      <c r="B28" s="75" t="s">
        <v>589</v>
      </c>
      <c r="C28" s="75" t="s">
        <v>320</v>
      </c>
      <c r="D28" s="197" t="s">
        <v>188</v>
      </c>
      <c r="E28" s="180" t="s">
        <v>193</v>
      </c>
      <c r="F28" s="197" t="s">
        <v>321</v>
      </c>
      <c r="G28" s="180" t="s">
        <v>1050</v>
      </c>
      <c r="H28" s="198">
        <v>2008</v>
      </c>
      <c r="I28" s="180" t="s">
        <v>322</v>
      </c>
      <c r="J28" s="180" t="s">
        <v>166</v>
      </c>
      <c r="K28" s="198">
        <v>605.20000000000005</v>
      </c>
      <c r="L28" s="197"/>
      <c r="N28" s="197"/>
      <c r="O28" s="197"/>
      <c r="P28" s="197"/>
      <c r="Q28" s="197"/>
      <c r="R28" s="197"/>
      <c r="S28" s="197"/>
      <c r="T28" s="197"/>
      <c r="U28" s="197"/>
      <c r="V28" s="203"/>
    </row>
    <row r="29" spans="2:22" ht="15" customHeight="1" x14ac:dyDescent="0.2">
      <c r="B29" s="75" t="s">
        <v>589</v>
      </c>
      <c r="C29" s="75" t="s">
        <v>312</v>
      </c>
      <c r="D29" s="197" t="s">
        <v>188</v>
      </c>
      <c r="E29" s="180" t="s">
        <v>189</v>
      </c>
      <c r="F29" s="197" t="s">
        <v>190</v>
      </c>
      <c r="G29" s="180" t="s">
        <v>1050</v>
      </c>
      <c r="H29" s="198">
        <v>1997</v>
      </c>
      <c r="I29" s="180" t="s">
        <v>313</v>
      </c>
      <c r="J29" s="180" t="s">
        <v>166</v>
      </c>
      <c r="K29" s="199">
        <v>126.8</v>
      </c>
      <c r="L29" s="197"/>
      <c r="N29" s="197"/>
      <c r="O29" s="197"/>
      <c r="P29" s="197"/>
      <c r="Q29" s="197"/>
      <c r="R29" s="197"/>
      <c r="S29" s="197"/>
      <c r="T29" s="197"/>
      <c r="U29" s="197"/>
      <c r="V29" s="203"/>
    </row>
    <row r="30" spans="2:22" ht="15" customHeight="1" x14ac:dyDescent="0.2">
      <c r="B30" s="75" t="s">
        <v>589</v>
      </c>
      <c r="C30" s="75" t="s">
        <v>323</v>
      </c>
      <c r="D30" s="197" t="s">
        <v>188</v>
      </c>
      <c r="E30" s="180" t="s">
        <v>193</v>
      </c>
      <c r="F30" s="197" t="s">
        <v>324</v>
      </c>
      <c r="G30" s="180" t="s">
        <v>1050</v>
      </c>
      <c r="H30" s="198">
        <v>2008</v>
      </c>
      <c r="I30" s="180" t="s">
        <v>322</v>
      </c>
      <c r="J30" s="180" t="s">
        <v>166</v>
      </c>
      <c r="K30" s="199">
        <v>363.93</v>
      </c>
      <c r="L30" s="197"/>
      <c r="N30" s="197"/>
      <c r="O30" s="197"/>
      <c r="P30" s="197"/>
      <c r="Q30" s="197"/>
      <c r="R30" s="197"/>
      <c r="S30" s="197"/>
      <c r="T30" s="197"/>
      <c r="U30" s="197"/>
      <c r="V30" s="203"/>
    </row>
    <row r="31" spans="2:22" ht="15" customHeight="1" x14ac:dyDescent="0.2">
      <c r="B31" s="75" t="s">
        <v>589</v>
      </c>
      <c r="C31" s="75" t="s">
        <v>221</v>
      </c>
      <c r="D31" s="197" t="s">
        <v>203</v>
      </c>
      <c r="E31" s="180" t="s">
        <v>218</v>
      </c>
      <c r="F31" s="197" t="s">
        <v>222</v>
      </c>
      <c r="G31" s="180" t="s">
        <v>1050</v>
      </c>
      <c r="H31" s="198">
        <v>2019</v>
      </c>
      <c r="I31" s="180" t="s">
        <v>2</v>
      </c>
      <c r="J31" s="180" t="s">
        <v>2</v>
      </c>
      <c r="K31" s="199">
        <v>1085</v>
      </c>
      <c r="L31" s="197"/>
      <c r="N31" s="197"/>
      <c r="O31" s="197"/>
      <c r="P31" s="197"/>
      <c r="Q31" s="197"/>
      <c r="R31" s="197"/>
      <c r="S31" s="197"/>
      <c r="T31" s="197"/>
      <c r="U31" s="197"/>
      <c r="V31" s="203"/>
    </row>
    <row r="32" spans="2:22" ht="15" customHeight="1" x14ac:dyDescent="0.2">
      <c r="B32" s="75" t="s">
        <v>589</v>
      </c>
      <c r="C32" s="75" t="s">
        <v>450</v>
      </c>
      <c r="D32" s="197" t="s">
        <v>242</v>
      </c>
      <c r="E32" s="180" t="s">
        <v>253</v>
      </c>
      <c r="F32" s="197" t="s">
        <v>283</v>
      </c>
      <c r="G32" s="180" t="s">
        <v>1050</v>
      </c>
      <c r="H32" s="198">
        <v>2015</v>
      </c>
      <c r="I32" s="180" t="s">
        <v>451</v>
      </c>
      <c r="J32" s="180" t="s">
        <v>166</v>
      </c>
      <c r="K32" s="199">
        <v>1079</v>
      </c>
      <c r="L32" s="197"/>
      <c r="N32" s="197"/>
      <c r="O32" s="197"/>
      <c r="P32" s="197"/>
      <c r="Q32" s="197"/>
      <c r="R32" s="197"/>
      <c r="S32" s="197"/>
      <c r="T32" s="197"/>
      <c r="U32" s="197"/>
      <c r="V32" s="203"/>
    </row>
    <row r="33" spans="2:22" ht="15" customHeight="1" x14ac:dyDescent="0.2">
      <c r="B33" s="75" t="s">
        <v>589</v>
      </c>
      <c r="C33" s="75" t="s">
        <v>621</v>
      </c>
      <c r="D33" s="197" t="s">
        <v>242</v>
      </c>
      <c r="E33" s="180" t="s">
        <v>253</v>
      </c>
      <c r="F33" s="197" t="s">
        <v>257</v>
      </c>
      <c r="G33" s="180" t="s">
        <v>1050</v>
      </c>
      <c r="H33" s="198">
        <v>2021</v>
      </c>
      <c r="I33" s="180" t="s">
        <v>618</v>
      </c>
      <c r="J33" s="180" t="s">
        <v>618</v>
      </c>
      <c r="K33" s="199">
        <v>945.57</v>
      </c>
      <c r="L33" s="197"/>
      <c r="N33" s="197"/>
      <c r="O33" s="197"/>
      <c r="P33" s="197"/>
      <c r="Q33" s="197"/>
      <c r="R33" s="197"/>
      <c r="S33" s="197"/>
      <c r="T33" s="197"/>
      <c r="U33" s="197"/>
      <c r="V33" s="203"/>
    </row>
    <row r="34" spans="2:22" ht="15" customHeight="1" x14ac:dyDescent="0.2">
      <c r="B34" s="75" t="s">
        <v>589</v>
      </c>
      <c r="C34" s="75" t="s">
        <v>734</v>
      </c>
      <c r="D34" s="197" t="s">
        <v>242</v>
      </c>
      <c r="E34" s="180" t="s">
        <v>246</v>
      </c>
      <c r="F34" s="197" t="s">
        <v>247</v>
      </c>
      <c r="G34" s="180" t="s">
        <v>1050</v>
      </c>
      <c r="H34" s="198">
        <v>2022</v>
      </c>
      <c r="I34" s="180" t="s">
        <v>718</v>
      </c>
      <c r="J34" s="180" t="s">
        <v>718</v>
      </c>
      <c r="K34" s="199">
        <v>996.1</v>
      </c>
      <c r="L34" s="197"/>
      <c r="N34" s="197"/>
      <c r="O34" s="197"/>
      <c r="P34" s="197"/>
      <c r="Q34" s="197"/>
      <c r="R34" s="197"/>
      <c r="S34" s="197"/>
      <c r="T34" s="197"/>
      <c r="U34" s="197"/>
      <c r="V34" s="203"/>
    </row>
    <row r="35" spans="2:22" ht="15" customHeight="1" x14ac:dyDescent="0.2">
      <c r="B35" s="75" t="s">
        <v>589</v>
      </c>
      <c r="C35" s="75" t="s">
        <v>350</v>
      </c>
      <c r="D35" s="197" t="s">
        <v>203</v>
      </c>
      <c r="E35" s="180" t="s">
        <v>211</v>
      </c>
      <c r="F35" s="197" t="s">
        <v>351</v>
      </c>
      <c r="G35" s="180" t="s">
        <v>1050</v>
      </c>
      <c r="H35" s="198">
        <v>2012</v>
      </c>
      <c r="I35" s="180" t="s">
        <v>352</v>
      </c>
      <c r="J35" s="180" t="s">
        <v>166</v>
      </c>
      <c r="K35" s="198">
        <v>618.44000000000005</v>
      </c>
      <c r="L35" s="197"/>
      <c r="N35" s="197"/>
      <c r="O35" s="197"/>
      <c r="P35" s="197"/>
      <c r="Q35" s="197"/>
      <c r="R35" s="197"/>
      <c r="S35" s="197"/>
      <c r="T35" s="197"/>
      <c r="U35" s="197"/>
      <c r="V35" s="203"/>
    </row>
    <row r="36" spans="2:22" ht="15" customHeight="1" x14ac:dyDescent="0.2">
      <c r="B36" s="75" t="s">
        <v>590</v>
      </c>
      <c r="C36" s="75" t="s">
        <v>558</v>
      </c>
      <c r="D36" s="197" t="s">
        <v>242</v>
      </c>
      <c r="E36" s="180" t="s">
        <v>253</v>
      </c>
      <c r="F36" s="197" t="s">
        <v>290</v>
      </c>
      <c r="G36" s="180" t="s">
        <v>826</v>
      </c>
      <c r="H36" s="198">
        <v>2008</v>
      </c>
      <c r="I36" s="180" t="s">
        <v>272</v>
      </c>
      <c r="J36" s="180" t="s">
        <v>166</v>
      </c>
      <c r="K36" s="198">
        <v>525</v>
      </c>
      <c r="L36" s="197"/>
      <c r="N36" s="197"/>
      <c r="O36" s="197"/>
      <c r="P36" s="197"/>
      <c r="Q36" s="197"/>
      <c r="R36" s="197"/>
      <c r="S36" s="197"/>
      <c r="T36" s="197"/>
      <c r="U36" s="197"/>
      <c r="V36" s="203"/>
    </row>
    <row r="37" spans="2:22" ht="15" customHeight="1" x14ac:dyDescent="0.2">
      <c r="B37" s="75" t="s">
        <v>589</v>
      </c>
      <c r="C37" s="75" t="s">
        <v>294</v>
      </c>
      <c r="D37" s="197" t="s">
        <v>295</v>
      </c>
      <c r="E37" s="180" t="s">
        <v>296</v>
      </c>
      <c r="F37" s="197" t="s">
        <v>297</v>
      </c>
      <c r="G37" s="180" t="s">
        <v>1050</v>
      </c>
      <c r="H37" s="198">
        <v>2010</v>
      </c>
      <c r="I37" s="180" t="s">
        <v>269</v>
      </c>
      <c r="J37" s="180" t="s">
        <v>153</v>
      </c>
      <c r="K37" s="199">
        <v>1102</v>
      </c>
      <c r="L37" s="197"/>
      <c r="N37" s="197"/>
      <c r="O37" s="197"/>
      <c r="P37" s="197"/>
      <c r="Q37" s="197"/>
      <c r="R37" s="197"/>
      <c r="S37" s="197"/>
      <c r="T37" s="197"/>
      <c r="U37" s="197"/>
      <c r="V37" s="203"/>
    </row>
    <row r="38" spans="2:22" ht="15" customHeight="1" x14ac:dyDescent="0.2">
      <c r="B38" s="75" t="s">
        <v>589</v>
      </c>
      <c r="C38" s="75" t="s">
        <v>402</v>
      </c>
      <c r="D38" s="197" t="s">
        <v>242</v>
      </c>
      <c r="E38" s="180" t="s">
        <v>243</v>
      </c>
      <c r="F38" s="197" t="s">
        <v>403</v>
      </c>
      <c r="G38" s="180" t="s">
        <v>1050</v>
      </c>
      <c r="H38" s="198">
        <v>2010</v>
      </c>
      <c r="I38" s="180" t="s">
        <v>269</v>
      </c>
      <c r="J38" s="180" t="s">
        <v>166</v>
      </c>
      <c r="K38" s="198">
        <v>431.14</v>
      </c>
      <c r="L38" s="197"/>
      <c r="N38" s="197"/>
      <c r="O38" s="197"/>
      <c r="P38" s="197"/>
      <c r="Q38" s="197"/>
      <c r="R38" s="197"/>
      <c r="S38" s="197"/>
      <c r="T38" s="197"/>
      <c r="U38" s="197"/>
      <c r="V38" s="203"/>
    </row>
    <row r="39" spans="2:22" ht="15" customHeight="1" x14ac:dyDescent="0.2">
      <c r="B39" s="75" t="s">
        <v>589</v>
      </c>
      <c r="C39" s="75" t="s">
        <v>404</v>
      </c>
      <c r="D39" s="197" t="s">
        <v>242</v>
      </c>
      <c r="E39" s="180" t="s">
        <v>243</v>
      </c>
      <c r="F39" s="197" t="s">
        <v>405</v>
      </c>
      <c r="G39" s="180" t="s">
        <v>1050</v>
      </c>
      <c r="H39" s="198">
        <v>2010</v>
      </c>
      <c r="I39" s="180" t="s">
        <v>354</v>
      </c>
      <c r="J39" s="180" t="s">
        <v>618</v>
      </c>
      <c r="K39" s="199">
        <v>1594.81</v>
      </c>
      <c r="L39" s="197"/>
      <c r="N39" s="197"/>
      <c r="O39" s="197"/>
      <c r="P39" s="197"/>
      <c r="Q39" s="197"/>
      <c r="R39" s="197"/>
      <c r="S39" s="197"/>
      <c r="T39" s="197"/>
      <c r="U39" s="197"/>
      <c r="V39" s="203"/>
    </row>
    <row r="40" spans="2:22" ht="15" customHeight="1" x14ac:dyDescent="0.2">
      <c r="B40" s="75" t="s">
        <v>589</v>
      </c>
      <c r="C40" s="75" t="s">
        <v>452</v>
      </c>
      <c r="D40" s="197" t="s">
        <v>242</v>
      </c>
      <c r="E40" s="180" t="s">
        <v>253</v>
      </c>
      <c r="F40" s="197" t="s">
        <v>257</v>
      </c>
      <c r="G40" s="180" t="s">
        <v>1050</v>
      </c>
      <c r="H40" s="198">
        <v>2007</v>
      </c>
      <c r="I40" s="180" t="s">
        <v>255</v>
      </c>
      <c r="J40" s="180" t="s">
        <v>166</v>
      </c>
      <c r="K40" s="199">
        <v>736</v>
      </c>
      <c r="L40" s="197"/>
      <c r="N40" s="197"/>
      <c r="O40" s="197"/>
      <c r="P40" s="197"/>
      <c r="Q40" s="197"/>
      <c r="R40" s="197"/>
      <c r="S40" s="197"/>
      <c r="T40" s="197"/>
      <c r="U40" s="197"/>
      <c r="V40" s="203"/>
    </row>
    <row r="41" spans="2:22" ht="15" customHeight="1" x14ac:dyDescent="0.2">
      <c r="B41" s="75" t="s">
        <v>590</v>
      </c>
      <c r="C41" s="75" t="s">
        <v>743</v>
      </c>
      <c r="D41" s="197" t="s">
        <v>295</v>
      </c>
      <c r="E41" s="180" t="s">
        <v>296</v>
      </c>
      <c r="F41" s="197" t="s">
        <v>744</v>
      </c>
      <c r="G41" s="180" t="s">
        <v>826</v>
      </c>
      <c r="H41" s="198">
        <v>2022</v>
      </c>
      <c r="I41" s="180" t="s">
        <v>742</v>
      </c>
      <c r="J41" s="180" t="s">
        <v>166</v>
      </c>
      <c r="K41" s="199">
        <v>1062</v>
      </c>
      <c r="L41" s="197"/>
      <c r="N41" s="197"/>
      <c r="O41" s="197"/>
      <c r="P41" s="197"/>
      <c r="Q41" s="197"/>
      <c r="R41" s="197"/>
      <c r="S41" s="197"/>
      <c r="T41" s="197"/>
      <c r="U41" s="197"/>
      <c r="V41" s="203"/>
    </row>
    <row r="42" spans="2:22" ht="15" customHeight="1" x14ac:dyDescent="0.2">
      <c r="B42" s="75" t="s">
        <v>589</v>
      </c>
      <c r="C42" s="75" t="s">
        <v>530</v>
      </c>
      <c r="D42" s="197" t="s">
        <v>295</v>
      </c>
      <c r="E42" s="180" t="s">
        <v>307</v>
      </c>
      <c r="F42" s="197" t="s">
        <v>531</v>
      </c>
      <c r="G42" s="180" t="s">
        <v>1050</v>
      </c>
      <c r="H42" s="198">
        <v>2012</v>
      </c>
      <c r="I42" s="180" t="s">
        <v>363</v>
      </c>
      <c r="J42" s="180" t="s">
        <v>618</v>
      </c>
      <c r="K42" s="199">
        <v>1440</v>
      </c>
      <c r="L42" s="197"/>
      <c r="N42" s="197"/>
      <c r="O42" s="197"/>
      <c r="P42" s="197"/>
      <c r="Q42" s="197"/>
      <c r="R42" s="197"/>
      <c r="S42" s="197"/>
      <c r="T42" s="197"/>
      <c r="U42" s="197"/>
      <c r="V42" s="203"/>
    </row>
    <row r="43" spans="2:22" ht="15" customHeight="1" x14ac:dyDescent="0.2">
      <c r="B43" s="75" t="s">
        <v>590</v>
      </c>
      <c r="C43" s="75" t="s">
        <v>637</v>
      </c>
      <c r="D43" s="197" t="s">
        <v>242</v>
      </c>
      <c r="E43" s="180" t="s">
        <v>253</v>
      </c>
      <c r="F43" s="197" t="s">
        <v>456</v>
      </c>
      <c r="G43" s="180" t="s">
        <v>826</v>
      </c>
      <c r="H43" s="198">
        <v>2003</v>
      </c>
      <c r="I43" s="180" t="s">
        <v>195</v>
      </c>
      <c r="J43" s="180" t="s">
        <v>166</v>
      </c>
      <c r="K43" s="198">
        <v>660.04</v>
      </c>
      <c r="L43" s="197"/>
      <c r="N43" s="197"/>
      <c r="O43" s="197"/>
      <c r="P43" s="197"/>
      <c r="Q43" s="197"/>
      <c r="R43" s="197"/>
      <c r="S43" s="197"/>
      <c r="T43" s="197"/>
      <c r="U43" s="197"/>
      <c r="V43" s="203"/>
    </row>
    <row r="44" spans="2:22" ht="15" customHeight="1" x14ac:dyDescent="0.2">
      <c r="B44" s="75" t="s">
        <v>589</v>
      </c>
      <c r="C44" s="75" t="s">
        <v>192</v>
      </c>
      <c r="D44" s="197" t="s">
        <v>188</v>
      </c>
      <c r="E44" s="180" t="s">
        <v>193</v>
      </c>
      <c r="F44" s="197" t="s">
        <v>194</v>
      </c>
      <c r="G44" s="180" t="s">
        <v>1050</v>
      </c>
      <c r="H44" s="198">
        <v>2003</v>
      </c>
      <c r="I44" s="180" t="s">
        <v>195</v>
      </c>
      <c r="J44" s="180" t="s">
        <v>0</v>
      </c>
      <c r="K44" s="199">
        <v>1537.69</v>
      </c>
      <c r="L44" s="197"/>
      <c r="N44" s="197"/>
      <c r="O44" s="197"/>
      <c r="P44" s="197"/>
      <c r="Q44" s="197"/>
      <c r="R44" s="197"/>
      <c r="S44" s="197"/>
      <c r="T44" s="197"/>
      <c r="U44" s="197"/>
      <c r="V44" s="203"/>
    </row>
    <row r="45" spans="2:22" ht="15" customHeight="1" x14ac:dyDescent="0.2">
      <c r="B45" s="75" t="s">
        <v>589</v>
      </c>
      <c r="C45" s="75" t="s">
        <v>532</v>
      </c>
      <c r="D45" s="197" t="s">
        <v>295</v>
      </c>
      <c r="E45" s="180" t="s">
        <v>307</v>
      </c>
      <c r="F45" s="197" t="s">
        <v>527</v>
      </c>
      <c r="G45" s="180" t="s">
        <v>1050</v>
      </c>
      <c r="H45" s="198">
        <v>2006</v>
      </c>
      <c r="I45" s="180" t="s">
        <v>250</v>
      </c>
      <c r="J45" s="180" t="s">
        <v>670</v>
      </c>
      <c r="K45" s="198">
        <v>1442.21</v>
      </c>
      <c r="L45" s="197"/>
      <c r="N45" s="197"/>
      <c r="O45" s="197"/>
      <c r="P45" s="197"/>
      <c r="Q45" s="197"/>
      <c r="R45" s="197"/>
      <c r="S45" s="197"/>
      <c r="T45" s="197"/>
      <c r="U45" s="197"/>
      <c r="V45" s="203"/>
    </row>
    <row r="46" spans="2:22" ht="15" customHeight="1" x14ac:dyDescent="0.2">
      <c r="B46" s="75" t="s">
        <v>589</v>
      </c>
      <c r="C46" s="75" t="s">
        <v>453</v>
      </c>
      <c r="D46" s="197" t="s">
        <v>242</v>
      </c>
      <c r="E46" s="180" t="s">
        <v>253</v>
      </c>
      <c r="F46" s="197" t="s">
        <v>454</v>
      </c>
      <c r="G46" s="180" t="s">
        <v>1050</v>
      </c>
      <c r="H46" s="198">
        <v>2010</v>
      </c>
      <c r="I46" s="180" t="s">
        <v>354</v>
      </c>
      <c r="J46" s="180" t="s">
        <v>166</v>
      </c>
      <c r="K46" s="199">
        <v>779.04</v>
      </c>
      <c r="L46" s="197"/>
      <c r="N46" s="197"/>
      <c r="O46" s="197"/>
      <c r="P46" s="197"/>
      <c r="Q46" s="197"/>
      <c r="R46" s="197"/>
      <c r="S46" s="197"/>
      <c r="T46" s="197"/>
      <c r="U46" s="197"/>
      <c r="V46" s="203"/>
    </row>
    <row r="47" spans="2:22" ht="15" customHeight="1" x14ac:dyDescent="0.2">
      <c r="B47" s="75" t="s">
        <v>589</v>
      </c>
      <c r="C47" s="75" t="s">
        <v>325</v>
      </c>
      <c r="D47" s="197" t="s">
        <v>188</v>
      </c>
      <c r="E47" s="180" t="s">
        <v>193</v>
      </c>
      <c r="F47" s="197" t="s">
        <v>194</v>
      </c>
      <c r="G47" s="180" t="s">
        <v>1050</v>
      </c>
      <c r="H47" s="198">
        <v>2008</v>
      </c>
      <c r="I47" s="180" t="s">
        <v>322</v>
      </c>
      <c r="J47" s="180" t="s">
        <v>1092</v>
      </c>
      <c r="K47" s="199">
        <v>755.25</v>
      </c>
      <c r="L47" s="197"/>
      <c r="N47" s="197"/>
      <c r="O47" s="197"/>
      <c r="P47" s="197"/>
      <c r="Q47" s="197"/>
      <c r="R47" s="197"/>
      <c r="S47" s="197"/>
      <c r="T47" s="197"/>
      <c r="U47" s="197"/>
      <c r="V47" s="203"/>
    </row>
    <row r="48" spans="2:22" ht="15" customHeight="1" x14ac:dyDescent="0.2">
      <c r="B48" s="75" t="s">
        <v>589</v>
      </c>
      <c r="C48" s="75" t="s">
        <v>455</v>
      </c>
      <c r="D48" s="197" t="s">
        <v>242</v>
      </c>
      <c r="E48" s="180" t="s">
        <v>253</v>
      </c>
      <c r="F48" s="197" t="s">
        <v>456</v>
      </c>
      <c r="G48" s="180" t="s">
        <v>1050</v>
      </c>
      <c r="H48" s="198">
        <v>2013</v>
      </c>
      <c r="I48" s="180" t="s">
        <v>388</v>
      </c>
      <c r="J48" s="180" t="s">
        <v>166</v>
      </c>
      <c r="K48" s="198">
        <v>1342.85</v>
      </c>
      <c r="L48" s="197"/>
      <c r="N48" s="197"/>
      <c r="O48" s="197"/>
      <c r="P48" s="197"/>
      <c r="Q48" s="197"/>
      <c r="R48" s="197"/>
      <c r="S48" s="197"/>
      <c r="T48" s="197"/>
      <c r="U48" s="197"/>
      <c r="V48" s="203"/>
    </row>
    <row r="49" spans="2:22" ht="15" customHeight="1" x14ac:dyDescent="0.2">
      <c r="B49" s="75" t="s">
        <v>589</v>
      </c>
      <c r="C49" s="75" t="s">
        <v>360</v>
      </c>
      <c r="D49" s="197" t="s">
        <v>203</v>
      </c>
      <c r="E49" s="180" t="s">
        <v>361</v>
      </c>
      <c r="F49" s="197" t="s">
        <v>362</v>
      </c>
      <c r="G49" s="180" t="s">
        <v>1050</v>
      </c>
      <c r="H49" s="198">
        <v>2012</v>
      </c>
      <c r="I49" s="180" t="s">
        <v>363</v>
      </c>
      <c r="J49" s="180" t="s">
        <v>166</v>
      </c>
      <c r="K49" s="199">
        <v>821</v>
      </c>
      <c r="L49" s="197"/>
      <c r="N49" s="197"/>
      <c r="O49" s="197"/>
      <c r="P49" s="197"/>
      <c r="Q49" s="197"/>
      <c r="R49" s="197"/>
      <c r="S49" s="197"/>
      <c r="T49" s="197"/>
      <c r="U49" s="197"/>
      <c r="V49" s="203"/>
    </row>
    <row r="50" spans="2:22" ht="15" customHeight="1" x14ac:dyDescent="0.2">
      <c r="B50" s="75" t="s">
        <v>589</v>
      </c>
      <c r="C50" s="75" t="s">
        <v>457</v>
      </c>
      <c r="D50" s="197" t="s">
        <v>242</v>
      </c>
      <c r="E50" s="180" t="s">
        <v>253</v>
      </c>
      <c r="F50" s="197" t="s">
        <v>458</v>
      </c>
      <c r="G50" s="180" t="s">
        <v>1050</v>
      </c>
      <c r="H50" s="198">
        <v>2010</v>
      </c>
      <c r="I50" s="180" t="s">
        <v>269</v>
      </c>
      <c r="J50" s="180" t="s">
        <v>166</v>
      </c>
      <c r="K50" s="198">
        <v>510</v>
      </c>
      <c r="L50" s="197"/>
      <c r="N50" s="197"/>
      <c r="O50" s="197"/>
      <c r="P50" s="197"/>
      <c r="Q50" s="197"/>
      <c r="R50" s="197"/>
      <c r="S50" s="197"/>
      <c r="T50" s="197"/>
      <c r="U50" s="197"/>
      <c r="V50" s="203"/>
    </row>
    <row r="51" spans="2:22" ht="15" customHeight="1" x14ac:dyDescent="0.2">
      <c r="B51" s="75" t="s">
        <v>589</v>
      </c>
      <c r="C51" s="75" t="s">
        <v>341</v>
      </c>
      <c r="D51" s="197" t="s">
        <v>203</v>
      </c>
      <c r="E51" s="180" t="s">
        <v>204</v>
      </c>
      <c r="F51" s="197" t="s">
        <v>342</v>
      </c>
      <c r="G51" s="180" t="s">
        <v>1050</v>
      </c>
      <c r="H51" s="198">
        <v>2011</v>
      </c>
      <c r="I51" s="180" t="s">
        <v>330</v>
      </c>
      <c r="J51" s="180" t="s">
        <v>166</v>
      </c>
      <c r="K51" s="199">
        <v>652</v>
      </c>
      <c r="L51" s="197"/>
      <c r="N51" s="197"/>
      <c r="O51" s="197"/>
      <c r="P51" s="197"/>
      <c r="Q51" s="197"/>
      <c r="R51" s="197"/>
      <c r="S51" s="197"/>
      <c r="T51" s="197"/>
      <c r="U51" s="197"/>
      <c r="V51" s="203"/>
    </row>
    <row r="52" spans="2:22" ht="15" customHeight="1" x14ac:dyDescent="0.2">
      <c r="B52" s="75" t="s">
        <v>589</v>
      </c>
      <c r="C52" s="75" t="s">
        <v>597</v>
      </c>
      <c r="D52" s="197" t="s">
        <v>295</v>
      </c>
      <c r="E52" s="180" t="s">
        <v>296</v>
      </c>
      <c r="F52" s="197" t="s">
        <v>298</v>
      </c>
      <c r="G52" s="180" t="s">
        <v>1050</v>
      </c>
      <c r="H52" s="198">
        <v>2019</v>
      </c>
      <c r="I52" s="180" t="s">
        <v>4</v>
      </c>
      <c r="J52" s="180" t="s">
        <v>4</v>
      </c>
      <c r="K52" s="199">
        <v>1327</v>
      </c>
      <c r="L52" s="197"/>
      <c r="N52" s="197"/>
      <c r="O52" s="197"/>
      <c r="P52" s="197"/>
      <c r="Q52" s="197"/>
      <c r="R52" s="197"/>
      <c r="S52" s="197"/>
      <c r="T52" s="197"/>
      <c r="U52" s="197"/>
      <c r="V52" s="203"/>
    </row>
    <row r="53" spans="2:22" ht="15" customHeight="1" x14ac:dyDescent="0.2">
      <c r="B53" s="75" t="s">
        <v>589</v>
      </c>
      <c r="C53" s="75" t="s">
        <v>533</v>
      </c>
      <c r="D53" s="197" t="s">
        <v>295</v>
      </c>
      <c r="E53" s="180" t="s">
        <v>307</v>
      </c>
      <c r="F53" s="197" t="s">
        <v>534</v>
      </c>
      <c r="G53" s="180" t="s">
        <v>1050</v>
      </c>
      <c r="H53" s="198">
        <v>2010</v>
      </c>
      <c r="I53" s="180" t="s">
        <v>354</v>
      </c>
      <c r="J53" s="180" t="s">
        <v>670</v>
      </c>
      <c r="K53" s="199">
        <v>1454.47</v>
      </c>
      <c r="L53" s="197"/>
      <c r="N53" s="197"/>
      <c r="O53" s="197"/>
      <c r="P53" s="197"/>
      <c r="Q53" s="197"/>
      <c r="R53" s="197"/>
      <c r="S53" s="197"/>
      <c r="T53" s="197"/>
      <c r="U53" s="197"/>
      <c r="V53" s="203"/>
    </row>
    <row r="54" spans="2:22" ht="15" customHeight="1" x14ac:dyDescent="0.2">
      <c r="B54" s="75" t="s">
        <v>589</v>
      </c>
      <c r="C54" s="75" t="s">
        <v>459</v>
      </c>
      <c r="D54" s="197" t="s">
        <v>242</v>
      </c>
      <c r="E54" s="180" t="s">
        <v>253</v>
      </c>
      <c r="F54" s="197" t="s">
        <v>460</v>
      </c>
      <c r="G54" s="180" t="s">
        <v>1050</v>
      </c>
      <c r="H54" s="198">
        <v>2012</v>
      </c>
      <c r="I54" s="180" t="s">
        <v>363</v>
      </c>
      <c r="J54" s="180" t="s">
        <v>166</v>
      </c>
      <c r="K54" s="198">
        <v>1426.5</v>
      </c>
      <c r="L54" s="197"/>
      <c r="N54" s="197"/>
      <c r="O54" s="197"/>
      <c r="P54" s="197"/>
      <c r="Q54" s="197"/>
      <c r="R54" s="197"/>
      <c r="S54" s="197"/>
      <c r="T54" s="197"/>
      <c r="U54" s="197"/>
      <c r="V54" s="203"/>
    </row>
    <row r="55" spans="2:22" ht="15" customHeight="1" x14ac:dyDescent="0.2">
      <c r="B55" s="75" t="s">
        <v>589</v>
      </c>
      <c r="C55" s="75" t="s">
        <v>252</v>
      </c>
      <c r="D55" s="197" t="s">
        <v>242</v>
      </c>
      <c r="E55" s="180" t="s">
        <v>253</v>
      </c>
      <c r="F55" s="197" t="s">
        <v>254</v>
      </c>
      <c r="G55" s="180" t="s">
        <v>1050</v>
      </c>
      <c r="H55" s="198">
        <v>2007</v>
      </c>
      <c r="I55" s="180" t="s">
        <v>255</v>
      </c>
      <c r="J55" s="180" t="s">
        <v>2</v>
      </c>
      <c r="K55" s="199">
        <v>1487.75</v>
      </c>
      <c r="L55" s="197"/>
      <c r="N55" s="197"/>
      <c r="O55" s="197"/>
      <c r="P55" s="197"/>
      <c r="Q55" s="197"/>
      <c r="R55" s="197"/>
      <c r="S55" s="197"/>
      <c r="T55" s="197"/>
      <c r="U55" s="197"/>
      <c r="V55" s="203"/>
    </row>
    <row r="56" spans="2:22" ht="15" customHeight="1" x14ac:dyDescent="0.2">
      <c r="B56" s="75" t="s">
        <v>590</v>
      </c>
      <c r="C56" s="75" t="s">
        <v>638</v>
      </c>
      <c r="D56" s="197" t="s">
        <v>242</v>
      </c>
      <c r="E56" s="180" t="s">
        <v>253</v>
      </c>
      <c r="F56" s="197" t="s">
        <v>480</v>
      </c>
      <c r="G56" s="180" t="s">
        <v>826</v>
      </c>
      <c r="H56" s="198">
        <v>2012</v>
      </c>
      <c r="I56" s="180" t="s">
        <v>346</v>
      </c>
      <c r="J56" s="180" t="s">
        <v>166</v>
      </c>
      <c r="K56" s="198">
        <v>1019.03</v>
      </c>
      <c r="L56" s="197"/>
      <c r="N56" s="197"/>
      <c r="O56" s="197"/>
      <c r="P56" s="197"/>
      <c r="Q56" s="197"/>
      <c r="R56" s="197"/>
      <c r="S56" s="197"/>
      <c r="T56" s="197"/>
      <c r="U56" s="197"/>
      <c r="V56" s="203"/>
    </row>
    <row r="57" spans="2:22" ht="15" customHeight="1" x14ac:dyDescent="0.2">
      <c r="B57" s="75" t="s">
        <v>590</v>
      </c>
      <c r="C57" s="75" t="s">
        <v>639</v>
      </c>
      <c r="D57" s="197" t="s">
        <v>295</v>
      </c>
      <c r="E57" s="180" t="s">
        <v>296</v>
      </c>
      <c r="F57" s="197" t="s">
        <v>298</v>
      </c>
      <c r="G57" s="180" t="s">
        <v>826</v>
      </c>
      <c r="H57" s="198">
        <v>2012</v>
      </c>
      <c r="I57" s="180" t="s">
        <v>346</v>
      </c>
      <c r="J57" s="180" t="s">
        <v>166</v>
      </c>
      <c r="K57" s="198">
        <v>1386</v>
      </c>
      <c r="L57" s="197"/>
      <c r="N57" s="197"/>
      <c r="O57" s="197"/>
      <c r="P57" s="197"/>
      <c r="Q57" s="197"/>
      <c r="R57" s="197"/>
      <c r="S57" s="197"/>
      <c r="T57" s="197"/>
      <c r="U57" s="197"/>
      <c r="V57" s="203"/>
    </row>
    <row r="58" spans="2:22" ht="15" customHeight="1" x14ac:dyDescent="0.2">
      <c r="B58" s="75" t="s">
        <v>589</v>
      </c>
      <c r="C58" s="75" t="s">
        <v>366</v>
      </c>
      <c r="D58" s="197" t="s">
        <v>203</v>
      </c>
      <c r="E58" s="180" t="s">
        <v>216</v>
      </c>
      <c r="F58" s="197" t="s">
        <v>367</v>
      </c>
      <c r="G58" s="180" t="s">
        <v>1050</v>
      </c>
      <c r="H58" s="198">
        <v>2011</v>
      </c>
      <c r="I58" s="180" t="s">
        <v>250</v>
      </c>
      <c r="J58" s="180" t="s">
        <v>742</v>
      </c>
      <c r="K58" s="199">
        <v>1804</v>
      </c>
      <c r="L58" s="197"/>
      <c r="N58" s="197"/>
      <c r="O58" s="197"/>
      <c r="P58" s="197"/>
      <c r="Q58" s="197"/>
      <c r="R58" s="197"/>
      <c r="S58" s="197"/>
      <c r="T58" s="197"/>
      <c r="U58" s="197"/>
      <c r="V58" s="203"/>
    </row>
    <row r="59" spans="2:22" ht="15" customHeight="1" x14ac:dyDescent="0.2">
      <c r="B59" s="75" t="s">
        <v>589</v>
      </c>
      <c r="C59" s="75" t="s">
        <v>368</v>
      </c>
      <c r="D59" s="197" t="s">
        <v>203</v>
      </c>
      <c r="E59" s="180" t="s">
        <v>216</v>
      </c>
      <c r="F59" s="197" t="s">
        <v>367</v>
      </c>
      <c r="G59" s="180" t="s">
        <v>1050</v>
      </c>
      <c r="H59" s="198">
        <v>2014</v>
      </c>
      <c r="I59" s="180" t="s">
        <v>358</v>
      </c>
      <c r="J59" s="180" t="s">
        <v>718</v>
      </c>
      <c r="K59" s="199">
        <v>2357.35</v>
      </c>
      <c r="L59" s="197"/>
      <c r="N59" s="197"/>
      <c r="O59" s="197"/>
      <c r="P59" s="197"/>
      <c r="Q59" s="197"/>
      <c r="R59" s="197"/>
      <c r="S59" s="197"/>
      <c r="T59" s="197"/>
      <c r="U59" s="197"/>
      <c r="V59" s="203"/>
    </row>
    <row r="60" spans="2:22" ht="15" customHeight="1" x14ac:dyDescent="0.2">
      <c r="B60" s="75" t="s">
        <v>589</v>
      </c>
      <c r="C60" s="75" t="s">
        <v>598</v>
      </c>
      <c r="D60" s="197" t="s">
        <v>242</v>
      </c>
      <c r="E60" s="180" t="s">
        <v>253</v>
      </c>
      <c r="F60" s="197" t="s">
        <v>481</v>
      </c>
      <c r="G60" s="180" t="s">
        <v>1050</v>
      </c>
      <c r="H60" s="198">
        <v>2009</v>
      </c>
      <c r="I60" s="180" t="s">
        <v>265</v>
      </c>
      <c r="J60" s="180" t="s">
        <v>166</v>
      </c>
      <c r="K60" s="199">
        <v>686.65</v>
      </c>
      <c r="L60" s="197"/>
      <c r="N60" s="197"/>
      <c r="O60" s="197"/>
      <c r="P60" s="197"/>
      <c r="Q60" s="197"/>
      <c r="R60" s="197"/>
      <c r="S60" s="197"/>
      <c r="T60" s="197"/>
      <c r="U60" s="197"/>
      <c r="V60" s="203"/>
    </row>
    <row r="61" spans="2:22" ht="15" customHeight="1" x14ac:dyDescent="0.2">
      <c r="B61" s="75" t="s">
        <v>589</v>
      </c>
      <c r="C61" s="75" t="s">
        <v>599</v>
      </c>
      <c r="D61" s="197" t="s">
        <v>203</v>
      </c>
      <c r="E61" s="180" t="s">
        <v>226</v>
      </c>
      <c r="F61" s="197" t="s">
        <v>227</v>
      </c>
      <c r="G61" s="180" t="s">
        <v>1050</v>
      </c>
      <c r="H61" s="198">
        <v>2005</v>
      </c>
      <c r="I61" s="180" t="s">
        <v>228</v>
      </c>
      <c r="J61" s="180" t="s">
        <v>153</v>
      </c>
      <c r="K61" s="199">
        <v>1584</v>
      </c>
      <c r="L61" s="197"/>
      <c r="N61" s="197"/>
      <c r="O61" s="197"/>
      <c r="P61" s="197"/>
      <c r="Q61" s="197"/>
      <c r="R61" s="197"/>
      <c r="S61" s="197"/>
      <c r="T61" s="197"/>
      <c r="U61" s="197"/>
      <c r="V61" s="203"/>
    </row>
    <row r="62" spans="2:22" ht="15" customHeight="1" x14ac:dyDescent="0.2">
      <c r="B62" s="75" t="s">
        <v>589</v>
      </c>
      <c r="C62" s="75" t="s">
        <v>406</v>
      </c>
      <c r="D62" s="197" t="s">
        <v>242</v>
      </c>
      <c r="E62" s="180" t="s">
        <v>243</v>
      </c>
      <c r="F62" s="197" t="s">
        <v>244</v>
      </c>
      <c r="G62" s="180" t="s">
        <v>1050</v>
      </c>
      <c r="H62" s="198">
        <v>2010</v>
      </c>
      <c r="I62" s="180" t="s">
        <v>269</v>
      </c>
      <c r="J62" s="180" t="s">
        <v>670</v>
      </c>
      <c r="K62" s="199">
        <v>1225</v>
      </c>
      <c r="L62" s="197"/>
      <c r="N62" s="197"/>
      <c r="O62" s="197"/>
      <c r="P62" s="197"/>
      <c r="Q62" s="197"/>
      <c r="R62" s="197"/>
      <c r="S62" s="197"/>
      <c r="T62" s="197"/>
      <c r="U62" s="197"/>
      <c r="V62" s="203"/>
    </row>
    <row r="63" spans="2:22" ht="15" customHeight="1" x14ac:dyDescent="0.2">
      <c r="B63" s="75" t="s">
        <v>589</v>
      </c>
      <c r="C63" s="75" t="s">
        <v>461</v>
      </c>
      <c r="D63" s="197" t="s">
        <v>242</v>
      </c>
      <c r="E63" s="180" t="s">
        <v>253</v>
      </c>
      <c r="F63" s="197" t="s">
        <v>462</v>
      </c>
      <c r="G63" s="180" t="s">
        <v>1050</v>
      </c>
      <c r="H63" s="198">
        <v>2013</v>
      </c>
      <c r="I63" s="180" t="s">
        <v>388</v>
      </c>
      <c r="J63" s="180" t="s">
        <v>166</v>
      </c>
      <c r="K63" s="199">
        <v>852.4</v>
      </c>
      <c r="L63" s="197"/>
      <c r="N63" s="197"/>
      <c r="O63" s="197"/>
      <c r="P63" s="197"/>
      <c r="Q63" s="197"/>
      <c r="R63" s="197"/>
      <c r="S63" s="197"/>
      <c r="T63" s="197"/>
      <c r="U63" s="197"/>
      <c r="V63" s="203"/>
    </row>
    <row r="64" spans="2:22" ht="15" customHeight="1" x14ac:dyDescent="0.2">
      <c r="B64" s="75" t="s">
        <v>589</v>
      </c>
      <c r="C64" s="75" t="s">
        <v>407</v>
      </c>
      <c r="D64" s="197" t="s">
        <v>242</v>
      </c>
      <c r="E64" s="180" t="s">
        <v>243</v>
      </c>
      <c r="F64" s="197" t="s">
        <v>408</v>
      </c>
      <c r="G64" s="180" t="s">
        <v>1050</v>
      </c>
      <c r="H64" s="198">
        <v>2012</v>
      </c>
      <c r="I64" s="180" t="s">
        <v>352</v>
      </c>
      <c r="J64" s="180" t="s">
        <v>166</v>
      </c>
      <c r="K64" s="199">
        <v>823.5</v>
      </c>
      <c r="L64" s="197"/>
      <c r="N64" s="197"/>
      <c r="O64" s="197"/>
      <c r="P64" s="197"/>
      <c r="Q64" s="197"/>
      <c r="R64" s="197"/>
      <c r="S64" s="197"/>
      <c r="T64" s="197"/>
      <c r="U64" s="197"/>
      <c r="V64" s="203"/>
    </row>
    <row r="65" spans="2:22" ht="15" customHeight="1" x14ac:dyDescent="0.2">
      <c r="B65" s="75" t="s">
        <v>589</v>
      </c>
      <c r="C65" s="75" t="s">
        <v>256</v>
      </c>
      <c r="D65" s="197" t="s">
        <v>242</v>
      </c>
      <c r="E65" s="180" t="s">
        <v>253</v>
      </c>
      <c r="F65" s="197" t="s">
        <v>257</v>
      </c>
      <c r="G65" s="180" t="s">
        <v>1050</v>
      </c>
      <c r="H65" s="198">
        <v>2012</v>
      </c>
      <c r="I65" s="180" t="s">
        <v>258</v>
      </c>
      <c r="J65" s="180" t="s">
        <v>8</v>
      </c>
      <c r="K65" s="198">
        <v>1568.84</v>
      </c>
      <c r="L65" s="197"/>
      <c r="N65" s="197"/>
      <c r="O65" s="197"/>
      <c r="P65" s="197"/>
      <c r="Q65" s="197"/>
      <c r="R65" s="197"/>
      <c r="S65" s="197"/>
      <c r="T65" s="197"/>
      <c r="U65" s="197"/>
      <c r="V65" s="203"/>
    </row>
    <row r="66" spans="2:22" ht="15" customHeight="1" x14ac:dyDescent="0.2">
      <c r="B66" s="75" t="s">
        <v>589</v>
      </c>
      <c r="C66" s="75" t="s">
        <v>463</v>
      </c>
      <c r="D66" s="197" t="s">
        <v>242</v>
      </c>
      <c r="E66" s="180" t="s">
        <v>253</v>
      </c>
      <c r="F66" s="197" t="s">
        <v>257</v>
      </c>
      <c r="G66" s="180" t="s">
        <v>1050</v>
      </c>
      <c r="H66" s="198">
        <v>2000</v>
      </c>
      <c r="I66" s="180" t="s">
        <v>464</v>
      </c>
      <c r="J66" s="180" t="s">
        <v>893</v>
      </c>
      <c r="K66" s="199">
        <v>450</v>
      </c>
      <c r="L66" s="197"/>
      <c r="N66" s="197"/>
      <c r="O66" s="197"/>
      <c r="P66" s="197"/>
      <c r="Q66" s="197"/>
      <c r="R66" s="197"/>
      <c r="S66" s="197"/>
      <c r="T66" s="197"/>
      <c r="U66" s="197"/>
      <c r="V66" s="203"/>
    </row>
    <row r="67" spans="2:22" ht="15" customHeight="1" x14ac:dyDescent="0.2">
      <c r="B67" s="75" t="s">
        <v>589</v>
      </c>
      <c r="C67" s="75" t="s">
        <v>311</v>
      </c>
      <c r="D67" s="197" t="s">
        <v>295</v>
      </c>
      <c r="E67" s="180" t="s">
        <v>307</v>
      </c>
      <c r="F67" s="197" t="s">
        <v>640</v>
      </c>
      <c r="G67" s="180" t="s">
        <v>1050</v>
      </c>
      <c r="H67" s="198">
        <v>2019</v>
      </c>
      <c r="I67" s="180" t="s">
        <v>2</v>
      </c>
      <c r="J67" s="180" t="s">
        <v>2</v>
      </c>
      <c r="K67" s="199">
        <v>1004.79</v>
      </c>
      <c r="L67" s="197"/>
      <c r="N67" s="197"/>
      <c r="O67" s="197"/>
      <c r="P67" s="197"/>
      <c r="Q67" s="197"/>
      <c r="R67" s="197"/>
      <c r="S67" s="197"/>
      <c r="T67" s="197"/>
      <c r="U67" s="197"/>
      <c r="V67" s="203"/>
    </row>
    <row r="68" spans="2:22" ht="15" customHeight="1" x14ac:dyDescent="0.2">
      <c r="B68" s="75" t="s">
        <v>589</v>
      </c>
      <c r="C68" s="75" t="s">
        <v>377</v>
      </c>
      <c r="D68" s="197" t="s">
        <v>203</v>
      </c>
      <c r="E68" s="180" t="s">
        <v>226</v>
      </c>
      <c r="F68" s="197" t="s">
        <v>227</v>
      </c>
      <c r="G68" s="180" t="s">
        <v>1050</v>
      </c>
      <c r="H68" s="198">
        <v>2013</v>
      </c>
      <c r="I68" s="180" t="s">
        <v>356</v>
      </c>
      <c r="J68" s="180" t="s">
        <v>166</v>
      </c>
      <c r="K68" s="199">
        <v>627.71</v>
      </c>
      <c r="L68" s="197"/>
      <c r="N68" s="197"/>
      <c r="O68" s="197"/>
      <c r="P68" s="197"/>
      <c r="Q68" s="197"/>
      <c r="R68" s="197"/>
      <c r="S68" s="197"/>
      <c r="T68" s="197"/>
      <c r="U68" s="197"/>
      <c r="V68" s="203"/>
    </row>
    <row r="69" spans="2:22" ht="15" customHeight="1" x14ac:dyDescent="0.2">
      <c r="B69" s="75" t="s">
        <v>589</v>
      </c>
      <c r="C69" s="75" t="s">
        <v>353</v>
      </c>
      <c r="D69" s="197" t="s">
        <v>203</v>
      </c>
      <c r="E69" s="180" t="s">
        <v>211</v>
      </c>
      <c r="F69" s="197" t="s">
        <v>212</v>
      </c>
      <c r="G69" s="180" t="s">
        <v>1050</v>
      </c>
      <c r="H69" s="198">
        <v>2009</v>
      </c>
      <c r="I69" s="180" t="s">
        <v>265</v>
      </c>
      <c r="J69" s="180" t="s">
        <v>1092</v>
      </c>
      <c r="K69" s="198">
        <v>1830.65</v>
      </c>
      <c r="L69" s="197"/>
      <c r="N69" s="197"/>
      <c r="O69" s="197"/>
      <c r="P69" s="197"/>
      <c r="Q69" s="197"/>
      <c r="R69" s="197"/>
      <c r="S69" s="197"/>
      <c r="T69" s="197"/>
      <c r="U69" s="197"/>
      <c r="V69" s="203"/>
    </row>
    <row r="70" spans="2:22" ht="15" customHeight="1" x14ac:dyDescent="0.2">
      <c r="B70" s="75" t="s">
        <v>589</v>
      </c>
      <c r="C70" s="75" t="s">
        <v>430</v>
      </c>
      <c r="D70" s="197" t="s">
        <v>242</v>
      </c>
      <c r="E70" s="180" t="s">
        <v>246</v>
      </c>
      <c r="F70" s="197" t="s">
        <v>247</v>
      </c>
      <c r="G70" s="180" t="s">
        <v>1050</v>
      </c>
      <c r="H70" s="198">
        <v>2008</v>
      </c>
      <c r="I70" s="180" t="s">
        <v>322</v>
      </c>
      <c r="J70" s="180" t="s">
        <v>618</v>
      </c>
      <c r="K70" s="199">
        <v>1049</v>
      </c>
      <c r="L70" s="197"/>
      <c r="N70" s="197"/>
      <c r="O70" s="197"/>
      <c r="P70" s="197"/>
      <c r="Q70" s="197"/>
      <c r="R70" s="197"/>
      <c r="S70" s="197"/>
      <c r="T70" s="197"/>
      <c r="U70" s="197"/>
      <c r="V70" s="203"/>
    </row>
    <row r="71" spans="2:22" ht="15" customHeight="1" x14ac:dyDescent="0.2">
      <c r="B71" s="75" t="s">
        <v>589</v>
      </c>
      <c r="C71" s="75" t="s">
        <v>210</v>
      </c>
      <c r="D71" s="197" t="s">
        <v>203</v>
      </c>
      <c r="E71" s="180" t="s">
        <v>211</v>
      </c>
      <c r="F71" s="197" t="s">
        <v>212</v>
      </c>
      <c r="G71" s="180" t="s">
        <v>1050</v>
      </c>
      <c r="H71" s="198">
        <v>2019</v>
      </c>
      <c r="I71" s="180" t="s">
        <v>3</v>
      </c>
      <c r="J71" s="180" t="s">
        <v>3</v>
      </c>
      <c r="K71" s="199">
        <v>991</v>
      </c>
      <c r="L71" s="197"/>
      <c r="N71" s="197"/>
      <c r="O71" s="197"/>
      <c r="P71" s="197"/>
      <c r="Q71" s="197"/>
      <c r="R71" s="197"/>
      <c r="S71" s="197"/>
      <c r="T71" s="197"/>
      <c r="U71" s="197"/>
      <c r="V71" s="203"/>
    </row>
    <row r="72" spans="2:22" ht="15" customHeight="1" x14ac:dyDescent="0.2">
      <c r="B72" s="75" t="s">
        <v>589</v>
      </c>
      <c r="C72" s="75" t="s">
        <v>259</v>
      </c>
      <c r="D72" s="197" t="s">
        <v>242</v>
      </c>
      <c r="E72" s="180" t="s">
        <v>253</v>
      </c>
      <c r="F72" s="197" t="s">
        <v>260</v>
      </c>
      <c r="G72" s="180" t="s">
        <v>1050</v>
      </c>
      <c r="H72" s="198">
        <v>2008</v>
      </c>
      <c r="I72" s="180" t="s">
        <v>261</v>
      </c>
      <c r="J72" s="180" t="s">
        <v>153</v>
      </c>
      <c r="K72" s="198">
        <v>1586</v>
      </c>
      <c r="L72" s="197"/>
      <c r="N72" s="197"/>
      <c r="O72" s="197"/>
      <c r="P72" s="197"/>
      <c r="Q72" s="197"/>
      <c r="R72" s="197"/>
      <c r="S72" s="197"/>
      <c r="T72" s="197"/>
      <c r="U72" s="197"/>
      <c r="V72" s="203"/>
    </row>
    <row r="73" spans="2:22" ht="15" customHeight="1" x14ac:dyDescent="0.2">
      <c r="B73" s="75" t="s">
        <v>589</v>
      </c>
      <c r="C73" s="75" t="s">
        <v>600</v>
      </c>
      <c r="D73" s="197" t="s">
        <v>242</v>
      </c>
      <c r="E73" s="180" t="s">
        <v>243</v>
      </c>
      <c r="F73" s="197" t="s">
        <v>401</v>
      </c>
      <c r="G73" s="180" t="s">
        <v>1050</v>
      </c>
      <c r="H73" s="198">
        <v>2009</v>
      </c>
      <c r="I73" s="180" t="s">
        <v>265</v>
      </c>
      <c r="J73" s="180" t="s">
        <v>166</v>
      </c>
      <c r="K73" s="199">
        <v>724</v>
      </c>
      <c r="L73" s="197"/>
      <c r="N73" s="197"/>
      <c r="O73" s="197"/>
      <c r="P73" s="197"/>
      <c r="Q73" s="197"/>
      <c r="R73" s="197"/>
      <c r="S73" s="197"/>
      <c r="T73" s="197"/>
      <c r="U73" s="197"/>
      <c r="V73" s="203"/>
    </row>
    <row r="74" spans="2:22" ht="15" customHeight="1" x14ac:dyDescent="0.2">
      <c r="B74" s="75" t="s">
        <v>590</v>
      </c>
      <c r="C74" s="75" t="s">
        <v>572</v>
      </c>
      <c r="D74" s="197" t="s">
        <v>203</v>
      </c>
      <c r="E74" s="180" t="s">
        <v>204</v>
      </c>
      <c r="F74" s="197" t="s">
        <v>205</v>
      </c>
      <c r="G74" s="180" t="s">
        <v>826</v>
      </c>
      <c r="H74" s="198">
        <v>2013</v>
      </c>
      <c r="I74" s="180" t="s">
        <v>356</v>
      </c>
      <c r="J74" s="180" t="s">
        <v>166</v>
      </c>
      <c r="K74" s="198">
        <v>1012</v>
      </c>
      <c r="L74" s="197"/>
      <c r="N74" s="197"/>
      <c r="O74" s="197"/>
      <c r="P74" s="197"/>
      <c r="Q74" s="197"/>
      <c r="R74" s="197"/>
      <c r="S74" s="197"/>
      <c r="T74" s="197"/>
      <c r="U74" s="197"/>
      <c r="V74" s="203"/>
    </row>
    <row r="75" spans="2:22" ht="15" customHeight="1" x14ac:dyDescent="0.2">
      <c r="B75" s="75" t="s">
        <v>590</v>
      </c>
      <c r="C75" s="75" t="s">
        <v>563</v>
      </c>
      <c r="D75" s="197" t="s">
        <v>242</v>
      </c>
      <c r="E75" s="180" t="s">
        <v>246</v>
      </c>
      <c r="F75" s="197" t="s">
        <v>641</v>
      </c>
      <c r="G75" s="180" t="s">
        <v>826</v>
      </c>
      <c r="H75" s="198">
        <v>2015</v>
      </c>
      <c r="I75" s="180" t="s">
        <v>332</v>
      </c>
      <c r="J75" s="180" t="s">
        <v>166</v>
      </c>
      <c r="K75" s="199">
        <v>1363.11</v>
      </c>
      <c r="L75" s="197"/>
      <c r="N75" s="197"/>
      <c r="O75" s="197"/>
      <c r="P75" s="197"/>
      <c r="Q75" s="197"/>
      <c r="R75" s="197"/>
      <c r="S75" s="197"/>
      <c r="T75" s="197"/>
      <c r="U75" s="197"/>
      <c r="V75" s="203"/>
    </row>
    <row r="76" spans="2:22" ht="15" customHeight="1" x14ac:dyDescent="0.2">
      <c r="B76" s="75" t="s">
        <v>590</v>
      </c>
      <c r="C76" s="75" t="s">
        <v>560</v>
      </c>
      <c r="D76" s="197" t="s">
        <v>242</v>
      </c>
      <c r="E76" s="180" t="s">
        <v>253</v>
      </c>
      <c r="F76" s="197" t="s">
        <v>568</v>
      </c>
      <c r="G76" s="180" t="s">
        <v>826</v>
      </c>
      <c r="H76" s="198">
        <v>2009</v>
      </c>
      <c r="I76" s="180" t="s">
        <v>287</v>
      </c>
      <c r="J76" s="180" t="s">
        <v>1007</v>
      </c>
      <c r="K76" s="199">
        <v>1241</v>
      </c>
      <c r="L76" s="197"/>
      <c r="N76" s="197"/>
      <c r="O76" s="197"/>
      <c r="P76" s="197"/>
      <c r="Q76" s="197"/>
      <c r="R76" s="197"/>
      <c r="S76" s="197"/>
      <c r="T76" s="197"/>
      <c r="U76" s="197"/>
      <c r="V76" s="203"/>
    </row>
    <row r="77" spans="2:22" ht="15" customHeight="1" x14ac:dyDescent="0.2">
      <c r="B77" s="75" t="s">
        <v>590</v>
      </c>
      <c r="C77" s="75" t="s">
        <v>642</v>
      </c>
      <c r="D77" s="197" t="s">
        <v>203</v>
      </c>
      <c r="E77" s="180" t="s">
        <v>211</v>
      </c>
      <c r="F77" s="197" t="s">
        <v>571</v>
      </c>
      <c r="G77" s="180" t="s">
        <v>826</v>
      </c>
      <c r="H77" s="198">
        <v>2014</v>
      </c>
      <c r="I77" s="180" t="s">
        <v>336</v>
      </c>
      <c r="J77" s="180" t="s">
        <v>166</v>
      </c>
      <c r="K77" s="199">
        <v>1348.26</v>
      </c>
      <c r="L77" s="197"/>
      <c r="N77" s="197"/>
      <c r="O77" s="197"/>
      <c r="P77" s="197"/>
      <c r="Q77" s="197"/>
      <c r="R77" s="197"/>
      <c r="S77" s="197"/>
      <c r="T77" s="197"/>
      <c r="U77" s="197"/>
      <c r="V77" s="203"/>
    </row>
    <row r="78" spans="2:22" ht="15" customHeight="1" x14ac:dyDescent="0.2">
      <c r="B78" s="75" t="s">
        <v>590</v>
      </c>
      <c r="C78" s="75" t="s">
        <v>643</v>
      </c>
      <c r="D78" s="197" t="s">
        <v>188</v>
      </c>
      <c r="E78" s="180" t="s">
        <v>193</v>
      </c>
      <c r="F78" s="197" t="s">
        <v>570</v>
      </c>
      <c r="G78" s="180" t="s">
        <v>826</v>
      </c>
      <c r="H78" s="198">
        <v>2012</v>
      </c>
      <c r="I78" s="180" t="s">
        <v>346</v>
      </c>
      <c r="J78" s="180" t="s">
        <v>166</v>
      </c>
      <c r="K78" s="199">
        <v>925.36</v>
      </c>
      <c r="L78" s="197"/>
      <c r="N78" s="197"/>
      <c r="O78" s="197"/>
      <c r="P78" s="197"/>
      <c r="Q78" s="197"/>
      <c r="R78" s="197"/>
      <c r="S78" s="197"/>
      <c r="T78" s="197"/>
      <c r="U78" s="197"/>
      <c r="V78" s="203"/>
    </row>
    <row r="79" spans="2:22" ht="15" customHeight="1" x14ac:dyDescent="0.2">
      <c r="B79" s="75" t="s">
        <v>590</v>
      </c>
      <c r="C79" s="75" t="s">
        <v>561</v>
      </c>
      <c r="D79" s="197" t="s">
        <v>242</v>
      </c>
      <c r="E79" s="180" t="s">
        <v>253</v>
      </c>
      <c r="F79" s="197" t="s">
        <v>569</v>
      </c>
      <c r="G79" s="180" t="s">
        <v>826</v>
      </c>
      <c r="H79" s="198">
        <v>2020</v>
      </c>
      <c r="I79" s="180" t="s">
        <v>551</v>
      </c>
      <c r="J79" s="180" t="s">
        <v>166</v>
      </c>
      <c r="K79" s="199">
        <v>1217.6199999999999</v>
      </c>
      <c r="L79" s="197"/>
      <c r="N79" s="197"/>
      <c r="O79" s="197"/>
      <c r="P79" s="197"/>
      <c r="Q79" s="197"/>
      <c r="R79" s="197"/>
      <c r="S79" s="197"/>
      <c r="T79" s="197"/>
      <c r="U79" s="197"/>
      <c r="V79" s="203"/>
    </row>
    <row r="80" spans="2:22" ht="15" customHeight="1" x14ac:dyDescent="0.2">
      <c r="B80" s="75" t="s">
        <v>589</v>
      </c>
      <c r="C80" s="75" t="s">
        <v>331</v>
      </c>
      <c r="D80" s="197" t="s">
        <v>188</v>
      </c>
      <c r="E80" s="180" t="s">
        <v>200</v>
      </c>
      <c r="F80" s="197" t="s">
        <v>201</v>
      </c>
      <c r="G80" s="180" t="s">
        <v>1050</v>
      </c>
      <c r="H80" s="198">
        <v>2015</v>
      </c>
      <c r="I80" s="180" t="s">
        <v>332</v>
      </c>
      <c r="J80" s="180" t="s">
        <v>166</v>
      </c>
      <c r="K80" s="199">
        <v>1464.71</v>
      </c>
      <c r="L80" s="197"/>
      <c r="N80" s="197"/>
      <c r="O80" s="197"/>
      <c r="P80" s="197"/>
      <c r="Q80" s="197"/>
      <c r="R80" s="197"/>
      <c r="S80" s="197"/>
      <c r="T80" s="197"/>
      <c r="U80" s="197"/>
      <c r="V80" s="203"/>
    </row>
    <row r="81" spans="2:22" ht="15" customHeight="1" x14ac:dyDescent="0.2">
      <c r="B81" s="75" t="s">
        <v>589</v>
      </c>
      <c r="C81" s="75" t="s">
        <v>303</v>
      </c>
      <c r="D81" s="197" t="s">
        <v>295</v>
      </c>
      <c r="E81" s="180" t="s">
        <v>301</v>
      </c>
      <c r="F81" s="197" t="s">
        <v>304</v>
      </c>
      <c r="G81" s="180" t="s">
        <v>1050</v>
      </c>
      <c r="H81" s="198">
        <v>2017</v>
      </c>
      <c r="I81" s="180" t="s">
        <v>10</v>
      </c>
      <c r="J81" s="180" t="s">
        <v>10</v>
      </c>
      <c r="K81" s="198">
        <v>1029.07</v>
      </c>
      <c r="L81" s="197"/>
      <c r="N81" s="197"/>
      <c r="O81" s="197"/>
      <c r="P81" s="197"/>
      <c r="Q81" s="197"/>
      <c r="R81" s="197"/>
      <c r="S81" s="197"/>
      <c r="T81" s="197"/>
      <c r="U81" s="197"/>
      <c r="V81" s="203"/>
    </row>
    <row r="82" spans="2:22" ht="15" customHeight="1" x14ac:dyDescent="0.2">
      <c r="B82" s="75" t="s">
        <v>589</v>
      </c>
      <c r="C82" s="75" t="s">
        <v>385</v>
      </c>
      <c r="D82" s="197" t="s">
        <v>234</v>
      </c>
      <c r="E82" s="180" t="s">
        <v>235</v>
      </c>
      <c r="F82" s="197" t="s">
        <v>236</v>
      </c>
      <c r="G82" s="180" t="s">
        <v>1050</v>
      </c>
      <c r="H82" s="198">
        <v>2012</v>
      </c>
      <c r="I82" s="180" t="s">
        <v>352</v>
      </c>
      <c r="J82" s="180" t="s">
        <v>166</v>
      </c>
      <c r="K82" s="199">
        <v>801.65</v>
      </c>
      <c r="L82" s="197"/>
      <c r="N82" s="197"/>
      <c r="O82" s="197"/>
      <c r="P82" s="197"/>
      <c r="Q82" s="197"/>
      <c r="R82" s="197"/>
      <c r="S82" s="197"/>
      <c r="T82" s="197"/>
      <c r="U82" s="197"/>
      <c r="V82" s="203"/>
    </row>
    <row r="83" spans="2:22" ht="15" customHeight="1" x14ac:dyDescent="0.2">
      <c r="B83" s="75" t="s">
        <v>589</v>
      </c>
      <c r="C83" s="75" t="s">
        <v>187</v>
      </c>
      <c r="D83" s="197" t="s">
        <v>188</v>
      </c>
      <c r="E83" s="180" t="s">
        <v>189</v>
      </c>
      <c r="F83" s="197" t="s">
        <v>190</v>
      </c>
      <c r="G83" s="180" t="s">
        <v>1050</v>
      </c>
      <c r="H83" s="198">
        <v>1997</v>
      </c>
      <c r="I83" s="180" t="s">
        <v>191</v>
      </c>
      <c r="J83" s="180" t="s">
        <v>3</v>
      </c>
      <c r="K83" s="199">
        <v>1310</v>
      </c>
      <c r="L83" s="197"/>
      <c r="N83" s="197"/>
      <c r="O83" s="197"/>
      <c r="P83" s="197"/>
      <c r="Q83" s="197"/>
      <c r="R83" s="197"/>
      <c r="S83" s="197"/>
      <c r="T83" s="197"/>
      <c r="U83" s="197"/>
      <c r="V83" s="203"/>
    </row>
    <row r="84" spans="2:22" ht="15" customHeight="1" x14ac:dyDescent="0.2">
      <c r="B84" s="75" t="s">
        <v>589</v>
      </c>
      <c r="C84" s="75" t="s">
        <v>431</v>
      </c>
      <c r="D84" s="197" t="s">
        <v>242</v>
      </c>
      <c r="E84" s="180" t="s">
        <v>246</v>
      </c>
      <c r="F84" s="197" t="s">
        <v>247</v>
      </c>
      <c r="G84" s="180" t="s">
        <v>1050</v>
      </c>
      <c r="H84" s="198">
        <v>2013</v>
      </c>
      <c r="I84" s="180" t="s">
        <v>429</v>
      </c>
      <c r="J84" s="180" t="s">
        <v>166</v>
      </c>
      <c r="K84" s="199">
        <v>1026.8900000000001</v>
      </c>
      <c r="L84" s="197"/>
      <c r="N84" s="197"/>
      <c r="O84" s="197"/>
      <c r="P84" s="197"/>
      <c r="Q84" s="197"/>
      <c r="R84" s="197"/>
      <c r="S84" s="197"/>
      <c r="T84" s="197"/>
      <c r="U84" s="197"/>
      <c r="V84" s="203"/>
    </row>
    <row r="85" spans="2:22" ht="15" customHeight="1" x14ac:dyDescent="0.2">
      <c r="B85" s="75" t="s">
        <v>589</v>
      </c>
      <c r="C85" s="75" t="s">
        <v>262</v>
      </c>
      <c r="D85" s="197" t="s">
        <v>242</v>
      </c>
      <c r="E85" s="180" t="s">
        <v>253</v>
      </c>
      <c r="F85" s="197" t="s">
        <v>263</v>
      </c>
      <c r="G85" s="180" t="s">
        <v>1050</v>
      </c>
      <c r="H85" s="198">
        <v>2011</v>
      </c>
      <c r="I85" s="180" t="s">
        <v>258</v>
      </c>
      <c r="J85" s="180" t="s">
        <v>8</v>
      </c>
      <c r="K85" s="199">
        <v>1004.39</v>
      </c>
      <c r="L85" s="197"/>
      <c r="N85" s="197"/>
      <c r="O85" s="197"/>
      <c r="P85" s="197"/>
      <c r="Q85" s="197"/>
      <c r="R85" s="197"/>
      <c r="S85" s="197"/>
      <c r="T85" s="197"/>
      <c r="U85" s="197"/>
      <c r="V85" s="203"/>
    </row>
    <row r="86" spans="2:22" ht="15" customHeight="1" x14ac:dyDescent="0.2">
      <c r="B86" s="75" t="s">
        <v>589</v>
      </c>
      <c r="C86" s="75" t="s">
        <v>208</v>
      </c>
      <c r="D86" s="197" t="s">
        <v>203</v>
      </c>
      <c r="E86" s="180" t="s">
        <v>204</v>
      </c>
      <c r="F86" s="197" t="s">
        <v>209</v>
      </c>
      <c r="G86" s="180" t="s">
        <v>1050</v>
      </c>
      <c r="H86" s="198">
        <v>2020</v>
      </c>
      <c r="I86" s="180" t="s">
        <v>1</v>
      </c>
      <c r="J86" s="180" t="s">
        <v>1</v>
      </c>
      <c r="K86" s="199">
        <v>1003</v>
      </c>
      <c r="L86" s="197"/>
      <c r="N86" s="197"/>
      <c r="O86" s="197"/>
      <c r="P86" s="197"/>
      <c r="Q86" s="197"/>
      <c r="R86" s="197"/>
      <c r="S86" s="197"/>
      <c r="T86" s="197"/>
      <c r="U86" s="197"/>
      <c r="V86" s="203"/>
    </row>
    <row r="87" spans="2:22" ht="15" customHeight="1" x14ac:dyDescent="0.2">
      <c r="B87" s="75" t="s">
        <v>589</v>
      </c>
      <c r="C87" s="75" t="s">
        <v>465</v>
      </c>
      <c r="D87" s="197" t="s">
        <v>242</v>
      </c>
      <c r="E87" s="180" t="s">
        <v>253</v>
      </c>
      <c r="F87" s="197" t="s">
        <v>466</v>
      </c>
      <c r="G87" s="180" t="s">
        <v>1050</v>
      </c>
      <c r="H87" s="198">
        <v>2012</v>
      </c>
      <c r="I87" s="180" t="s">
        <v>397</v>
      </c>
      <c r="J87" s="180" t="s">
        <v>166</v>
      </c>
      <c r="K87" s="198">
        <v>784.07</v>
      </c>
      <c r="L87" s="197"/>
      <c r="N87" s="197"/>
      <c r="O87" s="197"/>
      <c r="P87" s="197"/>
      <c r="Q87" s="197"/>
      <c r="R87" s="197"/>
      <c r="S87" s="197"/>
      <c r="T87" s="197"/>
      <c r="U87" s="197"/>
      <c r="V87" s="203"/>
    </row>
    <row r="88" spans="2:22" ht="15" customHeight="1" x14ac:dyDescent="0.2">
      <c r="B88" s="75" t="s">
        <v>589</v>
      </c>
      <c r="C88" s="75" t="s">
        <v>337</v>
      </c>
      <c r="D88" s="197" t="s">
        <v>203</v>
      </c>
      <c r="E88" s="180" t="s">
        <v>334</v>
      </c>
      <c r="F88" s="197" t="s">
        <v>338</v>
      </c>
      <c r="G88" s="180" t="s">
        <v>1050</v>
      </c>
      <c r="H88" s="198">
        <v>2014</v>
      </c>
      <c r="I88" s="180" t="s">
        <v>336</v>
      </c>
      <c r="J88" s="180" t="s">
        <v>703</v>
      </c>
      <c r="K88" s="199">
        <v>1916</v>
      </c>
      <c r="L88" s="197"/>
      <c r="N88" s="197"/>
      <c r="O88" s="197"/>
      <c r="P88" s="197"/>
      <c r="Q88" s="197"/>
      <c r="R88" s="197"/>
      <c r="S88" s="197"/>
      <c r="T88" s="197"/>
      <c r="U88" s="197"/>
      <c r="V88" s="203"/>
    </row>
    <row r="89" spans="2:22" ht="15" customHeight="1" x14ac:dyDescent="0.2">
      <c r="B89" s="75" t="s">
        <v>589</v>
      </c>
      <c r="C89" s="75" t="s">
        <v>644</v>
      </c>
      <c r="D89" s="197" t="s">
        <v>242</v>
      </c>
      <c r="E89" s="180" t="s">
        <v>253</v>
      </c>
      <c r="F89" s="197" t="s">
        <v>279</v>
      </c>
      <c r="G89" s="180" t="s">
        <v>1050</v>
      </c>
      <c r="H89" s="198">
        <v>2021</v>
      </c>
      <c r="I89" s="180" t="s">
        <v>630</v>
      </c>
      <c r="J89" s="180" t="s">
        <v>630</v>
      </c>
      <c r="K89" s="198">
        <v>1006</v>
      </c>
      <c r="L89" s="197"/>
      <c r="N89" s="197"/>
      <c r="O89" s="197"/>
      <c r="P89" s="197"/>
      <c r="Q89" s="197"/>
      <c r="R89" s="197"/>
      <c r="S89" s="197"/>
      <c r="T89" s="197"/>
      <c r="U89" s="197"/>
      <c r="V89" s="203"/>
    </row>
    <row r="90" spans="2:22" ht="15" customHeight="1" x14ac:dyDescent="0.2">
      <c r="B90" s="75" t="s">
        <v>589</v>
      </c>
      <c r="C90" s="75" t="s">
        <v>215</v>
      </c>
      <c r="D90" s="197" t="s">
        <v>203</v>
      </c>
      <c r="E90" s="180" t="s">
        <v>216</v>
      </c>
      <c r="F90" s="197" t="s">
        <v>645</v>
      </c>
      <c r="G90" s="180" t="s">
        <v>1050</v>
      </c>
      <c r="H90" s="198">
        <v>2019</v>
      </c>
      <c r="I90" s="180" t="s">
        <v>2</v>
      </c>
      <c r="J90" s="180" t="s">
        <v>2</v>
      </c>
      <c r="K90" s="198">
        <v>962</v>
      </c>
      <c r="L90" s="197"/>
      <c r="N90" s="197"/>
      <c r="O90" s="197"/>
      <c r="P90" s="197"/>
      <c r="Q90" s="197"/>
      <c r="R90" s="197"/>
      <c r="S90" s="197"/>
      <c r="T90" s="197"/>
      <c r="U90" s="197"/>
      <c r="V90" s="203"/>
    </row>
    <row r="91" spans="2:22" ht="15" customHeight="1" x14ac:dyDescent="0.2">
      <c r="B91" s="75" t="s">
        <v>589</v>
      </c>
      <c r="C91" s="75" t="s">
        <v>305</v>
      </c>
      <c r="D91" s="197" t="s">
        <v>295</v>
      </c>
      <c r="E91" s="180" t="s">
        <v>301</v>
      </c>
      <c r="F91" s="197" t="s">
        <v>646</v>
      </c>
      <c r="G91" s="180" t="s">
        <v>1050</v>
      </c>
      <c r="H91" s="198">
        <v>2019</v>
      </c>
      <c r="I91" s="180" t="s">
        <v>2</v>
      </c>
      <c r="J91" s="180" t="s">
        <v>2</v>
      </c>
      <c r="K91" s="198">
        <v>1112</v>
      </c>
      <c r="L91" s="197"/>
      <c r="N91" s="197"/>
      <c r="O91" s="197"/>
      <c r="P91" s="197"/>
      <c r="Q91" s="197"/>
      <c r="R91" s="197"/>
      <c r="S91" s="197"/>
      <c r="T91" s="197"/>
      <c r="U91" s="197"/>
      <c r="V91" s="203"/>
    </row>
    <row r="92" spans="2:22" ht="15" customHeight="1" x14ac:dyDescent="0.2">
      <c r="B92" s="75" t="s">
        <v>589</v>
      </c>
      <c r="C92" s="75" t="s">
        <v>196</v>
      </c>
      <c r="D92" s="197" t="s">
        <v>188</v>
      </c>
      <c r="E92" s="180" t="s">
        <v>193</v>
      </c>
      <c r="F92" s="197" t="s">
        <v>194</v>
      </c>
      <c r="G92" s="180" t="s">
        <v>1050</v>
      </c>
      <c r="H92" s="198">
        <v>2019</v>
      </c>
      <c r="I92" s="180" t="s">
        <v>3</v>
      </c>
      <c r="J92" s="180" t="s">
        <v>3</v>
      </c>
      <c r="K92" s="199">
        <v>1150.67</v>
      </c>
      <c r="L92" s="197"/>
      <c r="N92" s="197"/>
      <c r="O92" s="197"/>
      <c r="P92" s="197"/>
      <c r="Q92" s="197"/>
      <c r="R92" s="197"/>
      <c r="S92" s="197"/>
      <c r="T92" s="197"/>
      <c r="U92" s="197"/>
      <c r="V92" s="203"/>
    </row>
    <row r="93" spans="2:22" ht="15" customHeight="1" x14ac:dyDescent="0.2">
      <c r="B93" s="75" t="s">
        <v>589</v>
      </c>
      <c r="C93" s="75" t="s">
        <v>239</v>
      </c>
      <c r="D93" s="197" t="s">
        <v>234</v>
      </c>
      <c r="E93" s="180" t="s">
        <v>240</v>
      </c>
      <c r="F93" s="197" t="s">
        <v>647</v>
      </c>
      <c r="G93" s="180" t="s">
        <v>1050</v>
      </c>
      <c r="H93" s="198">
        <v>2019</v>
      </c>
      <c r="I93" s="180" t="s">
        <v>2</v>
      </c>
      <c r="J93" s="180" t="s">
        <v>2</v>
      </c>
      <c r="K93" s="199">
        <v>1050</v>
      </c>
      <c r="L93" s="197"/>
      <c r="N93" s="197"/>
      <c r="O93" s="197"/>
      <c r="P93" s="197"/>
      <c r="Q93" s="197"/>
      <c r="R93" s="197"/>
      <c r="S93" s="197"/>
      <c r="T93" s="197"/>
      <c r="U93" s="197"/>
      <c r="V93" s="203"/>
    </row>
    <row r="94" spans="2:22" ht="15" customHeight="1" x14ac:dyDescent="0.2">
      <c r="B94" s="75" t="s">
        <v>589</v>
      </c>
      <c r="C94" s="75" t="s">
        <v>467</v>
      </c>
      <c r="D94" s="197" t="s">
        <v>242</v>
      </c>
      <c r="E94" s="180" t="s">
        <v>253</v>
      </c>
      <c r="F94" s="197" t="s">
        <v>468</v>
      </c>
      <c r="G94" s="180" t="s">
        <v>1050</v>
      </c>
      <c r="H94" s="198">
        <v>2011</v>
      </c>
      <c r="I94" s="180" t="s">
        <v>330</v>
      </c>
      <c r="J94" s="180" t="s">
        <v>166</v>
      </c>
      <c r="K94" s="198">
        <v>720.46</v>
      </c>
      <c r="L94" s="197"/>
      <c r="N94" s="197"/>
      <c r="O94" s="197"/>
      <c r="P94" s="197"/>
      <c r="Q94" s="197"/>
      <c r="R94" s="197"/>
      <c r="S94" s="197"/>
      <c r="T94" s="197"/>
      <c r="U94" s="197"/>
      <c r="V94" s="203"/>
    </row>
    <row r="95" spans="2:22" ht="15" customHeight="1" x14ac:dyDescent="0.2">
      <c r="B95" s="75" t="s">
        <v>589</v>
      </c>
      <c r="C95" s="75" t="s">
        <v>432</v>
      </c>
      <c r="D95" s="197" t="s">
        <v>242</v>
      </c>
      <c r="E95" s="180" t="s">
        <v>246</v>
      </c>
      <c r="F95" s="197" t="s">
        <v>433</v>
      </c>
      <c r="G95" s="180" t="s">
        <v>1050</v>
      </c>
      <c r="H95" s="198">
        <v>2003</v>
      </c>
      <c r="I95" s="180" t="s">
        <v>214</v>
      </c>
      <c r="J95" s="180" t="s">
        <v>166</v>
      </c>
      <c r="K95" s="198">
        <v>983</v>
      </c>
      <c r="L95" s="197"/>
      <c r="N95" s="197"/>
      <c r="O95" s="197"/>
      <c r="P95" s="197"/>
      <c r="Q95" s="197"/>
      <c r="R95" s="197"/>
      <c r="S95" s="197"/>
      <c r="T95" s="197"/>
      <c r="U95" s="197"/>
      <c r="V95" s="203"/>
    </row>
    <row r="96" spans="2:22" ht="15" customHeight="1" x14ac:dyDescent="0.2">
      <c r="B96" s="75" t="s">
        <v>589</v>
      </c>
      <c r="C96" s="75" t="s">
        <v>469</v>
      </c>
      <c r="D96" s="197" t="s">
        <v>242</v>
      </c>
      <c r="E96" s="180" t="s">
        <v>253</v>
      </c>
      <c r="F96" s="197" t="s">
        <v>470</v>
      </c>
      <c r="G96" s="180" t="s">
        <v>1050</v>
      </c>
      <c r="H96" s="198">
        <v>2011</v>
      </c>
      <c r="I96" s="180" t="s">
        <v>330</v>
      </c>
      <c r="J96" s="180" t="s">
        <v>166</v>
      </c>
      <c r="K96" s="198">
        <v>1213.5</v>
      </c>
      <c r="L96" s="197"/>
      <c r="N96" s="197"/>
      <c r="O96" s="197"/>
      <c r="P96" s="197"/>
      <c r="Q96" s="197"/>
      <c r="R96" s="197"/>
      <c r="S96" s="197"/>
      <c r="T96" s="197"/>
      <c r="U96" s="197"/>
      <c r="V96" s="203"/>
    </row>
    <row r="97" spans="2:22" ht="15" customHeight="1" x14ac:dyDescent="0.2">
      <c r="B97" s="75" t="s">
        <v>589</v>
      </c>
      <c r="C97" s="75" t="s">
        <v>389</v>
      </c>
      <c r="D97" s="197" t="s">
        <v>234</v>
      </c>
      <c r="E97" s="180" t="s">
        <v>390</v>
      </c>
      <c r="F97" s="197" t="s">
        <v>391</v>
      </c>
      <c r="G97" s="180" t="s">
        <v>1050</v>
      </c>
      <c r="H97" s="198">
        <v>2010</v>
      </c>
      <c r="I97" s="180" t="s">
        <v>354</v>
      </c>
      <c r="J97" s="180" t="s">
        <v>670</v>
      </c>
      <c r="K97" s="199">
        <v>1121.78</v>
      </c>
      <c r="L97" s="197"/>
      <c r="N97" s="197"/>
      <c r="O97" s="197"/>
      <c r="P97" s="197"/>
      <c r="Q97" s="197"/>
      <c r="R97" s="197"/>
      <c r="S97" s="197"/>
      <c r="T97" s="197"/>
      <c r="U97" s="197"/>
      <c r="V97" s="203"/>
    </row>
    <row r="98" spans="2:22" ht="15" customHeight="1" x14ac:dyDescent="0.2">
      <c r="B98" s="75" t="s">
        <v>589</v>
      </c>
      <c r="C98" s="75" t="s">
        <v>471</v>
      </c>
      <c r="D98" s="197" t="s">
        <v>242</v>
      </c>
      <c r="E98" s="180" t="s">
        <v>253</v>
      </c>
      <c r="F98" s="197" t="s">
        <v>472</v>
      </c>
      <c r="G98" s="180" t="s">
        <v>1050</v>
      </c>
      <c r="H98" s="198">
        <v>2009</v>
      </c>
      <c r="I98" s="180" t="s">
        <v>319</v>
      </c>
      <c r="J98" s="180" t="s">
        <v>166</v>
      </c>
      <c r="K98" s="199">
        <v>636</v>
      </c>
      <c r="L98" s="197"/>
      <c r="N98" s="197"/>
      <c r="O98" s="197"/>
      <c r="P98" s="197"/>
      <c r="Q98" s="197"/>
      <c r="R98" s="197"/>
      <c r="S98" s="197"/>
      <c r="T98" s="197"/>
      <c r="U98" s="197"/>
      <c r="V98" s="203"/>
    </row>
    <row r="99" spans="2:22" ht="15" customHeight="1" x14ac:dyDescent="0.2">
      <c r="B99" s="75" t="s">
        <v>589</v>
      </c>
      <c r="C99" s="75" t="s">
        <v>473</v>
      </c>
      <c r="D99" s="197" t="s">
        <v>242</v>
      </c>
      <c r="E99" s="180" t="s">
        <v>253</v>
      </c>
      <c r="F99" s="197" t="s">
        <v>260</v>
      </c>
      <c r="G99" s="180" t="s">
        <v>1050</v>
      </c>
      <c r="H99" s="198">
        <v>2003</v>
      </c>
      <c r="I99" s="180" t="s">
        <v>474</v>
      </c>
      <c r="J99" s="180" t="s">
        <v>166</v>
      </c>
      <c r="K99" s="199">
        <v>1607.71</v>
      </c>
      <c r="L99" s="197"/>
      <c r="N99" s="197"/>
      <c r="O99" s="197"/>
      <c r="P99" s="197"/>
      <c r="Q99" s="197"/>
      <c r="R99" s="197"/>
      <c r="S99" s="197"/>
      <c r="T99" s="197"/>
      <c r="U99" s="197"/>
      <c r="V99" s="203"/>
    </row>
    <row r="100" spans="2:22" ht="15" customHeight="1" x14ac:dyDescent="0.2">
      <c r="B100" s="75" t="s">
        <v>589</v>
      </c>
      <c r="C100" s="75" t="s">
        <v>364</v>
      </c>
      <c r="D100" s="197" t="s">
        <v>203</v>
      </c>
      <c r="E100" s="180" t="s">
        <v>361</v>
      </c>
      <c r="F100" s="197" t="s">
        <v>365</v>
      </c>
      <c r="G100" s="180" t="s">
        <v>1050</v>
      </c>
      <c r="H100" s="198">
        <v>2010</v>
      </c>
      <c r="I100" s="180" t="s">
        <v>354</v>
      </c>
      <c r="J100" s="180" t="s">
        <v>166</v>
      </c>
      <c r="K100" s="199">
        <v>762</v>
      </c>
      <c r="L100" s="197"/>
      <c r="N100" s="197"/>
      <c r="O100" s="197"/>
      <c r="P100" s="197"/>
      <c r="Q100" s="197"/>
      <c r="R100" s="197"/>
      <c r="S100" s="197"/>
      <c r="T100" s="197"/>
      <c r="U100" s="197"/>
      <c r="V100" s="203"/>
    </row>
    <row r="101" spans="2:22" ht="15" customHeight="1" x14ac:dyDescent="0.2">
      <c r="B101" s="75" t="s">
        <v>589</v>
      </c>
      <c r="C101" s="75" t="s">
        <v>369</v>
      </c>
      <c r="D101" s="197" t="s">
        <v>203</v>
      </c>
      <c r="E101" s="180" t="s">
        <v>218</v>
      </c>
      <c r="F101" s="197" t="s">
        <v>370</v>
      </c>
      <c r="G101" s="180" t="s">
        <v>1050</v>
      </c>
      <c r="H101" s="198">
        <v>2011</v>
      </c>
      <c r="I101" s="180" t="s">
        <v>371</v>
      </c>
      <c r="J101" s="180" t="s">
        <v>166</v>
      </c>
      <c r="K101" s="199">
        <v>611.20000000000005</v>
      </c>
      <c r="L101" s="197"/>
      <c r="N101" s="197"/>
      <c r="O101" s="197"/>
      <c r="P101" s="197"/>
      <c r="Q101" s="197"/>
      <c r="R101" s="197"/>
      <c r="S101" s="197"/>
      <c r="T101" s="197"/>
      <c r="U101" s="197"/>
      <c r="V101" s="203"/>
    </row>
    <row r="102" spans="2:22" ht="15" customHeight="1" x14ac:dyDescent="0.2">
      <c r="B102" s="75" t="s">
        <v>589</v>
      </c>
      <c r="C102" s="75" t="s">
        <v>343</v>
      </c>
      <c r="D102" s="197" t="s">
        <v>203</v>
      </c>
      <c r="E102" s="180" t="s">
        <v>204</v>
      </c>
      <c r="F102" s="197" t="s">
        <v>205</v>
      </c>
      <c r="G102" s="180" t="s">
        <v>1050</v>
      </c>
      <c r="H102" s="198">
        <v>2007</v>
      </c>
      <c r="I102" s="180" t="s">
        <v>344</v>
      </c>
      <c r="J102" s="180" t="s">
        <v>551</v>
      </c>
      <c r="K102" s="199">
        <v>2115.4499999999998</v>
      </c>
      <c r="L102" s="197"/>
      <c r="N102" s="197"/>
      <c r="O102" s="197"/>
      <c r="P102" s="197"/>
      <c r="Q102" s="197"/>
      <c r="R102" s="197"/>
      <c r="S102" s="197"/>
      <c r="T102" s="197"/>
      <c r="U102" s="197"/>
      <c r="V102" s="203"/>
    </row>
    <row r="103" spans="2:22" ht="15" customHeight="1" x14ac:dyDescent="0.2">
      <c r="B103" s="75" t="s">
        <v>589</v>
      </c>
      <c r="C103" s="75" t="s">
        <v>475</v>
      </c>
      <c r="D103" s="197" t="s">
        <v>242</v>
      </c>
      <c r="E103" s="180" t="s">
        <v>253</v>
      </c>
      <c r="F103" s="197" t="s">
        <v>257</v>
      </c>
      <c r="G103" s="180" t="s">
        <v>1050</v>
      </c>
      <c r="H103" s="198">
        <v>2007</v>
      </c>
      <c r="I103" s="180" t="s">
        <v>255</v>
      </c>
      <c r="J103" s="180" t="s">
        <v>1010</v>
      </c>
      <c r="K103" s="199">
        <v>601.92999999999995</v>
      </c>
      <c r="L103" s="197"/>
      <c r="N103" s="197"/>
      <c r="O103" s="197"/>
      <c r="P103" s="197"/>
      <c r="Q103" s="197"/>
      <c r="R103" s="197"/>
      <c r="S103" s="197"/>
      <c r="T103" s="197"/>
      <c r="U103" s="197"/>
      <c r="V103" s="203"/>
    </row>
    <row r="104" spans="2:22" ht="15" customHeight="1" x14ac:dyDescent="0.2">
      <c r="B104" s="75" t="s">
        <v>589</v>
      </c>
      <c r="C104" s="75" t="s">
        <v>476</v>
      </c>
      <c r="D104" s="197" t="s">
        <v>242</v>
      </c>
      <c r="E104" s="180" t="s">
        <v>253</v>
      </c>
      <c r="F104" s="197" t="s">
        <v>456</v>
      </c>
      <c r="G104" s="180" t="s">
        <v>1050</v>
      </c>
      <c r="H104" s="198">
        <v>2013</v>
      </c>
      <c r="I104" s="180" t="s">
        <v>429</v>
      </c>
      <c r="J104" s="180" t="s">
        <v>166</v>
      </c>
      <c r="K104" s="199">
        <v>1120.82</v>
      </c>
      <c r="L104" s="197"/>
      <c r="N104" s="197"/>
      <c r="O104" s="197"/>
      <c r="P104" s="197"/>
      <c r="Q104" s="197"/>
      <c r="R104" s="197"/>
      <c r="S104" s="197"/>
      <c r="T104" s="197"/>
      <c r="U104" s="197"/>
      <c r="V104" s="203"/>
    </row>
    <row r="105" spans="2:22" ht="15" customHeight="1" x14ac:dyDescent="0.2">
      <c r="B105" s="75" t="s">
        <v>589</v>
      </c>
      <c r="C105" s="75" t="s">
        <v>477</v>
      </c>
      <c r="D105" s="197" t="s">
        <v>242</v>
      </c>
      <c r="E105" s="180" t="s">
        <v>253</v>
      </c>
      <c r="F105" s="197" t="s">
        <v>478</v>
      </c>
      <c r="G105" s="180" t="s">
        <v>1050</v>
      </c>
      <c r="H105" s="198">
        <v>2011</v>
      </c>
      <c r="I105" s="180" t="s">
        <v>258</v>
      </c>
      <c r="J105" s="180" t="s">
        <v>166</v>
      </c>
      <c r="K105" s="199">
        <v>531.29</v>
      </c>
      <c r="L105" s="197"/>
      <c r="N105" s="197"/>
      <c r="O105" s="197"/>
      <c r="P105" s="197"/>
      <c r="Q105" s="197"/>
      <c r="R105" s="197"/>
      <c r="S105" s="197"/>
      <c r="T105" s="197"/>
      <c r="U105" s="197"/>
      <c r="V105" s="203"/>
    </row>
    <row r="106" spans="2:22" ht="15" customHeight="1" x14ac:dyDescent="0.2">
      <c r="B106" s="75" t="s">
        <v>589</v>
      </c>
      <c r="C106" s="75" t="s">
        <v>479</v>
      </c>
      <c r="D106" s="197" t="s">
        <v>242</v>
      </c>
      <c r="E106" s="180" t="s">
        <v>253</v>
      </c>
      <c r="F106" s="197" t="s">
        <v>480</v>
      </c>
      <c r="G106" s="180" t="s">
        <v>1050</v>
      </c>
      <c r="H106" s="198">
        <v>2012</v>
      </c>
      <c r="I106" s="180" t="s">
        <v>346</v>
      </c>
      <c r="J106" s="180" t="s">
        <v>762</v>
      </c>
      <c r="K106" s="199">
        <v>1021.62</v>
      </c>
      <c r="L106" s="197"/>
      <c r="N106" s="197"/>
      <c r="O106" s="197"/>
      <c r="P106" s="197"/>
      <c r="Q106" s="197"/>
      <c r="R106" s="197"/>
      <c r="S106" s="197"/>
      <c r="T106" s="197"/>
      <c r="U106" s="197"/>
      <c r="V106" s="203"/>
    </row>
    <row r="107" spans="2:22" ht="15" customHeight="1" x14ac:dyDescent="0.2">
      <c r="B107" s="75" t="s">
        <v>589</v>
      </c>
      <c r="C107" s="75" t="s">
        <v>264</v>
      </c>
      <c r="D107" s="197" t="s">
        <v>242</v>
      </c>
      <c r="E107" s="180" t="s">
        <v>253</v>
      </c>
      <c r="F107" s="197" t="s">
        <v>257</v>
      </c>
      <c r="G107" s="180" t="s">
        <v>1050</v>
      </c>
      <c r="H107" s="198">
        <v>2009</v>
      </c>
      <c r="I107" s="180" t="s">
        <v>265</v>
      </c>
      <c r="J107" s="180" t="s">
        <v>11</v>
      </c>
      <c r="K107" s="199">
        <v>1248.08</v>
      </c>
      <c r="L107" s="197"/>
      <c r="N107" s="197"/>
      <c r="O107" s="197"/>
      <c r="P107" s="197"/>
      <c r="Q107" s="197"/>
      <c r="R107" s="197"/>
      <c r="S107" s="197"/>
      <c r="T107" s="197"/>
      <c r="U107" s="197"/>
      <c r="V107" s="203"/>
    </row>
    <row r="108" spans="2:22" ht="15" customHeight="1" x14ac:dyDescent="0.2">
      <c r="B108" s="75" t="s">
        <v>589</v>
      </c>
      <c r="C108" s="75" t="s">
        <v>692</v>
      </c>
      <c r="D108" s="197" t="s">
        <v>242</v>
      </c>
      <c r="E108" s="180" t="s">
        <v>253</v>
      </c>
      <c r="F108" s="197" t="s">
        <v>257</v>
      </c>
      <c r="G108" s="180" t="s">
        <v>1050</v>
      </c>
      <c r="H108" s="198">
        <v>2022</v>
      </c>
      <c r="I108" s="180" t="s">
        <v>685</v>
      </c>
      <c r="J108" s="180" t="s">
        <v>685</v>
      </c>
      <c r="K108" s="198">
        <v>1028.47</v>
      </c>
      <c r="L108" s="197"/>
      <c r="N108" s="197"/>
      <c r="O108" s="197"/>
      <c r="P108" s="197"/>
      <c r="Q108" s="197"/>
      <c r="R108" s="197"/>
      <c r="S108" s="197"/>
      <c r="T108" s="197"/>
      <c r="U108" s="197"/>
      <c r="V108" s="203"/>
    </row>
    <row r="109" spans="2:22" ht="15" customHeight="1" x14ac:dyDescent="0.2">
      <c r="B109" s="75" t="s">
        <v>590</v>
      </c>
      <c r="C109" s="75" t="s">
        <v>566</v>
      </c>
      <c r="D109" s="197" t="s">
        <v>188</v>
      </c>
      <c r="E109" s="180" t="s">
        <v>193</v>
      </c>
      <c r="F109" s="197" t="s">
        <v>194</v>
      </c>
      <c r="G109" s="180" t="s">
        <v>826</v>
      </c>
      <c r="H109" s="198">
        <v>2013</v>
      </c>
      <c r="I109" s="180" t="s">
        <v>356</v>
      </c>
      <c r="J109" s="180" t="s">
        <v>166</v>
      </c>
      <c r="K109" s="199">
        <v>1278.01</v>
      </c>
      <c r="L109" s="197"/>
      <c r="N109" s="197"/>
      <c r="O109" s="197"/>
      <c r="P109" s="197"/>
      <c r="Q109" s="197"/>
      <c r="R109" s="197"/>
      <c r="S109" s="197"/>
      <c r="T109" s="197"/>
      <c r="U109" s="197"/>
      <c r="V109" s="203"/>
    </row>
    <row r="110" spans="2:22" ht="15" customHeight="1" x14ac:dyDescent="0.2">
      <c r="B110" s="75" t="s">
        <v>589</v>
      </c>
      <c r="C110" s="75" t="s">
        <v>745</v>
      </c>
      <c r="D110" s="197" t="s">
        <v>242</v>
      </c>
      <c r="E110" s="180" t="s">
        <v>253</v>
      </c>
      <c r="F110" s="197" t="s">
        <v>257</v>
      </c>
      <c r="G110" s="180" t="s">
        <v>1050</v>
      </c>
      <c r="H110" s="198">
        <v>2003</v>
      </c>
      <c r="I110" s="180" t="s">
        <v>214</v>
      </c>
      <c r="J110" s="180" t="s">
        <v>8</v>
      </c>
      <c r="K110" s="199">
        <v>1540.58</v>
      </c>
      <c r="L110" s="197"/>
      <c r="N110" s="197"/>
      <c r="O110" s="197"/>
      <c r="P110" s="197"/>
      <c r="Q110" s="197"/>
      <c r="R110" s="197"/>
      <c r="S110" s="197"/>
      <c r="T110" s="197"/>
      <c r="U110" s="197"/>
      <c r="V110" s="203"/>
    </row>
    <row r="111" spans="2:22" ht="15" customHeight="1" x14ac:dyDescent="0.2">
      <c r="B111" s="75" t="s">
        <v>590</v>
      </c>
      <c r="C111" s="75" t="s">
        <v>746</v>
      </c>
      <c r="D111" s="197" t="s">
        <v>242</v>
      </c>
      <c r="E111" s="180" t="s">
        <v>253</v>
      </c>
      <c r="F111" s="197" t="s">
        <v>257</v>
      </c>
      <c r="G111" s="180" t="s">
        <v>826</v>
      </c>
      <c r="H111" s="198">
        <v>2022</v>
      </c>
      <c r="I111" s="180" t="s">
        <v>742</v>
      </c>
      <c r="J111" s="180" t="s">
        <v>166</v>
      </c>
      <c r="K111" s="199">
        <v>1757</v>
      </c>
      <c r="L111" s="197"/>
      <c r="N111" s="197"/>
      <c r="O111" s="197"/>
      <c r="P111" s="197"/>
      <c r="Q111" s="197"/>
      <c r="R111" s="197"/>
      <c r="S111" s="197"/>
      <c r="T111" s="197"/>
      <c r="U111" s="197"/>
      <c r="V111" s="203"/>
    </row>
    <row r="112" spans="2:22" ht="15" customHeight="1" x14ac:dyDescent="0.2">
      <c r="B112" s="75" t="s">
        <v>589</v>
      </c>
      <c r="C112" s="75" t="s">
        <v>507</v>
      </c>
      <c r="D112" s="197" t="s">
        <v>295</v>
      </c>
      <c r="E112" s="180" t="s">
        <v>296</v>
      </c>
      <c r="F112" s="197" t="s">
        <v>298</v>
      </c>
      <c r="G112" s="180" t="s">
        <v>1050</v>
      </c>
      <c r="H112" s="198">
        <v>2003</v>
      </c>
      <c r="I112" s="180" t="s">
        <v>195</v>
      </c>
      <c r="J112" s="180" t="s">
        <v>823</v>
      </c>
      <c r="K112" s="199">
        <v>2450</v>
      </c>
      <c r="L112" s="197"/>
      <c r="N112" s="197"/>
      <c r="O112" s="197"/>
      <c r="P112" s="197"/>
      <c r="Q112" s="197"/>
      <c r="R112" s="197"/>
      <c r="S112" s="197"/>
      <c r="T112" s="197"/>
      <c r="U112" s="197"/>
      <c r="V112" s="203"/>
    </row>
    <row r="113" spans="2:22" ht="15" customHeight="1" x14ac:dyDescent="0.2">
      <c r="B113" s="75" t="s">
        <v>589</v>
      </c>
      <c r="C113" s="75" t="s">
        <v>202</v>
      </c>
      <c r="D113" s="197" t="s">
        <v>203</v>
      </c>
      <c r="E113" s="180" t="s">
        <v>204</v>
      </c>
      <c r="F113" s="197" t="s">
        <v>205</v>
      </c>
      <c r="G113" s="180" t="s">
        <v>1050</v>
      </c>
      <c r="H113" s="198">
        <v>2001</v>
      </c>
      <c r="I113" s="180" t="s">
        <v>206</v>
      </c>
      <c r="J113" s="180" t="s">
        <v>153</v>
      </c>
      <c r="K113" s="199">
        <v>1902</v>
      </c>
      <c r="L113" s="197"/>
      <c r="N113" s="197"/>
      <c r="O113" s="197"/>
      <c r="P113" s="197"/>
      <c r="Q113" s="197"/>
      <c r="R113" s="197"/>
      <c r="S113" s="197"/>
      <c r="T113" s="197"/>
      <c r="U113" s="197"/>
      <c r="V113" s="203"/>
    </row>
    <row r="114" spans="2:22" ht="15" customHeight="1" x14ac:dyDescent="0.2">
      <c r="B114" s="75" t="s">
        <v>590</v>
      </c>
      <c r="C114" s="75" t="s">
        <v>780</v>
      </c>
      <c r="D114" s="197" t="s">
        <v>203</v>
      </c>
      <c r="E114" s="180" t="s">
        <v>204</v>
      </c>
      <c r="F114" s="197" t="s">
        <v>205</v>
      </c>
      <c r="G114" s="180" t="s">
        <v>826</v>
      </c>
      <c r="H114" s="198">
        <v>2023</v>
      </c>
      <c r="I114" s="180" t="s">
        <v>762</v>
      </c>
      <c r="J114" s="180" t="s">
        <v>166</v>
      </c>
      <c r="K114" s="199">
        <v>1212</v>
      </c>
      <c r="L114" s="197"/>
      <c r="N114" s="197"/>
      <c r="O114" s="197"/>
      <c r="P114" s="197"/>
      <c r="Q114" s="197"/>
      <c r="R114" s="197"/>
      <c r="S114" s="197"/>
      <c r="T114" s="197"/>
      <c r="U114" s="197"/>
      <c r="V114" s="203"/>
    </row>
    <row r="115" spans="2:22" ht="15" customHeight="1" x14ac:dyDescent="0.2">
      <c r="B115" s="75" t="s">
        <v>590</v>
      </c>
      <c r="C115" s="75" t="s">
        <v>781</v>
      </c>
      <c r="D115" s="197" t="s">
        <v>295</v>
      </c>
      <c r="E115" s="180" t="s">
        <v>301</v>
      </c>
      <c r="F115" s="197" t="s">
        <v>302</v>
      </c>
      <c r="G115" s="180" t="s">
        <v>826</v>
      </c>
      <c r="H115" s="198">
        <v>2023</v>
      </c>
      <c r="I115" s="180" t="s">
        <v>762</v>
      </c>
      <c r="J115" s="180" t="s">
        <v>166</v>
      </c>
      <c r="K115" s="199">
        <v>1000</v>
      </c>
      <c r="L115" s="197"/>
      <c r="N115" s="197"/>
      <c r="O115" s="197"/>
      <c r="P115" s="197"/>
      <c r="Q115" s="197"/>
      <c r="R115" s="197"/>
      <c r="S115" s="197"/>
      <c r="T115" s="197"/>
      <c r="U115" s="197"/>
      <c r="V115" s="203"/>
    </row>
    <row r="116" spans="2:22" ht="15" customHeight="1" x14ac:dyDescent="0.2">
      <c r="B116" s="75" t="s">
        <v>589</v>
      </c>
      <c r="C116" s="75" t="s">
        <v>482</v>
      </c>
      <c r="D116" s="197" t="s">
        <v>242</v>
      </c>
      <c r="E116" s="180" t="s">
        <v>253</v>
      </c>
      <c r="F116" s="197" t="s">
        <v>292</v>
      </c>
      <c r="G116" s="180" t="s">
        <v>1050</v>
      </c>
      <c r="H116" s="198">
        <v>2009</v>
      </c>
      <c r="I116" s="180" t="s">
        <v>265</v>
      </c>
      <c r="J116" s="180" t="s">
        <v>618</v>
      </c>
      <c r="K116" s="199">
        <v>1429</v>
      </c>
      <c r="L116" s="197"/>
      <c r="N116" s="197"/>
      <c r="O116" s="197"/>
      <c r="P116" s="197"/>
      <c r="Q116" s="197"/>
      <c r="R116" s="197"/>
      <c r="S116" s="197"/>
      <c r="T116" s="197"/>
      <c r="U116" s="197"/>
      <c r="V116" s="203"/>
    </row>
    <row r="117" spans="2:22" ht="15" customHeight="1" x14ac:dyDescent="0.2">
      <c r="B117" s="75" t="s">
        <v>589</v>
      </c>
      <c r="C117" s="75" t="s">
        <v>345</v>
      </c>
      <c r="D117" s="197" t="s">
        <v>203</v>
      </c>
      <c r="E117" s="180" t="s">
        <v>204</v>
      </c>
      <c r="F117" s="197" t="s">
        <v>205</v>
      </c>
      <c r="G117" s="180" t="s">
        <v>1050</v>
      </c>
      <c r="H117" s="198">
        <v>2012</v>
      </c>
      <c r="I117" s="180" t="s">
        <v>346</v>
      </c>
      <c r="J117" s="180" t="s">
        <v>166</v>
      </c>
      <c r="K117" s="198">
        <v>1219.06</v>
      </c>
      <c r="L117" s="197"/>
      <c r="N117" s="197"/>
      <c r="O117" s="197"/>
      <c r="P117" s="197"/>
      <c r="Q117" s="197"/>
      <c r="R117" s="197"/>
      <c r="S117" s="197"/>
      <c r="T117" s="197"/>
      <c r="U117" s="197"/>
      <c r="V117" s="203"/>
    </row>
    <row r="118" spans="2:22" ht="15" customHeight="1" x14ac:dyDescent="0.2">
      <c r="B118" s="75" t="s">
        <v>590</v>
      </c>
      <c r="C118" s="75" t="s">
        <v>827</v>
      </c>
      <c r="D118" s="197" t="s">
        <v>242</v>
      </c>
      <c r="E118" s="180" t="s">
        <v>243</v>
      </c>
      <c r="F118" s="197" t="s">
        <v>244</v>
      </c>
      <c r="G118" s="180" t="s">
        <v>826</v>
      </c>
      <c r="H118" s="198">
        <v>2023</v>
      </c>
      <c r="I118" s="180" t="s">
        <v>823</v>
      </c>
      <c r="J118" s="180" t="s">
        <v>166</v>
      </c>
      <c r="K118" s="199">
        <v>1239</v>
      </c>
      <c r="L118" s="197"/>
      <c r="N118" s="197"/>
      <c r="O118" s="197"/>
      <c r="P118" s="197"/>
      <c r="Q118" s="197"/>
      <c r="R118" s="197"/>
      <c r="S118" s="197"/>
      <c r="T118" s="197"/>
      <c r="U118" s="197"/>
      <c r="V118" s="203"/>
    </row>
    <row r="119" spans="2:22" ht="15" customHeight="1" x14ac:dyDescent="0.2">
      <c r="B119" s="75" t="s">
        <v>589</v>
      </c>
      <c r="C119" s="75" t="s">
        <v>483</v>
      </c>
      <c r="D119" s="197" t="s">
        <v>242</v>
      </c>
      <c r="E119" s="180" t="s">
        <v>253</v>
      </c>
      <c r="F119" s="197" t="s">
        <v>279</v>
      </c>
      <c r="G119" s="180" t="s">
        <v>1050</v>
      </c>
      <c r="H119" s="198">
        <v>2009</v>
      </c>
      <c r="I119" s="180" t="s">
        <v>265</v>
      </c>
      <c r="J119" s="180" t="s">
        <v>166</v>
      </c>
      <c r="K119" s="199">
        <v>895.28</v>
      </c>
      <c r="L119" s="197"/>
      <c r="N119" s="197"/>
      <c r="O119" s="197"/>
      <c r="P119" s="197"/>
      <c r="Q119" s="197"/>
      <c r="R119" s="197"/>
      <c r="S119" s="197"/>
      <c r="T119" s="197"/>
      <c r="U119" s="197"/>
      <c r="V119" s="203"/>
    </row>
    <row r="120" spans="2:22" ht="15" customHeight="1" x14ac:dyDescent="0.2">
      <c r="B120" s="75" t="s">
        <v>589</v>
      </c>
      <c r="C120" s="75" t="s">
        <v>197</v>
      </c>
      <c r="D120" s="197" t="s">
        <v>188</v>
      </c>
      <c r="E120" s="180" t="s">
        <v>198</v>
      </c>
      <c r="F120" s="197" t="s">
        <v>648</v>
      </c>
      <c r="G120" s="180" t="s">
        <v>1050</v>
      </c>
      <c r="H120" s="198">
        <v>2019</v>
      </c>
      <c r="I120" s="180" t="s">
        <v>2</v>
      </c>
      <c r="J120" s="180" t="s">
        <v>2</v>
      </c>
      <c r="K120" s="199">
        <v>1067.6600000000001</v>
      </c>
      <c r="L120" s="197"/>
      <c r="N120" s="197"/>
      <c r="O120" s="197"/>
      <c r="P120" s="197"/>
      <c r="Q120" s="197"/>
      <c r="R120" s="197"/>
      <c r="S120" s="197"/>
      <c r="T120" s="197"/>
      <c r="U120" s="197"/>
      <c r="V120" s="203"/>
    </row>
    <row r="121" spans="2:22" ht="15" customHeight="1" x14ac:dyDescent="0.2">
      <c r="B121" s="75" t="s">
        <v>589</v>
      </c>
      <c r="C121" s="75" t="s">
        <v>233</v>
      </c>
      <c r="D121" s="197" t="s">
        <v>234</v>
      </c>
      <c r="E121" s="180" t="s">
        <v>235</v>
      </c>
      <c r="F121" s="197" t="s">
        <v>649</v>
      </c>
      <c r="G121" s="180" t="s">
        <v>1050</v>
      </c>
      <c r="H121" s="198">
        <v>2019</v>
      </c>
      <c r="I121" s="180" t="s">
        <v>2</v>
      </c>
      <c r="J121" s="180" t="s">
        <v>2</v>
      </c>
      <c r="K121" s="198">
        <v>976</v>
      </c>
      <c r="L121" s="197"/>
      <c r="N121" s="197"/>
      <c r="O121" s="197"/>
      <c r="P121" s="197"/>
      <c r="Q121" s="197"/>
      <c r="R121" s="197"/>
      <c r="S121" s="197"/>
      <c r="T121" s="197"/>
      <c r="U121" s="197"/>
      <c r="V121" s="203"/>
    </row>
    <row r="122" spans="2:22" ht="15" customHeight="1" x14ac:dyDescent="0.2">
      <c r="B122" s="75" t="s">
        <v>589</v>
      </c>
      <c r="C122" s="75" t="s">
        <v>326</v>
      </c>
      <c r="D122" s="197" t="s">
        <v>188</v>
      </c>
      <c r="E122" s="180" t="s">
        <v>193</v>
      </c>
      <c r="F122" s="197" t="s">
        <v>194</v>
      </c>
      <c r="G122" s="180" t="s">
        <v>1050</v>
      </c>
      <c r="H122" s="198">
        <v>2008</v>
      </c>
      <c r="I122" s="180" t="s">
        <v>322</v>
      </c>
      <c r="J122" s="180" t="s">
        <v>166</v>
      </c>
      <c r="K122" s="199">
        <v>488.55</v>
      </c>
      <c r="L122" s="197"/>
      <c r="N122" s="197"/>
      <c r="O122" s="197"/>
      <c r="P122" s="197"/>
      <c r="Q122" s="197"/>
      <c r="R122" s="197"/>
      <c r="S122" s="197"/>
      <c r="T122" s="197"/>
      <c r="U122" s="197"/>
      <c r="V122" s="203"/>
    </row>
    <row r="123" spans="2:22" ht="15" customHeight="1" x14ac:dyDescent="0.2">
      <c r="B123" s="75" t="s">
        <v>590</v>
      </c>
      <c r="C123" s="75" t="s">
        <v>564</v>
      </c>
      <c r="D123" s="197" t="s">
        <v>242</v>
      </c>
      <c r="E123" s="180" t="s">
        <v>396</v>
      </c>
      <c r="F123" s="197" t="s">
        <v>398</v>
      </c>
      <c r="G123" s="180" t="s">
        <v>826</v>
      </c>
      <c r="H123" s="198">
        <v>2013</v>
      </c>
      <c r="I123" s="180" t="s">
        <v>356</v>
      </c>
      <c r="J123" s="180" t="s">
        <v>166</v>
      </c>
      <c r="K123" s="198">
        <v>1445.33</v>
      </c>
      <c r="L123" s="197"/>
      <c r="N123" s="197"/>
      <c r="O123" s="197"/>
      <c r="P123" s="197"/>
      <c r="Q123" s="197"/>
      <c r="R123" s="197"/>
      <c r="S123" s="197"/>
      <c r="T123" s="197"/>
      <c r="U123" s="197"/>
      <c r="V123" s="203"/>
    </row>
    <row r="124" spans="2:22" ht="15" customHeight="1" x14ac:dyDescent="0.2">
      <c r="B124" s="75" t="s">
        <v>589</v>
      </c>
      <c r="C124" s="75" t="s">
        <v>434</v>
      </c>
      <c r="D124" s="197" t="s">
        <v>242</v>
      </c>
      <c r="E124" s="180" t="s">
        <v>246</v>
      </c>
      <c r="F124" s="197" t="s">
        <v>435</v>
      </c>
      <c r="G124" s="180" t="s">
        <v>1050</v>
      </c>
      <c r="H124" s="198">
        <v>2011</v>
      </c>
      <c r="I124" s="180" t="s">
        <v>330</v>
      </c>
      <c r="J124" s="180" t="s">
        <v>166</v>
      </c>
      <c r="K124" s="199">
        <v>850</v>
      </c>
      <c r="L124" s="197"/>
      <c r="N124" s="197"/>
      <c r="O124" s="197"/>
      <c r="P124" s="197"/>
      <c r="Q124" s="197"/>
      <c r="R124" s="197"/>
      <c r="S124" s="197"/>
      <c r="T124" s="197"/>
      <c r="U124" s="197"/>
      <c r="V124" s="203"/>
    </row>
    <row r="125" spans="2:22" ht="15" customHeight="1" x14ac:dyDescent="0.2">
      <c r="B125" s="75" t="s">
        <v>589</v>
      </c>
      <c r="C125" s="75" t="s">
        <v>314</v>
      </c>
      <c r="D125" s="197" t="s">
        <v>188</v>
      </c>
      <c r="E125" s="180" t="s">
        <v>189</v>
      </c>
      <c r="F125" s="197" t="s">
        <v>190</v>
      </c>
      <c r="G125" s="180" t="s">
        <v>1050</v>
      </c>
      <c r="H125" s="198">
        <v>2009</v>
      </c>
      <c r="I125" s="180" t="s">
        <v>287</v>
      </c>
      <c r="J125" s="180" t="s">
        <v>166</v>
      </c>
      <c r="K125" s="198">
        <v>500.25</v>
      </c>
      <c r="L125" s="197"/>
      <c r="N125" s="197"/>
      <c r="O125" s="197"/>
      <c r="P125" s="197"/>
      <c r="Q125" s="197"/>
      <c r="R125" s="197"/>
      <c r="S125" s="197"/>
      <c r="T125" s="197"/>
      <c r="U125" s="197"/>
      <c r="V125" s="203"/>
    </row>
    <row r="126" spans="2:22" ht="15" customHeight="1" x14ac:dyDescent="0.2">
      <c r="B126" s="75" t="s">
        <v>589</v>
      </c>
      <c r="C126" s="75" t="s">
        <v>521</v>
      </c>
      <c r="D126" s="197" t="s">
        <v>295</v>
      </c>
      <c r="E126" s="180" t="s">
        <v>301</v>
      </c>
      <c r="F126" s="197" t="s">
        <v>302</v>
      </c>
      <c r="G126" s="180" t="s">
        <v>1050</v>
      </c>
      <c r="H126" s="198">
        <v>2009</v>
      </c>
      <c r="I126" s="180" t="s">
        <v>287</v>
      </c>
      <c r="J126" s="180" t="s">
        <v>166</v>
      </c>
      <c r="K126" s="198">
        <v>827.59</v>
      </c>
      <c r="L126" s="197"/>
      <c r="N126" s="197"/>
      <c r="O126" s="197"/>
      <c r="P126" s="197"/>
      <c r="Q126" s="197"/>
      <c r="R126" s="197"/>
      <c r="S126" s="197"/>
      <c r="T126" s="197"/>
      <c r="U126" s="197"/>
      <c r="V126" s="203"/>
    </row>
    <row r="127" spans="2:22" ht="15" customHeight="1" x14ac:dyDescent="0.2">
      <c r="B127" s="75" t="s">
        <v>589</v>
      </c>
      <c r="C127" s="75" t="s">
        <v>266</v>
      </c>
      <c r="D127" s="197" t="s">
        <v>242</v>
      </c>
      <c r="E127" s="180" t="s">
        <v>253</v>
      </c>
      <c r="F127" s="197" t="s">
        <v>257</v>
      </c>
      <c r="G127" s="180" t="s">
        <v>1050</v>
      </c>
      <c r="H127" s="198">
        <v>2008</v>
      </c>
      <c r="I127" s="180" t="s">
        <v>261</v>
      </c>
      <c r="J127" s="180" t="s">
        <v>8</v>
      </c>
      <c r="K127" s="199">
        <v>1393.95</v>
      </c>
      <c r="L127" s="197"/>
      <c r="N127" s="197"/>
      <c r="O127" s="197"/>
      <c r="P127" s="197"/>
      <c r="Q127" s="197"/>
      <c r="R127" s="197"/>
      <c r="S127" s="197"/>
      <c r="T127" s="197"/>
      <c r="U127" s="197"/>
      <c r="V127" s="203"/>
    </row>
    <row r="128" spans="2:22" ht="15" customHeight="1" x14ac:dyDescent="0.2">
      <c r="B128" s="75" t="s">
        <v>589</v>
      </c>
      <c r="C128" s="75" t="s">
        <v>392</v>
      </c>
      <c r="D128" s="197" t="s">
        <v>234</v>
      </c>
      <c r="E128" s="180" t="s">
        <v>393</v>
      </c>
      <c r="F128" s="197" t="s">
        <v>394</v>
      </c>
      <c r="G128" s="180" t="s">
        <v>1050</v>
      </c>
      <c r="H128" s="198">
        <v>2010</v>
      </c>
      <c r="I128" s="180" t="s">
        <v>395</v>
      </c>
      <c r="J128" s="180" t="s">
        <v>166</v>
      </c>
      <c r="K128" s="198">
        <v>817.67</v>
      </c>
      <c r="L128" s="197"/>
      <c r="N128" s="197"/>
      <c r="O128" s="197"/>
      <c r="P128" s="197"/>
      <c r="Q128" s="197"/>
      <c r="R128" s="197"/>
      <c r="S128" s="197"/>
      <c r="T128" s="197"/>
      <c r="U128" s="197"/>
      <c r="V128" s="203"/>
    </row>
    <row r="129" spans="2:22" ht="15" customHeight="1" x14ac:dyDescent="0.2">
      <c r="B129" s="75" t="s">
        <v>589</v>
      </c>
      <c r="C129" s="75" t="s">
        <v>372</v>
      </c>
      <c r="D129" s="197" t="s">
        <v>203</v>
      </c>
      <c r="E129" s="180" t="s">
        <v>218</v>
      </c>
      <c r="F129" s="197" t="s">
        <v>219</v>
      </c>
      <c r="G129" s="180" t="s">
        <v>1050</v>
      </c>
      <c r="H129" s="198">
        <v>2007</v>
      </c>
      <c r="I129" s="180" t="s">
        <v>373</v>
      </c>
      <c r="J129" s="180" t="s">
        <v>166</v>
      </c>
      <c r="K129" s="198">
        <v>625.25</v>
      </c>
      <c r="L129" s="197"/>
      <c r="N129" s="197"/>
      <c r="O129" s="197"/>
      <c r="P129" s="197"/>
      <c r="Q129" s="197"/>
      <c r="R129" s="197"/>
      <c r="S129" s="197"/>
      <c r="T129" s="197"/>
      <c r="U129" s="197"/>
      <c r="V129" s="203"/>
    </row>
    <row r="130" spans="2:22" ht="15" customHeight="1" x14ac:dyDescent="0.2">
      <c r="B130" s="75" t="s">
        <v>590</v>
      </c>
      <c r="C130" s="75" t="s">
        <v>559</v>
      </c>
      <c r="D130" s="197" t="s">
        <v>242</v>
      </c>
      <c r="E130" s="180" t="s">
        <v>253</v>
      </c>
      <c r="F130" s="197" t="s">
        <v>567</v>
      </c>
      <c r="G130" s="180" t="s">
        <v>826</v>
      </c>
      <c r="H130" s="198">
        <v>2014</v>
      </c>
      <c r="I130" s="180" t="s">
        <v>358</v>
      </c>
      <c r="J130" s="180" t="s">
        <v>166</v>
      </c>
      <c r="K130" s="199">
        <v>1341</v>
      </c>
      <c r="L130" s="197"/>
      <c r="N130" s="197"/>
      <c r="O130" s="197"/>
      <c r="P130" s="197"/>
      <c r="Q130" s="197"/>
      <c r="R130" s="197"/>
      <c r="S130" s="197"/>
      <c r="T130" s="197"/>
      <c r="U130" s="197"/>
      <c r="V130" s="203"/>
    </row>
    <row r="131" spans="2:22" ht="15" customHeight="1" x14ac:dyDescent="0.2">
      <c r="B131" s="75" t="s">
        <v>589</v>
      </c>
      <c r="C131" s="75" t="s">
        <v>508</v>
      </c>
      <c r="D131" s="197" t="s">
        <v>295</v>
      </c>
      <c r="E131" s="180" t="s">
        <v>296</v>
      </c>
      <c r="F131" s="197" t="s">
        <v>506</v>
      </c>
      <c r="G131" s="180" t="s">
        <v>1050</v>
      </c>
      <c r="H131" s="198">
        <v>2008</v>
      </c>
      <c r="I131" s="180" t="s">
        <v>322</v>
      </c>
      <c r="J131" s="180" t="s">
        <v>618</v>
      </c>
      <c r="K131" s="199">
        <v>1510.36</v>
      </c>
      <c r="L131" s="197"/>
      <c r="N131" s="197"/>
      <c r="O131" s="197"/>
      <c r="P131" s="197"/>
      <c r="Q131" s="197"/>
      <c r="R131" s="197"/>
      <c r="S131" s="197"/>
      <c r="T131" s="197"/>
      <c r="U131" s="197"/>
      <c r="V131" s="203"/>
    </row>
    <row r="132" spans="2:22" ht="15" customHeight="1" x14ac:dyDescent="0.2">
      <c r="B132" s="75" t="s">
        <v>589</v>
      </c>
      <c r="C132" s="75" t="s">
        <v>782</v>
      </c>
      <c r="D132" s="197" t="s">
        <v>242</v>
      </c>
      <c r="E132" s="180" t="s">
        <v>253</v>
      </c>
      <c r="F132" s="197" t="s">
        <v>257</v>
      </c>
      <c r="G132" s="180" t="s">
        <v>1050</v>
      </c>
      <c r="H132" s="198">
        <v>2001</v>
      </c>
      <c r="I132" s="180" t="s">
        <v>267</v>
      </c>
      <c r="J132" s="180" t="s">
        <v>10</v>
      </c>
      <c r="K132" s="198">
        <v>521.52</v>
      </c>
      <c r="L132" s="197"/>
      <c r="N132" s="197"/>
      <c r="O132" s="197"/>
      <c r="P132" s="197"/>
      <c r="Q132" s="197"/>
      <c r="R132" s="197"/>
      <c r="S132" s="197"/>
      <c r="T132" s="197"/>
      <c r="U132" s="197"/>
      <c r="V132" s="203"/>
    </row>
    <row r="133" spans="2:22" ht="15" customHeight="1" x14ac:dyDescent="0.2">
      <c r="B133" s="75" t="s">
        <v>590</v>
      </c>
      <c r="C133" s="75" t="s">
        <v>783</v>
      </c>
      <c r="D133" s="197" t="s">
        <v>242</v>
      </c>
      <c r="E133" s="180" t="s">
        <v>253</v>
      </c>
      <c r="F133" s="197" t="s">
        <v>257</v>
      </c>
      <c r="G133" s="180" t="s">
        <v>826</v>
      </c>
      <c r="H133" s="198">
        <v>2023</v>
      </c>
      <c r="I133" s="180" t="s">
        <v>762</v>
      </c>
      <c r="J133" s="180" t="s">
        <v>166</v>
      </c>
      <c r="K133" s="199">
        <v>917</v>
      </c>
      <c r="L133" s="197"/>
      <c r="N133" s="197"/>
      <c r="O133" s="197"/>
      <c r="P133" s="197"/>
      <c r="Q133" s="197"/>
      <c r="R133" s="197"/>
      <c r="S133" s="197"/>
      <c r="T133" s="197"/>
      <c r="U133" s="197"/>
      <c r="V133" s="203"/>
    </row>
    <row r="134" spans="2:22" ht="15" customHeight="1" x14ac:dyDescent="0.2">
      <c r="B134" s="75" t="s">
        <v>589</v>
      </c>
      <c r="C134" s="75" t="s">
        <v>268</v>
      </c>
      <c r="D134" s="197" t="s">
        <v>242</v>
      </c>
      <c r="E134" s="180" t="s">
        <v>253</v>
      </c>
      <c r="F134" s="197" t="s">
        <v>257</v>
      </c>
      <c r="G134" s="180" t="s">
        <v>1050</v>
      </c>
      <c r="H134" s="198">
        <v>2010</v>
      </c>
      <c r="I134" s="180" t="s">
        <v>269</v>
      </c>
      <c r="J134" s="180" t="s">
        <v>6</v>
      </c>
      <c r="K134" s="199">
        <v>927.37</v>
      </c>
      <c r="L134" s="197"/>
      <c r="N134" s="197"/>
      <c r="O134" s="197"/>
      <c r="P134" s="197"/>
      <c r="Q134" s="197"/>
      <c r="R134" s="197"/>
      <c r="S134" s="197"/>
      <c r="T134" s="197"/>
      <c r="U134" s="197"/>
      <c r="V134" s="203"/>
    </row>
    <row r="135" spans="2:22" ht="15" customHeight="1" x14ac:dyDescent="0.2">
      <c r="B135" s="75" t="s">
        <v>589</v>
      </c>
      <c r="C135" s="75" t="s">
        <v>484</v>
      </c>
      <c r="D135" s="197" t="s">
        <v>242</v>
      </c>
      <c r="E135" s="180" t="s">
        <v>253</v>
      </c>
      <c r="F135" s="197" t="s">
        <v>485</v>
      </c>
      <c r="G135" s="180" t="s">
        <v>1050</v>
      </c>
      <c r="H135" s="198">
        <v>2007</v>
      </c>
      <c r="I135" s="180" t="s">
        <v>373</v>
      </c>
      <c r="J135" s="180" t="s">
        <v>1092</v>
      </c>
      <c r="K135" s="198">
        <v>860.33</v>
      </c>
      <c r="L135" s="197"/>
      <c r="N135" s="197"/>
      <c r="O135" s="197"/>
      <c r="P135" s="197"/>
      <c r="Q135" s="197"/>
      <c r="R135" s="197"/>
      <c r="S135" s="197"/>
      <c r="T135" s="197"/>
      <c r="U135" s="197"/>
      <c r="V135" s="203"/>
    </row>
    <row r="136" spans="2:22" ht="15" customHeight="1" x14ac:dyDescent="0.2">
      <c r="B136" s="75" t="s">
        <v>589</v>
      </c>
      <c r="C136" s="75" t="s">
        <v>217</v>
      </c>
      <c r="D136" s="197" t="s">
        <v>203</v>
      </c>
      <c r="E136" s="180" t="s">
        <v>218</v>
      </c>
      <c r="F136" s="197" t="s">
        <v>219</v>
      </c>
      <c r="G136" s="180" t="s">
        <v>1050</v>
      </c>
      <c r="H136" s="198">
        <v>2005</v>
      </c>
      <c r="I136" s="180" t="s">
        <v>220</v>
      </c>
      <c r="J136" s="180" t="s">
        <v>1</v>
      </c>
      <c r="K136" s="199">
        <v>2236</v>
      </c>
      <c r="L136" s="197"/>
      <c r="N136" s="197"/>
      <c r="O136" s="197"/>
      <c r="P136" s="197"/>
      <c r="Q136" s="197"/>
      <c r="R136" s="197"/>
      <c r="S136" s="197"/>
      <c r="T136" s="197"/>
      <c r="U136" s="197"/>
      <c r="V136" s="203"/>
    </row>
    <row r="137" spans="2:22" ht="15" customHeight="1" x14ac:dyDescent="0.2">
      <c r="B137" s="75" t="s">
        <v>589</v>
      </c>
      <c r="C137" s="75" t="s">
        <v>270</v>
      </c>
      <c r="D137" s="197" t="s">
        <v>242</v>
      </c>
      <c r="E137" s="180" t="s">
        <v>253</v>
      </c>
      <c r="F137" s="197" t="s">
        <v>271</v>
      </c>
      <c r="G137" s="180" t="s">
        <v>1050</v>
      </c>
      <c r="H137" s="198">
        <v>2008</v>
      </c>
      <c r="I137" s="180" t="s">
        <v>272</v>
      </c>
      <c r="J137" s="180" t="s">
        <v>3</v>
      </c>
      <c r="K137" s="198">
        <v>953</v>
      </c>
      <c r="L137" s="197"/>
      <c r="N137" s="197"/>
      <c r="O137" s="197"/>
      <c r="P137" s="197"/>
      <c r="Q137" s="197"/>
      <c r="R137" s="197"/>
      <c r="S137" s="197"/>
      <c r="T137" s="197"/>
      <c r="U137" s="197"/>
      <c r="V137" s="203"/>
    </row>
    <row r="138" spans="2:22" ht="15" customHeight="1" x14ac:dyDescent="0.2">
      <c r="B138" s="75" t="s">
        <v>589</v>
      </c>
      <c r="C138" s="75" t="s">
        <v>409</v>
      </c>
      <c r="D138" s="197" t="s">
        <v>242</v>
      </c>
      <c r="E138" s="180" t="s">
        <v>243</v>
      </c>
      <c r="F138" s="197" t="s">
        <v>244</v>
      </c>
      <c r="G138" s="180" t="s">
        <v>1050</v>
      </c>
      <c r="H138" s="198">
        <v>1996</v>
      </c>
      <c r="I138" s="180" t="s">
        <v>410</v>
      </c>
      <c r="J138" s="180" t="s">
        <v>1010</v>
      </c>
      <c r="K138" s="199">
        <v>645.42999999999995</v>
      </c>
      <c r="L138" s="197"/>
      <c r="N138" s="197"/>
      <c r="O138" s="197"/>
      <c r="P138" s="197"/>
      <c r="Q138" s="197"/>
      <c r="R138" s="197"/>
      <c r="S138" s="197"/>
      <c r="T138" s="197"/>
      <c r="U138" s="197"/>
      <c r="V138" s="203"/>
    </row>
    <row r="139" spans="2:22" ht="15" customHeight="1" x14ac:dyDescent="0.2">
      <c r="B139" s="75" t="s">
        <v>589</v>
      </c>
      <c r="C139" s="75" t="s">
        <v>486</v>
      </c>
      <c r="D139" s="197" t="s">
        <v>242</v>
      </c>
      <c r="E139" s="180" t="s">
        <v>253</v>
      </c>
      <c r="F139" s="197" t="s">
        <v>487</v>
      </c>
      <c r="G139" s="180" t="s">
        <v>1050</v>
      </c>
      <c r="H139" s="198">
        <v>2013</v>
      </c>
      <c r="I139" s="180" t="s">
        <v>356</v>
      </c>
      <c r="J139" s="180" t="s">
        <v>166</v>
      </c>
      <c r="K139" s="199">
        <v>810.75</v>
      </c>
      <c r="L139" s="197"/>
      <c r="N139" s="197"/>
      <c r="O139" s="197"/>
      <c r="P139" s="197"/>
      <c r="Q139" s="197"/>
      <c r="R139" s="197"/>
      <c r="S139" s="197"/>
      <c r="T139" s="197"/>
      <c r="U139" s="197"/>
      <c r="V139" s="203"/>
    </row>
    <row r="140" spans="2:22" ht="15" customHeight="1" x14ac:dyDescent="0.2">
      <c r="B140" s="75" t="s">
        <v>589</v>
      </c>
      <c r="C140" s="75" t="s">
        <v>315</v>
      </c>
      <c r="D140" s="197" t="s">
        <v>188</v>
      </c>
      <c r="E140" s="180" t="s">
        <v>189</v>
      </c>
      <c r="F140" s="197" t="s">
        <v>190</v>
      </c>
      <c r="G140" s="180" t="s">
        <v>1050</v>
      </c>
      <c r="H140" s="198">
        <v>1998</v>
      </c>
      <c r="I140" s="180" t="s">
        <v>316</v>
      </c>
      <c r="J140" s="180" t="s">
        <v>630</v>
      </c>
      <c r="K140" s="199">
        <v>974</v>
      </c>
      <c r="L140" s="197"/>
      <c r="N140" s="197"/>
      <c r="O140" s="197"/>
      <c r="P140" s="197"/>
      <c r="Q140" s="197"/>
      <c r="R140" s="197"/>
      <c r="S140" s="197"/>
      <c r="T140" s="197"/>
      <c r="U140" s="197"/>
      <c r="V140" s="203"/>
    </row>
    <row r="141" spans="2:22" ht="15" customHeight="1" x14ac:dyDescent="0.2">
      <c r="B141" s="75" t="s">
        <v>589</v>
      </c>
      <c r="C141" s="75" t="s">
        <v>693</v>
      </c>
      <c r="D141" s="197" t="s">
        <v>295</v>
      </c>
      <c r="E141" s="180" t="s">
        <v>296</v>
      </c>
      <c r="F141" s="197" t="s">
        <v>298</v>
      </c>
      <c r="G141" s="180" t="s">
        <v>1050</v>
      </c>
      <c r="H141" s="198">
        <v>2022</v>
      </c>
      <c r="I141" s="180" t="s">
        <v>685</v>
      </c>
      <c r="J141" s="180" t="s">
        <v>685</v>
      </c>
      <c r="K141" s="199">
        <v>1662.48</v>
      </c>
      <c r="L141" s="197"/>
      <c r="N141" s="197"/>
      <c r="O141" s="197"/>
      <c r="P141" s="197"/>
      <c r="Q141" s="197"/>
      <c r="R141" s="197"/>
      <c r="S141" s="197"/>
      <c r="T141" s="197"/>
      <c r="U141" s="197"/>
      <c r="V141" s="203"/>
    </row>
    <row r="142" spans="2:22" ht="15" customHeight="1" x14ac:dyDescent="0.2">
      <c r="B142" s="75" t="s">
        <v>589</v>
      </c>
      <c r="C142" s="75" t="s">
        <v>709</v>
      </c>
      <c r="D142" s="197" t="s">
        <v>203</v>
      </c>
      <c r="E142" s="180" t="s">
        <v>204</v>
      </c>
      <c r="F142" s="197" t="s">
        <v>205</v>
      </c>
      <c r="G142" s="180" t="s">
        <v>1050</v>
      </c>
      <c r="H142" s="198">
        <v>2005</v>
      </c>
      <c r="I142" s="180" t="s">
        <v>347</v>
      </c>
      <c r="J142" s="180" t="s">
        <v>703</v>
      </c>
      <c r="K142" s="199">
        <v>1621.75</v>
      </c>
      <c r="L142" s="197"/>
      <c r="N142" s="197"/>
      <c r="O142" s="197"/>
      <c r="P142" s="197"/>
      <c r="Q142" s="197"/>
      <c r="R142" s="197"/>
      <c r="S142" s="197"/>
      <c r="T142" s="197"/>
      <c r="U142" s="197"/>
      <c r="V142" s="203"/>
    </row>
    <row r="143" spans="2:22" ht="15" customHeight="1" x14ac:dyDescent="0.2">
      <c r="B143" s="75" t="s">
        <v>589</v>
      </c>
      <c r="C143" s="75" t="s">
        <v>747</v>
      </c>
      <c r="D143" s="197" t="s">
        <v>203</v>
      </c>
      <c r="E143" s="180" t="s">
        <v>361</v>
      </c>
      <c r="F143" s="197" t="s">
        <v>365</v>
      </c>
      <c r="G143" s="180" t="s">
        <v>1050</v>
      </c>
      <c r="H143" s="198">
        <v>2012</v>
      </c>
      <c r="I143" s="180" t="s">
        <v>352</v>
      </c>
      <c r="J143" s="180" t="s">
        <v>670</v>
      </c>
      <c r="K143" s="199">
        <v>1381.15</v>
      </c>
      <c r="L143" s="197"/>
      <c r="N143" s="197"/>
      <c r="O143" s="197"/>
      <c r="P143" s="197"/>
      <c r="Q143" s="197"/>
      <c r="R143" s="197"/>
      <c r="S143" s="197"/>
      <c r="T143" s="197"/>
      <c r="U143" s="197"/>
      <c r="V143" s="203"/>
    </row>
    <row r="144" spans="2:22" ht="15" customHeight="1" x14ac:dyDescent="0.2">
      <c r="B144" s="75" t="s">
        <v>590</v>
      </c>
      <c r="C144" s="75" t="s">
        <v>748</v>
      </c>
      <c r="D144" s="197" t="s">
        <v>203</v>
      </c>
      <c r="E144" s="180" t="s">
        <v>361</v>
      </c>
      <c r="F144" s="197" t="s">
        <v>365</v>
      </c>
      <c r="G144" s="180" t="s">
        <v>826</v>
      </c>
      <c r="H144" s="198">
        <v>2022</v>
      </c>
      <c r="I144" s="180" t="s">
        <v>742</v>
      </c>
      <c r="J144" s="180" t="s">
        <v>166</v>
      </c>
      <c r="K144" s="199">
        <v>1133</v>
      </c>
      <c r="L144" s="197"/>
      <c r="N144" s="197"/>
      <c r="O144" s="197"/>
      <c r="P144" s="197"/>
      <c r="Q144" s="197"/>
      <c r="R144" s="197"/>
      <c r="S144" s="197"/>
      <c r="T144" s="197"/>
      <c r="U144" s="197"/>
      <c r="V144" s="203"/>
    </row>
    <row r="145" spans="2:22" ht="15" customHeight="1" x14ac:dyDescent="0.2">
      <c r="B145" s="75" t="s">
        <v>589</v>
      </c>
      <c r="C145" s="75" t="s">
        <v>411</v>
      </c>
      <c r="D145" s="197" t="s">
        <v>242</v>
      </c>
      <c r="E145" s="180" t="s">
        <v>243</v>
      </c>
      <c r="F145" s="197" t="s">
        <v>244</v>
      </c>
      <c r="G145" s="180" t="s">
        <v>1050</v>
      </c>
      <c r="H145" s="198">
        <v>1996</v>
      </c>
      <c r="I145" s="180" t="s">
        <v>412</v>
      </c>
      <c r="J145" s="180" t="s">
        <v>551</v>
      </c>
      <c r="K145" s="199">
        <v>734</v>
      </c>
      <c r="L145" s="197"/>
      <c r="N145" s="197"/>
      <c r="O145" s="197"/>
      <c r="P145" s="197"/>
      <c r="Q145" s="197"/>
      <c r="R145" s="197"/>
      <c r="S145" s="197"/>
      <c r="T145" s="197"/>
      <c r="U145" s="197"/>
      <c r="V145" s="203"/>
    </row>
    <row r="146" spans="2:22" ht="15" customHeight="1" x14ac:dyDescent="0.2">
      <c r="B146" s="75" t="s">
        <v>589</v>
      </c>
      <c r="C146" s="75" t="s">
        <v>273</v>
      </c>
      <c r="D146" s="197" t="s">
        <v>242</v>
      </c>
      <c r="E146" s="180" t="s">
        <v>253</v>
      </c>
      <c r="F146" s="197" t="s">
        <v>257</v>
      </c>
      <c r="G146" s="180" t="s">
        <v>1050</v>
      </c>
      <c r="H146" s="198">
        <v>2003</v>
      </c>
      <c r="I146" s="180" t="s">
        <v>274</v>
      </c>
      <c r="J146" s="180" t="s">
        <v>4</v>
      </c>
      <c r="K146" s="199">
        <v>758.53</v>
      </c>
      <c r="L146" s="197"/>
      <c r="N146" s="197"/>
      <c r="O146" s="197"/>
      <c r="P146" s="197"/>
      <c r="Q146" s="197"/>
      <c r="R146" s="197"/>
      <c r="S146" s="197"/>
      <c r="T146" s="197"/>
      <c r="U146" s="197"/>
      <c r="V146" s="203"/>
    </row>
    <row r="147" spans="2:22" ht="15" customHeight="1" x14ac:dyDescent="0.2">
      <c r="B147" s="75" t="s">
        <v>589</v>
      </c>
      <c r="C147" s="75" t="s">
        <v>601</v>
      </c>
      <c r="D147" s="197" t="s">
        <v>188</v>
      </c>
      <c r="E147" s="180" t="s">
        <v>198</v>
      </c>
      <c r="F147" s="197" t="s">
        <v>199</v>
      </c>
      <c r="G147" s="180" t="s">
        <v>1050</v>
      </c>
      <c r="H147" s="198">
        <v>2011</v>
      </c>
      <c r="I147" s="180" t="s">
        <v>258</v>
      </c>
      <c r="J147" s="180" t="s">
        <v>618</v>
      </c>
      <c r="K147" s="199">
        <v>977</v>
      </c>
      <c r="L147" s="197"/>
      <c r="N147" s="197"/>
      <c r="O147" s="197"/>
      <c r="P147" s="197"/>
      <c r="Q147" s="197"/>
      <c r="R147" s="197"/>
      <c r="S147" s="197"/>
      <c r="T147" s="197"/>
      <c r="U147" s="197"/>
      <c r="V147" s="203"/>
    </row>
    <row r="148" spans="2:22" ht="15" customHeight="1" x14ac:dyDescent="0.2">
      <c r="B148" s="75" t="s">
        <v>589</v>
      </c>
      <c r="C148" s="75" t="s">
        <v>413</v>
      </c>
      <c r="D148" s="197" t="s">
        <v>242</v>
      </c>
      <c r="E148" s="180" t="s">
        <v>243</v>
      </c>
      <c r="F148" s="197" t="s">
        <v>244</v>
      </c>
      <c r="G148" s="180" t="s">
        <v>1050</v>
      </c>
      <c r="H148" s="198">
        <v>2012</v>
      </c>
      <c r="I148" s="180" t="s">
        <v>352</v>
      </c>
      <c r="J148" s="180" t="s">
        <v>166</v>
      </c>
      <c r="K148" s="199">
        <v>880.79</v>
      </c>
      <c r="L148" s="197"/>
      <c r="N148" s="197"/>
      <c r="O148" s="197"/>
      <c r="P148" s="197"/>
      <c r="Q148" s="197"/>
      <c r="R148" s="197"/>
      <c r="S148" s="197"/>
      <c r="T148" s="197"/>
      <c r="U148" s="197"/>
      <c r="V148" s="203"/>
    </row>
    <row r="149" spans="2:22" ht="15" customHeight="1" x14ac:dyDescent="0.2">
      <c r="B149" s="75" t="s">
        <v>589</v>
      </c>
      <c r="C149" s="75" t="s">
        <v>602</v>
      </c>
      <c r="D149" s="197" t="s">
        <v>188</v>
      </c>
      <c r="E149" s="180" t="s">
        <v>200</v>
      </c>
      <c r="F149" s="197" t="s">
        <v>201</v>
      </c>
      <c r="G149" s="180" t="s">
        <v>1050</v>
      </c>
      <c r="H149" s="198">
        <v>2018</v>
      </c>
      <c r="I149" s="180" t="s">
        <v>6</v>
      </c>
      <c r="J149" s="180" t="s">
        <v>6</v>
      </c>
      <c r="K149" s="199">
        <v>903.3</v>
      </c>
      <c r="L149" s="197"/>
      <c r="N149" s="197"/>
      <c r="O149" s="197"/>
      <c r="P149" s="197"/>
      <c r="Q149" s="197"/>
      <c r="R149" s="197"/>
      <c r="S149" s="197"/>
      <c r="T149" s="197"/>
      <c r="U149" s="197"/>
      <c r="V149" s="203"/>
    </row>
    <row r="150" spans="2:22" ht="15" customHeight="1" x14ac:dyDescent="0.2">
      <c r="B150" s="75" t="s">
        <v>589</v>
      </c>
      <c r="C150" s="75" t="s">
        <v>509</v>
      </c>
      <c r="D150" s="197" t="s">
        <v>295</v>
      </c>
      <c r="E150" s="180" t="s">
        <v>296</v>
      </c>
      <c r="F150" s="197" t="s">
        <v>298</v>
      </c>
      <c r="G150" s="180" t="s">
        <v>1050</v>
      </c>
      <c r="H150" s="198">
        <v>2004</v>
      </c>
      <c r="I150" s="180" t="s">
        <v>510</v>
      </c>
      <c r="J150" s="180" t="s">
        <v>166</v>
      </c>
      <c r="K150" s="198">
        <v>558.6</v>
      </c>
      <c r="L150" s="197"/>
      <c r="N150" s="197"/>
      <c r="O150" s="197"/>
      <c r="P150" s="197"/>
      <c r="Q150" s="197"/>
      <c r="R150" s="197"/>
      <c r="S150" s="197"/>
      <c r="T150" s="197"/>
      <c r="U150" s="197"/>
      <c r="V150" s="203"/>
    </row>
    <row r="151" spans="2:22" ht="15" customHeight="1" x14ac:dyDescent="0.2">
      <c r="B151" s="75" t="s">
        <v>590</v>
      </c>
      <c r="C151" s="75" t="s">
        <v>749</v>
      </c>
      <c r="D151" s="197" t="s">
        <v>188</v>
      </c>
      <c r="E151" s="180" t="s">
        <v>193</v>
      </c>
      <c r="F151" s="197" t="s">
        <v>750</v>
      </c>
      <c r="G151" s="180" t="s">
        <v>825</v>
      </c>
      <c r="H151" s="198">
        <v>2022</v>
      </c>
      <c r="I151" s="180" t="s">
        <v>742</v>
      </c>
      <c r="J151" s="180" t="s">
        <v>166</v>
      </c>
      <c r="K151" s="198">
        <v>536</v>
      </c>
      <c r="L151" s="197"/>
      <c r="N151" s="197"/>
      <c r="O151" s="197"/>
      <c r="P151" s="197"/>
      <c r="Q151" s="197"/>
      <c r="R151" s="197"/>
      <c r="S151" s="197"/>
      <c r="T151" s="197"/>
      <c r="U151" s="197"/>
      <c r="V151" s="203"/>
    </row>
    <row r="152" spans="2:22" ht="15" customHeight="1" x14ac:dyDescent="0.2">
      <c r="B152" s="75" t="s">
        <v>589</v>
      </c>
      <c r="C152" s="75" t="s">
        <v>488</v>
      </c>
      <c r="D152" s="197" t="s">
        <v>242</v>
      </c>
      <c r="E152" s="180" t="s">
        <v>253</v>
      </c>
      <c r="F152" s="197" t="s">
        <v>480</v>
      </c>
      <c r="G152" s="180" t="s">
        <v>1050</v>
      </c>
      <c r="H152" s="198">
        <v>2012</v>
      </c>
      <c r="I152" s="180" t="s">
        <v>363</v>
      </c>
      <c r="J152" s="180" t="s">
        <v>670</v>
      </c>
      <c r="K152" s="199">
        <v>1377</v>
      </c>
      <c r="L152" s="197"/>
      <c r="N152" s="197"/>
      <c r="O152" s="197"/>
      <c r="P152" s="197"/>
      <c r="Q152" s="197"/>
      <c r="R152" s="197"/>
      <c r="S152" s="197"/>
      <c r="T152" s="197"/>
      <c r="U152" s="197"/>
      <c r="V152" s="203"/>
    </row>
    <row r="153" spans="2:22" ht="15" customHeight="1" x14ac:dyDescent="0.2">
      <c r="B153" s="75" t="s">
        <v>589</v>
      </c>
      <c r="C153" s="75" t="s">
        <v>436</v>
      </c>
      <c r="D153" s="197" t="s">
        <v>242</v>
      </c>
      <c r="E153" s="180" t="s">
        <v>246</v>
      </c>
      <c r="F153" s="197" t="s">
        <v>437</v>
      </c>
      <c r="G153" s="180" t="s">
        <v>1050</v>
      </c>
      <c r="H153" s="198">
        <v>2008</v>
      </c>
      <c r="I153" s="180" t="s">
        <v>322</v>
      </c>
      <c r="J153" s="180" t="s">
        <v>166</v>
      </c>
      <c r="K153" s="199">
        <v>770.28</v>
      </c>
      <c r="L153" s="197"/>
      <c r="N153" s="197"/>
      <c r="O153" s="197"/>
      <c r="P153" s="197"/>
      <c r="Q153" s="197"/>
      <c r="R153" s="197"/>
      <c r="S153" s="197"/>
      <c r="T153" s="197"/>
      <c r="U153" s="197"/>
      <c r="V153" s="203"/>
    </row>
    <row r="154" spans="2:22" ht="15" customHeight="1" x14ac:dyDescent="0.2">
      <c r="B154" s="75" t="s">
        <v>589</v>
      </c>
      <c r="C154" s="75" t="s">
        <v>275</v>
      </c>
      <c r="D154" s="197" t="s">
        <v>242</v>
      </c>
      <c r="E154" s="180" t="s">
        <v>253</v>
      </c>
      <c r="F154" s="197" t="s">
        <v>276</v>
      </c>
      <c r="G154" s="180" t="s">
        <v>1050</v>
      </c>
      <c r="H154" s="198">
        <v>2010</v>
      </c>
      <c r="I154" s="180" t="s">
        <v>269</v>
      </c>
      <c r="J154" s="180" t="s">
        <v>3</v>
      </c>
      <c r="K154" s="199">
        <v>1108.27</v>
      </c>
      <c r="L154" s="197"/>
      <c r="N154" s="197"/>
      <c r="O154" s="197"/>
      <c r="P154" s="197"/>
      <c r="Q154" s="197"/>
      <c r="R154" s="197"/>
      <c r="S154" s="197"/>
      <c r="T154" s="197"/>
      <c r="U154" s="197"/>
      <c r="V154" s="203"/>
    </row>
    <row r="155" spans="2:22" ht="15" customHeight="1" x14ac:dyDescent="0.2">
      <c r="B155" s="75" t="s">
        <v>589</v>
      </c>
      <c r="C155" s="75" t="s">
        <v>374</v>
      </c>
      <c r="D155" s="197" t="s">
        <v>203</v>
      </c>
      <c r="E155" s="180" t="s">
        <v>218</v>
      </c>
      <c r="F155" s="197" t="s">
        <v>375</v>
      </c>
      <c r="G155" s="180" t="s">
        <v>1050</v>
      </c>
      <c r="H155" s="198">
        <v>2009</v>
      </c>
      <c r="I155" s="180" t="s">
        <v>287</v>
      </c>
      <c r="J155" s="180" t="s">
        <v>166</v>
      </c>
      <c r="K155" s="199">
        <v>640</v>
      </c>
      <c r="L155" s="197"/>
      <c r="N155" s="197"/>
      <c r="O155" s="197"/>
      <c r="P155" s="197"/>
      <c r="Q155" s="197"/>
      <c r="R155" s="197"/>
      <c r="S155" s="197"/>
      <c r="T155" s="197"/>
      <c r="U155" s="197"/>
      <c r="V155" s="203"/>
    </row>
    <row r="156" spans="2:22" ht="15" customHeight="1" x14ac:dyDescent="0.2">
      <c r="B156" s="75" t="s">
        <v>589</v>
      </c>
      <c r="C156" s="75" t="s">
        <v>489</v>
      </c>
      <c r="D156" s="197" t="s">
        <v>242</v>
      </c>
      <c r="E156" s="180" t="s">
        <v>253</v>
      </c>
      <c r="F156" s="197" t="s">
        <v>257</v>
      </c>
      <c r="G156" s="180" t="s">
        <v>1050</v>
      </c>
      <c r="H156" s="198">
        <v>2010</v>
      </c>
      <c r="I156" s="180" t="s">
        <v>269</v>
      </c>
      <c r="J156" s="180" t="s">
        <v>894</v>
      </c>
      <c r="K156" s="199">
        <v>506.72</v>
      </c>
      <c r="L156" s="197"/>
      <c r="N156" s="197"/>
      <c r="O156" s="197"/>
      <c r="P156" s="197"/>
      <c r="Q156" s="197"/>
      <c r="R156" s="197"/>
      <c r="S156" s="197"/>
      <c r="T156" s="197"/>
      <c r="U156" s="197"/>
      <c r="V156" s="203"/>
    </row>
    <row r="157" spans="2:22" ht="15" customHeight="1" x14ac:dyDescent="0.2">
      <c r="B157" s="75" t="s">
        <v>590</v>
      </c>
      <c r="C157" s="75" t="s">
        <v>565</v>
      </c>
      <c r="D157" s="197" t="s">
        <v>295</v>
      </c>
      <c r="E157" s="180" t="s">
        <v>301</v>
      </c>
      <c r="F157" s="197" t="s">
        <v>520</v>
      </c>
      <c r="G157" s="180" t="s">
        <v>826</v>
      </c>
      <c r="H157" s="198">
        <v>2013</v>
      </c>
      <c r="I157" s="180" t="s">
        <v>388</v>
      </c>
      <c r="J157" s="180" t="s">
        <v>166</v>
      </c>
      <c r="K157" s="199">
        <v>991</v>
      </c>
      <c r="L157" s="197"/>
      <c r="N157" s="197"/>
      <c r="O157" s="197"/>
      <c r="P157" s="197"/>
      <c r="Q157" s="197"/>
      <c r="R157" s="197"/>
      <c r="S157" s="197"/>
      <c r="T157" s="197"/>
      <c r="U157" s="197"/>
      <c r="V157" s="203"/>
    </row>
    <row r="158" spans="2:22" ht="15" customHeight="1" x14ac:dyDescent="0.2">
      <c r="B158" s="75" t="s">
        <v>590</v>
      </c>
      <c r="C158" s="75" t="s">
        <v>694</v>
      </c>
      <c r="D158" s="197" t="s">
        <v>295</v>
      </c>
      <c r="E158" s="180" t="s">
        <v>307</v>
      </c>
      <c r="F158" s="197" t="s">
        <v>696</v>
      </c>
      <c r="G158" s="180" t="s">
        <v>826</v>
      </c>
      <c r="H158" s="198">
        <v>2022</v>
      </c>
      <c r="I158" s="180" t="s">
        <v>685</v>
      </c>
      <c r="J158" s="180" t="s">
        <v>166</v>
      </c>
      <c r="K158" s="199">
        <v>1213</v>
      </c>
      <c r="L158" s="197"/>
      <c r="N158" s="197"/>
      <c r="O158" s="197"/>
      <c r="P158" s="197"/>
      <c r="Q158" s="197"/>
      <c r="R158" s="197"/>
      <c r="S158" s="197"/>
      <c r="T158" s="197"/>
      <c r="U158" s="197"/>
      <c r="V158" s="203"/>
    </row>
    <row r="159" spans="2:22" ht="15" customHeight="1" x14ac:dyDescent="0.2">
      <c r="B159" s="75" t="s">
        <v>589</v>
      </c>
      <c r="C159" s="75" t="s">
        <v>277</v>
      </c>
      <c r="D159" s="197" t="s">
        <v>242</v>
      </c>
      <c r="E159" s="180" t="s">
        <v>253</v>
      </c>
      <c r="F159" s="197" t="s">
        <v>257</v>
      </c>
      <c r="G159" s="180" t="s">
        <v>1050</v>
      </c>
      <c r="H159" s="198">
        <v>2005</v>
      </c>
      <c r="I159" s="180" t="s">
        <v>220</v>
      </c>
      <c r="J159" s="180" t="s">
        <v>2</v>
      </c>
      <c r="K159" s="199">
        <v>1806.39</v>
      </c>
      <c r="L159" s="197"/>
      <c r="N159" s="197"/>
      <c r="O159" s="197"/>
      <c r="P159" s="197"/>
      <c r="Q159" s="197"/>
      <c r="R159" s="197"/>
      <c r="S159" s="197"/>
      <c r="T159" s="197"/>
      <c r="U159" s="197"/>
      <c r="V159" s="203"/>
    </row>
    <row r="160" spans="2:22" ht="15" customHeight="1" x14ac:dyDescent="0.2">
      <c r="B160" s="75" t="s">
        <v>590</v>
      </c>
      <c r="C160" s="75" t="s">
        <v>735</v>
      </c>
      <c r="D160" s="197" t="s">
        <v>242</v>
      </c>
      <c r="E160" s="180" t="s">
        <v>253</v>
      </c>
      <c r="F160" s="197" t="s">
        <v>257</v>
      </c>
      <c r="G160" s="180" t="s">
        <v>825</v>
      </c>
      <c r="H160" s="198">
        <v>2022</v>
      </c>
      <c r="I160" s="180" t="s">
        <v>718</v>
      </c>
      <c r="J160" s="180" t="s">
        <v>166</v>
      </c>
      <c r="K160" s="199">
        <v>570</v>
      </c>
      <c r="L160" s="197"/>
      <c r="N160" s="197"/>
      <c r="O160" s="197"/>
      <c r="P160" s="197"/>
      <c r="Q160" s="197"/>
      <c r="R160" s="197"/>
      <c r="S160" s="197"/>
      <c r="T160" s="197"/>
      <c r="U160" s="197"/>
      <c r="V160" s="203"/>
    </row>
    <row r="161" spans="2:22" ht="15" customHeight="1" x14ac:dyDescent="0.2">
      <c r="B161" s="75" t="s">
        <v>589</v>
      </c>
      <c r="C161" s="75" t="s">
        <v>828</v>
      </c>
      <c r="D161" s="197" t="s">
        <v>242</v>
      </c>
      <c r="E161" s="180" t="s">
        <v>253</v>
      </c>
      <c r="F161" s="197" t="s">
        <v>466</v>
      </c>
      <c r="G161" s="180" t="s">
        <v>1050</v>
      </c>
      <c r="H161" s="198">
        <v>2023</v>
      </c>
      <c r="I161" s="180" t="s">
        <v>823</v>
      </c>
      <c r="J161" s="180" t="s">
        <v>823</v>
      </c>
      <c r="K161" s="199">
        <v>708</v>
      </c>
      <c r="L161" s="197"/>
      <c r="N161" s="197"/>
      <c r="O161" s="197"/>
      <c r="P161" s="197"/>
      <c r="Q161" s="197"/>
      <c r="R161" s="197"/>
      <c r="S161" s="197"/>
      <c r="T161" s="197"/>
      <c r="U161" s="197"/>
      <c r="V161" s="203"/>
    </row>
    <row r="162" spans="2:22" ht="15" customHeight="1" x14ac:dyDescent="0.2">
      <c r="B162" s="75" t="s">
        <v>589</v>
      </c>
      <c r="C162" s="75" t="s">
        <v>650</v>
      </c>
      <c r="D162" s="197" t="s">
        <v>188</v>
      </c>
      <c r="E162" s="180" t="s">
        <v>189</v>
      </c>
      <c r="F162" s="197" t="s">
        <v>190</v>
      </c>
      <c r="G162" s="180" t="s">
        <v>1050</v>
      </c>
      <c r="H162" s="198">
        <v>2021</v>
      </c>
      <c r="I162" s="180" t="s">
        <v>630</v>
      </c>
      <c r="J162" s="180" t="s">
        <v>630</v>
      </c>
      <c r="K162" s="199">
        <v>1292.3599999999999</v>
      </c>
      <c r="L162" s="197"/>
      <c r="N162" s="197"/>
      <c r="O162" s="197"/>
      <c r="P162" s="197"/>
      <c r="Q162" s="197"/>
      <c r="R162" s="197"/>
      <c r="S162" s="197"/>
      <c r="T162" s="197"/>
      <c r="U162" s="197"/>
      <c r="V162" s="203"/>
    </row>
    <row r="163" spans="2:22" ht="15" customHeight="1" x14ac:dyDescent="0.2">
      <c r="B163" s="75" t="s">
        <v>589</v>
      </c>
      <c r="C163" s="75" t="s">
        <v>556</v>
      </c>
      <c r="D163" s="197" t="s">
        <v>242</v>
      </c>
      <c r="E163" s="180" t="s">
        <v>253</v>
      </c>
      <c r="F163" s="197" t="s">
        <v>283</v>
      </c>
      <c r="G163" s="180" t="s">
        <v>1050</v>
      </c>
      <c r="H163" s="198">
        <v>2020</v>
      </c>
      <c r="I163" s="180" t="s">
        <v>551</v>
      </c>
      <c r="J163" s="180" t="s">
        <v>551</v>
      </c>
      <c r="K163" s="198">
        <v>1282</v>
      </c>
      <c r="L163" s="197"/>
      <c r="N163" s="197"/>
      <c r="O163" s="197"/>
      <c r="P163" s="197"/>
      <c r="Q163" s="197"/>
      <c r="R163" s="197"/>
      <c r="S163" s="197"/>
      <c r="T163" s="197"/>
      <c r="U163" s="197"/>
      <c r="V163" s="203"/>
    </row>
    <row r="164" spans="2:22" ht="15" customHeight="1" x14ac:dyDescent="0.2">
      <c r="B164" s="75" t="s">
        <v>589</v>
      </c>
      <c r="C164" s="75" t="s">
        <v>522</v>
      </c>
      <c r="D164" s="197" t="s">
        <v>295</v>
      </c>
      <c r="E164" s="180" t="s">
        <v>301</v>
      </c>
      <c r="F164" s="197" t="s">
        <v>523</v>
      </c>
      <c r="G164" s="180" t="s">
        <v>1050</v>
      </c>
      <c r="H164" s="198">
        <v>2009</v>
      </c>
      <c r="I164" s="180" t="s">
        <v>287</v>
      </c>
      <c r="J164" s="180" t="s">
        <v>166</v>
      </c>
      <c r="K164" s="199">
        <v>530.41</v>
      </c>
      <c r="L164" s="197"/>
      <c r="N164" s="197"/>
      <c r="O164" s="197"/>
      <c r="P164" s="197"/>
      <c r="Q164" s="197"/>
      <c r="R164" s="197"/>
      <c r="S164" s="197"/>
      <c r="T164" s="197"/>
      <c r="U164" s="197"/>
      <c r="V164" s="203"/>
    </row>
    <row r="165" spans="2:22" ht="15" customHeight="1" x14ac:dyDescent="0.2">
      <c r="B165" s="75" t="s">
        <v>589</v>
      </c>
      <c r="C165" s="75" t="s">
        <v>213</v>
      </c>
      <c r="D165" s="197" t="s">
        <v>203</v>
      </c>
      <c r="E165" s="180" t="s">
        <v>211</v>
      </c>
      <c r="F165" s="197" t="s">
        <v>212</v>
      </c>
      <c r="G165" s="180" t="s">
        <v>1050</v>
      </c>
      <c r="H165" s="198">
        <v>2003</v>
      </c>
      <c r="I165" s="180" t="s">
        <v>214</v>
      </c>
      <c r="J165" s="180" t="s">
        <v>0</v>
      </c>
      <c r="K165" s="199">
        <v>1952.28</v>
      </c>
      <c r="L165" s="197"/>
      <c r="N165" s="197"/>
      <c r="O165" s="197"/>
      <c r="P165" s="197"/>
      <c r="Q165" s="197"/>
      <c r="R165" s="197"/>
      <c r="S165" s="197"/>
      <c r="T165" s="197"/>
      <c r="U165" s="197"/>
      <c r="V165" s="203"/>
    </row>
    <row r="166" spans="2:22" ht="15" customHeight="1" x14ac:dyDescent="0.2">
      <c r="B166" s="75" t="s">
        <v>590</v>
      </c>
      <c r="C166" s="75" t="s">
        <v>736</v>
      </c>
      <c r="D166" s="197" t="s">
        <v>203</v>
      </c>
      <c r="E166" s="180" t="s">
        <v>211</v>
      </c>
      <c r="F166" s="197" t="s">
        <v>212</v>
      </c>
      <c r="G166" s="180" t="s">
        <v>825</v>
      </c>
      <c r="H166" s="198">
        <v>2022</v>
      </c>
      <c r="I166" s="180" t="s">
        <v>718</v>
      </c>
      <c r="J166" s="180" t="s">
        <v>166</v>
      </c>
      <c r="K166" s="199">
        <v>675.81</v>
      </c>
      <c r="L166" s="197"/>
      <c r="N166" s="197"/>
      <c r="O166" s="197"/>
      <c r="P166" s="197"/>
      <c r="Q166" s="197"/>
      <c r="R166" s="197"/>
      <c r="S166" s="197"/>
      <c r="T166" s="197"/>
      <c r="U166" s="197"/>
      <c r="V166" s="203"/>
    </row>
    <row r="167" spans="2:22" ht="15" customHeight="1" x14ac:dyDescent="0.2">
      <c r="B167" s="75" t="s">
        <v>589</v>
      </c>
      <c r="C167" s="75" t="s">
        <v>681</v>
      </c>
      <c r="D167" s="197" t="s">
        <v>242</v>
      </c>
      <c r="E167" s="180" t="s">
        <v>253</v>
      </c>
      <c r="F167" s="197" t="s">
        <v>257</v>
      </c>
      <c r="G167" s="180" t="s">
        <v>1050</v>
      </c>
      <c r="H167" s="198">
        <v>2021</v>
      </c>
      <c r="I167" s="180" t="s">
        <v>670</v>
      </c>
      <c r="J167" s="180" t="s">
        <v>670</v>
      </c>
      <c r="K167" s="198">
        <v>443</v>
      </c>
      <c r="L167" s="197"/>
      <c r="N167" s="197"/>
      <c r="O167" s="197"/>
      <c r="P167" s="197"/>
      <c r="Q167" s="197"/>
      <c r="R167" s="197"/>
      <c r="S167" s="197"/>
      <c r="T167" s="197"/>
      <c r="U167" s="197"/>
      <c r="V167" s="203"/>
    </row>
    <row r="168" spans="2:22" ht="15" customHeight="1" x14ac:dyDescent="0.2">
      <c r="B168" s="75" t="s">
        <v>590</v>
      </c>
      <c r="C168" s="75" t="s">
        <v>751</v>
      </c>
      <c r="D168" s="197" t="s">
        <v>295</v>
      </c>
      <c r="E168" s="180" t="s">
        <v>301</v>
      </c>
      <c r="F168" s="197" t="s">
        <v>302</v>
      </c>
      <c r="G168" s="180" t="s">
        <v>825</v>
      </c>
      <c r="H168" s="198">
        <v>2022</v>
      </c>
      <c r="I168" s="180" t="s">
        <v>742</v>
      </c>
      <c r="J168" s="180" t="s">
        <v>166</v>
      </c>
      <c r="K168" s="199">
        <v>813</v>
      </c>
      <c r="L168" s="197"/>
      <c r="N168" s="197"/>
      <c r="O168" s="197"/>
      <c r="P168" s="197"/>
      <c r="Q168" s="197"/>
      <c r="R168" s="197"/>
      <c r="S168" s="197"/>
      <c r="T168" s="197"/>
      <c r="U168" s="197"/>
      <c r="V168" s="203"/>
    </row>
    <row r="169" spans="2:22" ht="15" customHeight="1" x14ac:dyDescent="0.2">
      <c r="B169" s="75" t="s">
        <v>589</v>
      </c>
      <c r="C169" s="75" t="s">
        <v>603</v>
      </c>
      <c r="D169" s="197" t="s">
        <v>295</v>
      </c>
      <c r="E169" s="180" t="s">
        <v>301</v>
      </c>
      <c r="F169" s="197" t="s">
        <v>302</v>
      </c>
      <c r="G169" s="180" t="s">
        <v>1050</v>
      </c>
      <c r="H169" s="198">
        <v>2018</v>
      </c>
      <c r="I169" s="180" t="s">
        <v>6</v>
      </c>
      <c r="J169" s="180" t="s">
        <v>6</v>
      </c>
      <c r="K169" s="199">
        <v>1118.08</v>
      </c>
      <c r="L169" s="197"/>
      <c r="N169" s="197"/>
      <c r="O169" s="197"/>
      <c r="P169" s="197"/>
      <c r="Q169" s="197"/>
      <c r="R169" s="197"/>
      <c r="S169" s="197"/>
      <c r="T169" s="197"/>
      <c r="U169" s="197"/>
      <c r="V169" s="203"/>
    </row>
    <row r="170" spans="2:22" ht="15" customHeight="1" x14ac:dyDescent="0.2">
      <c r="B170" s="75" t="s">
        <v>589</v>
      </c>
      <c r="C170" s="75" t="s">
        <v>651</v>
      </c>
      <c r="D170" s="197" t="s">
        <v>242</v>
      </c>
      <c r="E170" s="180" t="s">
        <v>253</v>
      </c>
      <c r="F170" s="197" t="s">
        <v>260</v>
      </c>
      <c r="G170" s="180" t="s">
        <v>1050</v>
      </c>
      <c r="H170" s="198">
        <v>2021</v>
      </c>
      <c r="I170" s="180" t="s">
        <v>630</v>
      </c>
      <c r="J170" s="180" t="s">
        <v>630</v>
      </c>
      <c r="K170" s="199">
        <v>999.53</v>
      </c>
      <c r="L170" s="197"/>
      <c r="N170" s="197"/>
      <c r="O170" s="197"/>
      <c r="P170" s="197"/>
      <c r="Q170" s="197"/>
      <c r="R170" s="197"/>
      <c r="S170" s="197"/>
      <c r="T170" s="197"/>
      <c r="U170" s="197"/>
      <c r="V170" s="203"/>
    </row>
    <row r="171" spans="2:22" ht="15" customHeight="1" x14ac:dyDescent="0.2">
      <c r="B171" s="75" t="s">
        <v>589</v>
      </c>
      <c r="C171" s="75" t="s">
        <v>554</v>
      </c>
      <c r="D171" s="197" t="s">
        <v>242</v>
      </c>
      <c r="E171" s="180" t="s">
        <v>253</v>
      </c>
      <c r="F171" s="197" t="s">
        <v>555</v>
      </c>
      <c r="G171" s="180" t="s">
        <v>1050</v>
      </c>
      <c r="H171" s="198">
        <v>2020</v>
      </c>
      <c r="I171" s="180" t="s">
        <v>551</v>
      </c>
      <c r="J171" s="180" t="s">
        <v>551</v>
      </c>
      <c r="K171" s="199">
        <v>1318</v>
      </c>
      <c r="L171" s="197"/>
      <c r="N171" s="197"/>
      <c r="O171" s="197"/>
      <c r="P171" s="197"/>
      <c r="Q171" s="197"/>
      <c r="R171" s="197"/>
      <c r="S171" s="197"/>
      <c r="T171" s="197"/>
      <c r="U171" s="197"/>
      <c r="V171" s="203"/>
    </row>
    <row r="172" spans="2:22" ht="15" customHeight="1" x14ac:dyDescent="0.2">
      <c r="B172" s="75" t="s">
        <v>589</v>
      </c>
      <c r="C172" s="75" t="s">
        <v>682</v>
      </c>
      <c r="D172" s="197" t="s">
        <v>242</v>
      </c>
      <c r="E172" s="180" t="s">
        <v>253</v>
      </c>
      <c r="F172" s="197" t="s">
        <v>257</v>
      </c>
      <c r="G172" s="180" t="s">
        <v>1050</v>
      </c>
      <c r="H172" s="198">
        <v>2021</v>
      </c>
      <c r="I172" s="180" t="s">
        <v>670</v>
      </c>
      <c r="J172" s="180" t="s">
        <v>670</v>
      </c>
      <c r="K172" s="199">
        <v>506</v>
      </c>
      <c r="L172" s="197"/>
      <c r="N172" s="197"/>
      <c r="O172" s="197"/>
      <c r="P172" s="197"/>
      <c r="Q172" s="197"/>
      <c r="R172" s="197"/>
      <c r="S172" s="197"/>
      <c r="T172" s="197"/>
      <c r="U172" s="197"/>
      <c r="V172" s="203"/>
    </row>
    <row r="173" spans="2:22" ht="15" customHeight="1" x14ac:dyDescent="0.2">
      <c r="B173" s="75" t="s">
        <v>589</v>
      </c>
      <c r="C173" s="75" t="s">
        <v>439</v>
      </c>
      <c r="D173" s="197" t="s">
        <v>242</v>
      </c>
      <c r="E173" s="180" t="s">
        <v>246</v>
      </c>
      <c r="F173" s="197" t="s">
        <v>247</v>
      </c>
      <c r="G173" s="180" t="s">
        <v>1050</v>
      </c>
      <c r="H173" s="198">
        <v>2009</v>
      </c>
      <c r="I173" s="180" t="s">
        <v>319</v>
      </c>
      <c r="J173" s="180" t="s">
        <v>166</v>
      </c>
      <c r="K173" s="199">
        <v>800</v>
      </c>
      <c r="L173" s="197"/>
      <c r="N173" s="197"/>
      <c r="O173" s="197"/>
      <c r="P173" s="197"/>
      <c r="Q173" s="197"/>
      <c r="R173" s="197"/>
      <c r="S173" s="197"/>
      <c r="T173" s="197"/>
      <c r="U173" s="197"/>
      <c r="V173" s="203"/>
    </row>
    <row r="174" spans="2:22" ht="15" customHeight="1" x14ac:dyDescent="0.2">
      <c r="B174" s="75" t="s">
        <v>589</v>
      </c>
      <c r="C174" s="75" t="s">
        <v>414</v>
      </c>
      <c r="D174" s="197" t="s">
        <v>242</v>
      </c>
      <c r="E174" s="180" t="s">
        <v>243</v>
      </c>
      <c r="F174" s="197" t="s">
        <v>415</v>
      </c>
      <c r="G174" s="180" t="s">
        <v>1050</v>
      </c>
      <c r="H174" s="198">
        <v>2008</v>
      </c>
      <c r="I174" s="180" t="s">
        <v>272</v>
      </c>
      <c r="J174" s="180" t="s">
        <v>166</v>
      </c>
      <c r="K174" s="199">
        <v>603.99</v>
      </c>
      <c r="L174" s="197"/>
      <c r="N174" s="197"/>
      <c r="O174" s="197"/>
      <c r="P174" s="197"/>
      <c r="Q174" s="197"/>
      <c r="R174" s="197"/>
      <c r="S174" s="197"/>
      <c r="T174" s="197"/>
      <c r="U174" s="197"/>
      <c r="V174" s="203"/>
    </row>
    <row r="175" spans="2:22" ht="15" customHeight="1" x14ac:dyDescent="0.2">
      <c r="B175" s="75" t="s">
        <v>589</v>
      </c>
      <c r="C175" s="75" t="s">
        <v>710</v>
      </c>
      <c r="D175" s="197" t="s">
        <v>242</v>
      </c>
      <c r="E175" s="180" t="s">
        <v>253</v>
      </c>
      <c r="F175" s="197" t="s">
        <v>257</v>
      </c>
      <c r="G175" s="180" t="s">
        <v>1050</v>
      </c>
      <c r="H175" s="198">
        <v>2022</v>
      </c>
      <c r="I175" s="180" t="s">
        <v>703</v>
      </c>
      <c r="J175" s="180" t="s">
        <v>703</v>
      </c>
      <c r="K175" s="199">
        <v>1112</v>
      </c>
      <c r="L175" s="197"/>
      <c r="N175" s="197"/>
      <c r="O175" s="197"/>
      <c r="P175" s="197"/>
      <c r="Q175" s="197"/>
      <c r="R175" s="197"/>
      <c r="S175" s="197"/>
      <c r="T175" s="197"/>
      <c r="U175" s="197"/>
      <c r="V175" s="203"/>
    </row>
    <row r="176" spans="2:22" ht="15" customHeight="1" x14ac:dyDescent="0.2">
      <c r="B176" s="75" t="s">
        <v>589</v>
      </c>
      <c r="C176" s="75" t="s">
        <v>278</v>
      </c>
      <c r="D176" s="197" t="s">
        <v>242</v>
      </c>
      <c r="E176" s="180" t="s">
        <v>253</v>
      </c>
      <c r="F176" s="197" t="s">
        <v>279</v>
      </c>
      <c r="G176" s="180" t="s">
        <v>1050</v>
      </c>
      <c r="H176" s="198">
        <v>2011</v>
      </c>
      <c r="I176" s="180" t="s">
        <v>258</v>
      </c>
      <c r="J176" s="180" t="s">
        <v>7</v>
      </c>
      <c r="K176" s="199">
        <v>1768.37</v>
      </c>
      <c r="L176" s="197"/>
      <c r="N176" s="197"/>
      <c r="O176" s="197"/>
      <c r="P176" s="197"/>
      <c r="Q176" s="197"/>
      <c r="R176" s="197"/>
      <c r="S176" s="197"/>
      <c r="T176" s="197"/>
      <c r="U176" s="197"/>
      <c r="V176" s="203"/>
    </row>
    <row r="177" spans="2:22" ht="15" customHeight="1" x14ac:dyDescent="0.2">
      <c r="B177" s="75" t="s">
        <v>589</v>
      </c>
      <c r="C177" s="75" t="s">
        <v>309</v>
      </c>
      <c r="D177" s="197" t="s">
        <v>295</v>
      </c>
      <c r="E177" s="180" t="s">
        <v>307</v>
      </c>
      <c r="F177" s="197" t="s">
        <v>310</v>
      </c>
      <c r="G177" s="180" t="s">
        <v>1050</v>
      </c>
      <c r="H177" s="198">
        <v>2019</v>
      </c>
      <c r="I177" s="180" t="s">
        <v>2</v>
      </c>
      <c r="J177" s="180" t="s">
        <v>2</v>
      </c>
      <c r="K177" s="199">
        <v>1045.47</v>
      </c>
      <c r="L177" s="197"/>
      <c r="N177" s="197"/>
      <c r="O177" s="197"/>
      <c r="P177" s="197"/>
      <c r="Q177" s="197"/>
      <c r="R177" s="197"/>
      <c r="S177" s="197"/>
      <c r="T177" s="197"/>
      <c r="U177" s="197"/>
      <c r="V177" s="203"/>
    </row>
    <row r="178" spans="2:22" ht="15" customHeight="1" x14ac:dyDescent="0.2">
      <c r="B178" s="75" t="s">
        <v>589</v>
      </c>
      <c r="C178" s="75" t="s">
        <v>695</v>
      </c>
      <c r="D178" s="197" t="s">
        <v>242</v>
      </c>
      <c r="E178" s="180" t="s">
        <v>253</v>
      </c>
      <c r="F178" s="197" t="s">
        <v>257</v>
      </c>
      <c r="G178" s="180" t="s">
        <v>1050</v>
      </c>
      <c r="H178" s="198">
        <v>2022</v>
      </c>
      <c r="I178" s="180" t="s">
        <v>685</v>
      </c>
      <c r="J178" s="180" t="s">
        <v>685</v>
      </c>
      <c r="K178" s="199">
        <v>1701.44</v>
      </c>
      <c r="L178" s="197"/>
      <c r="N178" s="197"/>
      <c r="O178" s="197"/>
      <c r="P178" s="197"/>
      <c r="Q178" s="197"/>
      <c r="R178" s="197"/>
      <c r="S178" s="197"/>
      <c r="T178" s="197"/>
      <c r="U178" s="197"/>
      <c r="V178" s="203"/>
    </row>
    <row r="179" spans="2:22" ht="15" customHeight="1" x14ac:dyDescent="0.2">
      <c r="B179" s="75" t="s">
        <v>589</v>
      </c>
      <c r="C179" s="75" t="s">
        <v>416</v>
      </c>
      <c r="D179" s="197" t="s">
        <v>242</v>
      </c>
      <c r="E179" s="180" t="s">
        <v>243</v>
      </c>
      <c r="F179" s="197" t="s">
        <v>417</v>
      </c>
      <c r="G179" s="180" t="s">
        <v>1050</v>
      </c>
      <c r="H179" s="198">
        <v>2007</v>
      </c>
      <c r="I179" s="180" t="s">
        <v>373</v>
      </c>
      <c r="J179" s="180" t="s">
        <v>166</v>
      </c>
      <c r="K179" s="199">
        <v>531.78</v>
      </c>
      <c r="L179" s="197"/>
      <c r="N179" s="197"/>
      <c r="O179" s="197"/>
      <c r="P179" s="197"/>
      <c r="Q179" s="197"/>
      <c r="R179" s="197"/>
      <c r="S179" s="197"/>
      <c r="T179" s="197"/>
      <c r="U179" s="197"/>
      <c r="V179" s="203"/>
    </row>
    <row r="180" spans="2:22" ht="15" customHeight="1" x14ac:dyDescent="0.2">
      <c r="B180" s="75" t="s">
        <v>589</v>
      </c>
      <c r="C180" s="75" t="s">
        <v>280</v>
      </c>
      <c r="D180" s="197" t="s">
        <v>242</v>
      </c>
      <c r="E180" s="180" t="s">
        <v>253</v>
      </c>
      <c r="F180" s="197" t="s">
        <v>257</v>
      </c>
      <c r="G180" s="180" t="s">
        <v>1050</v>
      </c>
      <c r="H180" s="198">
        <v>2005</v>
      </c>
      <c r="I180" s="180" t="s">
        <v>228</v>
      </c>
      <c r="J180" s="180" t="s">
        <v>0</v>
      </c>
      <c r="K180" s="199">
        <v>1250</v>
      </c>
      <c r="L180" s="197"/>
      <c r="N180" s="197"/>
      <c r="O180" s="197"/>
      <c r="P180" s="197"/>
      <c r="Q180" s="197"/>
      <c r="R180" s="197"/>
      <c r="S180" s="197"/>
      <c r="T180" s="197"/>
      <c r="U180" s="197"/>
      <c r="V180" s="203"/>
    </row>
    <row r="181" spans="2:22" ht="15" customHeight="1" x14ac:dyDescent="0.2">
      <c r="B181" s="75" t="s">
        <v>589</v>
      </c>
      <c r="C181" s="75" t="s">
        <v>229</v>
      </c>
      <c r="D181" s="197" t="s">
        <v>203</v>
      </c>
      <c r="E181" s="180" t="s">
        <v>230</v>
      </c>
      <c r="F181" s="197" t="s">
        <v>231</v>
      </c>
      <c r="G181" s="180" t="s">
        <v>1050</v>
      </c>
      <c r="H181" s="198">
        <v>2006</v>
      </c>
      <c r="I181" s="180" t="s">
        <v>232</v>
      </c>
      <c r="J181" s="180" t="s">
        <v>153</v>
      </c>
      <c r="K181" s="199">
        <v>1187.52</v>
      </c>
      <c r="L181" s="197"/>
      <c r="N181" s="197"/>
      <c r="O181" s="197"/>
      <c r="P181" s="197"/>
      <c r="Q181" s="197"/>
      <c r="R181" s="197"/>
      <c r="S181" s="197"/>
      <c r="T181" s="197"/>
      <c r="U181" s="197"/>
      <c r="V181" s="203"/>
    </row>
    <row r="182" spans="2:22" ht="15" customHeight="1" x14ac:dyDescent="0.2">
      <c r="B182" s="75" t="s">
        <v>589</v>
      </c>
      <c r="C182" s="75" t="s">
        <v>249</v>
      </c>
      <c r="D182" s="197" t="s">
        <v>242</v>
      </c>
      <c r="E182" s="180" t="s">
        <v>246</v>
      </c>
      <c r="F182" s="197" t="s">
        <v>247</v>
      </c>
      <c r="G182" s="180" t="s">
        <v>1050</v>
      </c>
      <c r="H182" s="198">
        <v>2006</v>
      </c>
      <c r="I182" s="180" t="s">
        <v>250</v>
      </c>
      <c r="J182" s="180" t="s">
        <v>4</v>
      </c>
      <c r="K182" s="199">
        <v>1390.1</v>
      </c>
      <c r="L182" s="197"/>
      <c r="N182" s="197"/>
      <c r="O182" s="197"/>
      <c r="P182" s="197"/>
      <c r="Q182" s="197"/>
      <c r="R182" s="197"/>
      <c r="S182" s="197"/>
      <c r="T182" s="197"/>
      <c r="U182" s="197"/>
      <c r="V182" s="203"/>
    </row>
    <row r="183" spans="2:22" ht="15" customHeight="1" x14ac:dyDescent="0.2">
      <c r="B183" s="75" t="s">
        <v>590</v>
      </c>
      <c r="C183" s="75" t="s">
        <v>557</v>
      </c>
      <c r="D183" s="197" t="s">
        <v>242</v>
      </c>
      <c r="E183" s="180" t="s">
        <v>253</v>
      </c>
      <c r="F183" s="197" t="s">
        <v>257</v>
      </c>
      <c r="G183" s="180" t="s">
        <v>826</v>
      </c>
      <c r="H183" s="198">
        <v>2011</v>
      </c>
      <c r="I183" s="180" t="s">
        <v>330</v>
      </c>
      <c r="J183" s="180" t="s">
        <v>166</v>
      </c>
      <c r="K183" s="199">
        <v>697</v>
      </c>
      <c r="L183" s="197"/>
      <c r="N183" s="197"/>
      <c r="O183" s="197"/>
      <c r="P183" s="197"/>
      <c r="Q183" s="197"/>
      <c r="R183" s="197"/>
      <c r="S183" s="197"/>
      <c r="T183" s="197"/>
      <c r="U183" s="197"/>
      <c r="V183" s="203"/>
    </row>
    <row r="184" spans="2:22" ht="15" customHeight="1" x14ac:dyDescent="0.2">
      <c r="B184" s="75" t="s">
        <v>590</v>
      </c>
      <c r="C184" s="75" t="s">
        <v>784</v>
      </c>
      <c r="D184" s="197" t="s">
        <v>242</v>
      </c>
      <c r="E184" s="180" t="s">
        <v>253</v>
      </c>
      <c r="F184" s="197" t="s">
        <v>254</v>
      </c>
      <c r="G184" s="180" t="s">
        <v>826</v>
      </c>
      <c r="H184" s="198">
        <v>2023</v>
      </c>
      <c r="I184" s="180" t="s">
        <v>762</v>
      </c>
      <c r="J184" s="180" t="s">
        <v>166</v>
      </c>
      <c r="K184" s="199">
        <v>1227</v>
      </c>
      <c r="L184" s="197"/>
      <c r="N184" s="197"/>
      <c r="O184" s="197"/>
      <c r="P184" s="197"/>
      <c r="Q184" s="197"/>
      <c r="R184" s="197"/>
      <c r="S184" s="197"/>
      <c r="T184" s="197"/>
      <c r="U184" s="197"/>
      <c r="V184" s="203"/>
    </row>
    <row r="185" spans="2:22" ht="15" customHeight="1" x14ac:dyDescent="0.2">
      <c r="B185" s="75" t="s">
        <v>589</v>
      </c>
      <c r="C185" s="75" t="s">
        <v>440</v>
      </c>
      <c r="D185" s="197" t="s">
        <v>242</v>
      </c>
      <c r="E185" s="180" t="s">
        <v>246</v>
      </c>
      <c r="F185" s="197" t="s">
        <v>247</v>
      </c>
      <c r="G185" s="180" t="s">
        <v>1050</v>
      </c>
      <c r="H185" s="198">
        <v>2002</v>
      </c>
      <c r="I185" s="180" t="s">
        <v>245</v>
      </c>
      <c r="J185" s="180" t="s">
        <v>742</v>
      </c>
      <c r="K185" s="198">
        <v>873</v>
      </c>
      <c r="L185" s="197"/>
      <c r="N185" s="197"/>
      <c r="O185" s="197"/>
      <c r="P185" s="197"/>
      <c r="Q185" s="197"/>
      <c r="R185" s="197"/>
      <c r="S185" s="197"/>
      <c r="T185" s="197"/>
      <c r="U185" s="197"/>
      <c r="V185" s="203"/>
    </row>
    <row r="186" spans="2:22" ht="15" customHeight="1" x14ac:dyDescent="0.2">
      <c r="B186" s="75" t="s">
        <v>589</v>
      </c>
      <c r="C186" s="75" t="s">
        <v>384</v>
      </c>
      <c r="D186" s="197" t="s">
        <v>234</v>
      </c>
      <c r="E186" s="180" t="s">
        <v>381</v>
      </c>
      <c r="F186" s="197" t="s">
        <v>382</v>
      </c>
      <c r="G186" s="180" t="s">
        <v>1050</v>
      </c>
      <c r="H186" s="198">
        <v>2009</v>
      </c>
      <c r="I186" s="180" t="s">
        <v>319</v>
      </c>
      <c r="J186" s="180" t="s">
        <v>618</v>
      </c>
      <c r="K186" s="199">
        <v>1708</v>
      </c>
      <c r="L186" s="197"/>
      <c r="N186" s="197"/>
      <c r="O186" s="197"/>
      <c r="P186" s="197"/>
      <c r="Q186" s="197"/>
      <c r="R186" s="197"/>
      <c r="S186" s="197"/>
      <c r="T186" s="197"/>
      <c r="U186" s="197"/>
      <c r="V186" s="203"/>
    </row>
    <row r="187" spans="2:22" ht="15" customHeight="1" x14ac:dyDescent="0.2">
      <c r="B187" s="75" t="s">
        <v>590</v>
      </c>
      <c r="C187" s="75" t="s">
        <v>752</v>
      </c>
      <c r="D187" s="197" t="s">
        <v>203</v>
      </c>
      <c r="E187" s="180" t="s">
        <v>216</v>
      </c>
      <c r="F187" s="197" t="s">
        <v>367</v>
      </c>
      <c r="G187" s="180" t="s">
        <v>826</v>
      </c>
      <c r="H187" s="198">
        <v>2022</v>
      </c>
      <c r="I187" s="180" t="s">
        <v>742</v>
      </c>
      <c r="J187" s="180" t="s">
        <v>166</v>
      </c>
      <c r="K187" s="198">
        <v>1231</v>
      </c>
      <c r="L187" s="197"/>
      <c r="N187" s="197"/>
      <c r="O187" s="197"/>
      <c r="P187" s="197"/>
      <c r="Q187" s="197"/>
      <c r="R187" s="197"/>
      <c r="S187" s="197"/>
      <c r="T187" s="197"/>
      <c r="U187" s="197"/>
      <c r="V187" s="203"/>
    </row>
    <row r="188" spans="2:22" ht="15" customHeight="1" x14ac:dyDescent="0.2">
      <c r="B188" s="75" t="s">
        <v>589</v>
      </c>
      <c r="C188" s="75" t="s">
        <v>652</v>
      </c>
      <c r="D188" s="197" t="s">
        <v>295</v>
      </c>
      <c r="E188" s="180" t="s">
        <v>296</v>
      </c>
      <c r="F188" s="197" t="s">
        <v>297</v>
      </c>
      <c r="G188" s="180" t="s">
        <v>1050</v>
      </c>
      <c r="H188" s="198">
        <v>2021</v>
      </c>
      <c r="I188" s="180" t="s">
        <v>630</v>
      </c>
      <c r="J188" s="180" t="s">
        <v>630</v>
      </c>
      <c r="K188" s="199">
        <v>1142.71</v>
      </c>
      <c r="L188" s="197"/>
      <c r="N188" s="197"/>
      <c r="O188" s="197"/>
      <c r="P188" s="197"/>
      <c r="Q188" s="197"/>
      <c r="R188" s="197"/>
      <c r="S188" s="197"/>
      <c r="T188" s="197"/>
      <c r="U188" s="197"/>
      <c r="V188" s="203"/>
    </row>
    <row r="189" spans="2:22" ht="15" customHeight="1" x14ac:dyDescent="0.2">
      <c r="B189" s="75" t="s">
        <v>589</v>
      </c>
      <c r="C189" s="75" t="s">
        <v>490</v>
      </c>
      <c r="D189" s="197" t="s">
        <v>242</v>
      </c>
      <c r="E189" s="180" t="s">
        <v>253</v>
      </c>
      <c r="F189" s="197" t="s">
        <v>491</v>
      </c>
      <c r="G189" s="180" t="s">
        <v>1050</v>
      </c>
      <c r="H189" s="198">
        <v>2007</v>
      </c>
      <c r="I189" s="180" t="s">
        <v>344</v>
      </c>
      <c r="J189" s="180" t="s">
        <v>591</v>
      </c>
      <c r="K189" s="199">
        <v>1169.31</v>
      </c>
      <c r="L189" s="197"/>
      <c r="N189" s="197"/>
      <c r="O189" s="197"/>
      <c r="P189" s="197"/>
      <c r="Q189" s="197"/>
      <c r="R189" s="197"/>
      <c r="S189" s="197"/>
      <c r="T189" s="197"/>
      <c r="U189" s="197"/>
      <c r="V189" s="203"/>
    </row>
    <row r="190" spans="2:22" ht="15" customHeight="1" x14ac:dyDescent="0.2">
      <c r="B190" s="75" t="s">
        <v>590</v>
      </c>
      <c r="C190" s="75" t="s">
        <v>653</v>
      </c>
      <c r="D190" s="197" t="s">
        <v>242</v>
      </c>
      <c r="E190" s="180" t="s">
        <v>253</v>
      </c>
      <c r="F190" s="197" t="s">
        <v>257</v>
      </c>
      <c r="G190" s="180" t="s">
        <v>826</v>
      </c>
      <c r="H190" s="198">
        <v>2018</v>
      </c>
      <c r="I190" s="180" t="s">
        <v>272</v>
      </c>
      <c r="J190" s="180" t="s">
        <v>166</v>
      </c>
      <c r="K190" s="199">
        <v>792</v>
      </c>
      <c r="L190" s="197"/>
      <c r="N190" s="197"/>
      <c r="O190" s="197"/>
      <c r="P190" s="197"/>
      <c r="Q190" s="197"/>
      <c r="R190" s="197"/>
      <c r="S190" s="197"/>
      <c r="T190" s="197"/>
      <c r="U190" s="197"/>
      <c r="V190" s="203"/>
    </row>
    <row r="191" spans="2:22" ht="15" customHeight="1" x14ac:dyDescent="0.2">
      <c r="B191" s="75" t="s">
        <v>589</v>
      </c>
      <c r="C191" s="75" t="s">
        <v>492</v>
      </c>
      <c r="D191" s="197" t="s">
        <v>242</v>
      </c>
      <c r="E191" s="180" t="s">
        <v>253</v>
      </c>
      <c r="F191" s="197" t="s">
        <v>257</v>
      </c>
      <c r="G191" s="180" t="s">
        <v>1050</v>
      </c>
      <c r="H191" s="198">
        <v>2006</v>
      </c>
      <c r="I191" s="180" t="s">
        <v>232</v>
      </c>
      <c r="J191" s="180" t="s">
        <v>166</v>
      </c>
      <c r="K191" s="199">
        <v>559.48</v>
      </c>
      <c r="L191" s="197"/>
      <c r="N191" s="197"/>
      <c r="O191" s="197"/>
      <c r="P191" s="197"/>
      <c r="Q191" s="197"/>
      <c r="R191" s="197"/>
      <c r="S191" s="197"/>
      <c r="T191" s="197"/>
      <c r="U191" s="197"/>
      <c r="V191" s="203"/>
    </row>
    <row r="192" spans="2:22" ht="15" customHeight="1" x14ac:dyDescent="0.2">
      <c r="B192" s="75" t="s">
        <v>589</v>
      </c>
      <c r="C192" s="75" t="s">
        <v>281</v>
      </c>
      <c r="D192" s="197" t="s">
        <v>242</v>
      </c>
      <c r="E192" s="180" t="s">
        <v>253</v>
      </c>
      <c r="F192" s="197" t="s">
        <v>257</v>
      </c>
      <c r="G192" s="180" t="s">
        <v>1050</v>
      </c>
      <c r="H192" s="198">
        <v>2002</v>
      </c>
      <c r="I192" s="180" t="s">
        <v>245</v>
      </c>
      <c r="J192" s="180" t="s">
        <v>8</v>
      </c>
      <c r="K192" s="199">
        <v>637.78</v>
      </c>
      <c r="L192" s="197"/>
      <c r="N192" s="197"/>
      <c r="O192" s="197"/>
      <c r="P192" s="197"/>
      <c r="Q192" s="197"/>
      <c r="R192" s="197"/>
      <c r="S192" s="197"/>
      <c r="T192" s="197"/>
      <c r="U192" s="197"/>
      <c r="V192" s="203"/>
    </row>
    <row r="193" spans="2:22" ht="15" customHeight="1" x14ac:dyDescent="0.2">
      <c r="B193" s="75" t="s">
        <v>589</v>
      </c>
      <c r="C193" s="75" t="s">
        <v>493</v>
      </c>
      <c r="D193" s="197" t="s">
        <v>242</v>
      </c>
      <c r="E193" s="180" t="s">
        <v>253</v>
      </c>
      <c r="F193" s="197" t="s">
        <v>257</v>
      </c>
      <c r="G193" s="180" t="s">
        <v>1050</v>
      </c>
      <c r="H193" s="198">
        <v>2013</v>
      </c>
      <c r="I193" s="180" t="s">
        <v>429</v>
      </c>
      <c r="J193" s="180" t="s">
        <v>670</v>
      </c>
      <c r="K193" s="199">
        <v>1065.69</v>
      </c>
      <c r="L193" s="197"/>
      <c r="N193" s="197"/>
      <c r="O193" s="197"/>
      <c r="P193" s="197"/>
      <c r="Q193" s="197"/>
      <c r="R193" s="197"/>
      <c r="S193" s="197"/>
      <c r="T193" s="197"/>
      <c r="U193" s="197"/>
      <c r="V193" s="203"/>
    </row>
    <row r="194" spans="2:22" ht="15" customHeight="1" x14ac:dyDescent="0.2">
      <c r="B194" s="75" t="s">
        <v>589</v>
      </c>
      <c r="C194" s="75" t="s">
        <v>238</v>
      </c>
      <c r="D194" s="197" t="s">
        <v>234</v>
      </c>
      <c r="E194" s="180" t="s">
        <v>235</v>
      </c>
      <c r="F194" s="197" t="s">
        <v>654</v>
      </c>
      <c r="G194" s="180" t="s">
        <v>1050</v>
      </c>
      <c r="H194" s="198">
        <v>2019</v>
      </c>
      <c r="I194" s="180" t="s">
        <v>2</v>
      </c>
      <c r="J194" s="180" t="s">
        <v>2</v>
      </c>
      <c r="K194" s="199">
        <v>1244</v>
      </c>
      <c r="L194" s="197"/>
      <c r="N194" s="197"/>
      <c r="O194" s="197"/>
      <c r="P194" s="197"/>
      <c r="Q194" s="197"/>
      <c r="R194" s="197"/>
      <c r="S194" s="197"/>
      <c r="T194" s="197"/>
      <c r="U194" s="197"/>
      <c r="V194" s="203"/>
    </row>
    <row r="195" spans="2:22" ht="15" customHeight="1" x14ac:dyDescent="0.2">
      <c r="B195" s="75" t="s">
        <v>589</v>
      </c>
      <c r="C195" s="75" t="s">
        <v>418</v>
      </c>
      <c r="D195" s="197" t="s">
        <v>242</v>
      </c>
      <c r="E195" s="180" t="s">
        <v>243</v>
      </c>
      <c r="F195" s="197" t="s">
        <v>419</v>
      </c>
      <c r="G195" s="180" t="s">
        <v>1050</v>
      </c>
      <c r="H195" s="198">
        <v>2013</v>
      </c>
      <c r="I195" s="180" t="s">
        <v>356</v>
      </c>
      <c r="J195" s="180" t="s">
        <v>166</v>
      </c>
      <c r="K195" s="199">
        <v>1104.6400000000001</v>
      </c>
      <c r="L195" s="197"/>
      <c r="N195" s="197"/>
      <c r="O195" s="197"/>
      <c r="P195" s="197"/>
      <c r="Q195" s="197"/>
      <c r="R195" s="197"/>
      <c r="S195" s="197"/>
      <c r="T195" s="197"/>
      <c r="U195" s="197"/>
      <c r="V195" s="203"/>
    </row>
    <row r="196" spans="2:22" ht="15" customHeight="1" x14ac:dyDescent="0.2">
      <c r="B196" s="75" t="s">
        <v>590</v>
      </c>
      <c r="C196" s="75" t="s">
        <v>785</v>
      </c>
      <c r="D196" s="197" t="s">
        <v>234</v>
      </c>
      <c r="E196" s="180" t="s">
        <v>235</v>
      </c>
      <c r="F196" s="197" t="s">
        <v>786</v>
      </c>
      <c r="G196" s="180" t="s">
        <v>826</v>
      </c>
      <c r="H196" s="198">
        <v>2023</v>
      </c>
      <c r="I196" s="180" t="s">
        <v>762</v>
      </c>
      <c r="J196" s="180" t="s">
        <v>166</v>
      </c>
      <c r="K196" s="198">
        <v>979</v>
      </c>
      <c r="L196" s="197"/>
      <c r="N196" s="197"/>
      <c r="O196" s="197"/>
      <c r="P196" s="197"/>
      <c r="Q196" s="197"/>
      <c r="R196" s="197"/>
      <c r="S196" s="197"/>
      <c r="T196" s="197"/>
      <c r="U196" s="197"/>
      <c r="V196" s="203"/>
    </row>
    <row r="197" spans="2:22" ht="15" customHeight="1" x14ac:dyDescent="0.2">
      <c r="B197" s="75" t="s">
        <v>589</v>
      </c>
      <c r="C197" s="75" t="s">
        <v>441</v>
      </c>
      <c r="D197" s="197" t="s">
        <v>242</v>
      </c>
      <c r="E197" s="180" t="s">
        <v>246</v>
      </c>
      <c r="F197" s="197" t="s">
        <v>247</v>
      </c>
      <c r="G197" s="180" t="s">
        <v>1050</v>
      </c>
      <c r="H197" s="198">
        <v>2014</v>
      </c>
      <c r="I197" s="180" t="s">
        <v>336</v>
      </c>
      <c r="J197" s="180" t="s">
        <v>703</v>
      </c>
      <c r="K197" s="199">
        <v>1881.94</v>
      </c>
      <c r="L197" s="197"/>
      <c r="N197" s="197"/>
      <c r="O197" s="197"/>
      <c r="P197" s="197"/>
      <c r="Q197" s="197"/>
      <c r="R197" s="197"/>
      <c r="S197" s="197"/>
      <c r="T197" s="197"/>
      <c r="U197" s="197"/>
      <c r="V197" s="203"/>
    </row>
    <row r="198" spans="2:22" ht="15" customHeight="1" x14ac:dyDescent="0.2">
      <c r="B198" s="75" t="s">
        <v>589</v>
      </c>
      <c r="C198" s="75" t="s">
        <v>511</v>
      </c>
      <c r="D198" s="197" t="s">
        <v>295</v>
      </c>
      <c r="E198" s="180" t="s">
        <v>296</v>
      </c>
      <c r="F198" s="197" t="s">
        <v>298</v>
      </c>
      <c r="G198" s="180" t="s">
        <v>1050</v>
      </c>
      <c r="H198" s="198">
        <v>2009</v>
      </c>
      <c r="I198" s="180" t="s">
        <v>265</v>
      </c>
      <c r="J198" s="180" t="s">
        <v>1092</v>
      </c>
      <c r="K198" s="199">
        <v>859.95</v>
      </c>
      <c r="L198" s="197"/>
      <c r="N198" s="197"/>
      <c r="O198" s="197"/>
      <c r="P198" s="197"/>
      <c r="Q198" s="197"/>
      <c r="R198" s="197"/>
      <c r="S198" s="197"/>
      <c r="T198" s="197"/>
      <c r="U198" s="197"/>
      <c r="V198" s="203"/>
    </row>
    <row r="199" spans="2:22" ht="15" customHeight="1" x14ac:dyDescent="0.2">
      <c r="B199" s="75" t="s">
        <v>589</v>
      </c>
      <c r="C199" s="75" t="s">
        <v>829</v>
      </c>
      <c r="D199" s="197" t="s">
        <v>295</v>
      </c>
      <c r="E199" s="180" t="s">
        <v>307</v>
      </c>
      <c r="F199" s="197" t="s">
        <v>534</v>
      </c>
      <c r="G199" s="180" t="s">
        <v>1050</v>
      </c>
      <c r="H199" s="198">
        <v>2023</v>
      </c>
      <c r="I199" s="180" t="s">
        <v>823</v>
      </c>
      <c r="J199" s="180" t="s">
        <v>823</v>
      </c>
      <c r="K199" s="199">
        <v>989.61</v>
      </c>
      <c r="L199" s="197"/>
      <c r="N199" s="197"/>
      <c r="O199" s="197"/>
      <c r="P199" s="197"/>
      <c r="Q199" s="197"/>
      <c r="R199" s="197"/>
      <c r="S199" s="197"/>
      <c r="T199" s="197"/>
      <c r="U199" s="197"/>
      <c r="V199" s="203"/>
    </row>
    <row r="200" spans="2:22" ht="15" customHeight="1" x14ac:dyDescent="0.2">
      <c r="B200" s="75" t="s">
        <v>589</v>
      </c>
      <c r="C200" s="75" t="s">
        <v>535</v>
      </c>
      <c r="D200" s="197" t="s">
        <v>295</v>
      </c>
      <c r="E200" s="180" t="s">
        <v>307</v>
      </c>
      <c r="F200" s="197" t="s">
        <v>529</v>
      </c>
      <c r="G200" s="180" t="s">
        <v>1050</v>
      </c>
      <c r="H200" s="198">
        <v>2008</v>
      </c>
      <c r="I200" s="180" t="s">
        <v>410</v>
      </c>
      <c r="J200" s="180" t="s">
        <v>591</v>
      </c>
      <c r="K200" s="199">
        <v>943.11</v>
      </c>
      <c r="L200" s="197"/>
      <c r="N200" s="197"/>
      <c r="O200" s="197"/>
      <c r="P200" s="197"/>
      <c r="Q200" s="197"/>
      <c r="R200" s="197"/>
      <c r="S200" s="197"/>
      <c r="T200" s="197"/>
      <c r="U200" s="197"/>
      <c r="V200" s="203"/>
    </row>
    <row r="201" spans="2:22" ht="15" customHeight="1" x14ac:dyDescent="0.2">
      <c r="B201" s="75" t="s">
        <v>589</v>
      </c>
      <c r="C201" s="75" t="s">
        <v>329</v>
      </c>
      <c r="D201" s="197" t="s">
        <v>188</v>
      </c>
      <c r="E201" s="180" t="s">
        <v>198</v>
      </c>
      <c r="F201" s="197" t="s">
        <v>199</v>
      </c>
      <c r="G201" s="180" t="s">
        <v>1050</v>
      </c>
      <c r="H201" s="198">
        <v>2011</v>
      </c>
      <c r="I201" s="180" t="s">
        <v>330</v>
      </c>
      <c r="J201" s="180" t="s">
        <v>166</v>
      </c>
      <c r="K201" s="199">
        <v>752.9</v>
      </c>
      <c r="L201" s="197"/>
      <c r="N201" s="197"/>
      <c r="O201" s="197"/>
      <c r="P201" s="197"/>
      <c r="Q201" s="197"/>
      <c r="R201" s="197"/>
      <c r="S201" s="197"/>
      <c r="T201" s="197"/>
      <c r="U201" s="197"/>
      <c r="V201" s="203"/>
    </row>
    <row r="202" spans="2:22" ht="15" customHeight="1" x14ac:dyDescent="0.2">
      <c r="B202" s="75" t="s">
        <v>590</v>
      </c>
      <c r="C202" s="75" t="s">
        <v>442</v>
      </c>
      <c r="D202" s="197" t="s">
        <v>242</v>
      </c>
      <c r="E202" s="180" t="s">
        <v>246</v>
      </c>
      <c r="F202" s="197" t="s">
        <v>655</v>
      </c>
      <c r="G202" s="180" t="s">
        <v>826</v>
      </c>
      <c r="H202" s="198">
        <v>2005</v>
      </c>
      <c r="I202" s="180" t="s">
        <v>220</v>
      </c>
      <c r="J202" s="180" t="s">
        <v>1010</v>
      </c>
      <c r="K202" s="199">
        <v>912</v>
      </c>
      <c r="L202" s="197"/>
      <c r="N202" s="197"/>
      <c r="O202" s="197"/>
      <c r="P202" s="197"/>
      <c r="Q202" s="197"/>
      <c r="R202" s="197"/>
      <c r="S202" s="197"/>
      <c r="T202" s="197"/>
      <c r="U202" s="197"/>
      <c r="V202" s="203"/>
    </row>
    <row r="203" spans="2:22" ht="15" customHeight="1" x14ac:dyDescent="0.2">
      <c r="B203" s="75" t="s">
        <v>589</v>
      </c>
      <c r="C203" s="75" t="s">
        <v>668</v>
      </c>
      <c r="D203" s="197" t="s">
        <v>242</v>
      </c>
      <c r="E203" s="180" t="s">
        <v>246</v>
      </c>
      <c r="F203" s="197" t="s">
        <v>247</v>
      </c>
      <c r="G203" s="180" t="s">
        <v>1050</v>
      </c>
      <c r="H203" s="198">
        <v>2013</v>
      </c>
      <c r="I203" s="180" t="s">
        <v>429</v>
      </c>
      <c r="J203" s="180" t="s">
        <v>742</v>
      </c>
      <c r="K203" s="198">
        <v>984.95</v>
      </c>
      <c r="L203" s="197"/>
      <c r="N203" s="197"/>
      <c r="O203" s="197"/>
      <c r="P203" s="197"/>
      <c r="Q203" s="197"/>
      <c r="R203" s="197"/>
      <c r="S203" s="197"/>
      <c r="T203" s="197"/>
      <c r="U203" s="197"/>
      <c r="V203" s="203"/>
    </row>
    <row r="204" spans="2:22" ht="15" customHeight="1" x14ac:dyDescent="0.2">
      <c r="B204" s="75" t="s">
        <v>589</v>
      </c>
      <c r="C204" s="75" t="s">
        <v>604</v>
      </c>
      <c r="D204" s="197" t="s">
        <v>242</v>
      </c>
      <c r="E204" s="180" t="s">
        <v>246</v>
      </c>
      <c r="F204" s="197" t="s">
        <v>248</v>
      </c>
      <c r="G204" s="180" t="s">
        <v>1050</v>
      </c>
      <c r="H204" s="198">
        <v>2018</v>
      </c>
      <c r="I204" s="180" t="s">
        <v>6</v>
      </c>
      <c r="J204" s="180" t="s">
        <v>6</v>
      </c>
      <c r="K204" s="198">
        <v>1108</v>
      </c>
      <c r="L204" s="197"/>
      <c r="N204" s="197"/>
      <c r="O204" s="197"/>
      <c r="P204" s="197"/>
      <c r="Q204" s="197"/>
      <c r="R204" s="197"/>
      <c r="S204" s="197"/>
      <c r="T204" s="197"/>
      <c r="U204" s="197"/>
      <c r="V204" s="203"/>
    </row>
    <row r="205" spans="2:22" ht="15" customHeight="1" x14ac:dyDescent="0.2">
      <c r="B205" s="75" t="s">
        <v>589</v>
      </c>
      <c r="C205" s="75" t="s">
        <v>299</v>
      </c>
      <c r="D205" s="197" t="s">
        <v>295</v>
      </c>
      <c r="E205" s="180" t="s">
        <v>296</v>
      </c>
      <c r="F205" s="197" t="s">
        <v>298</v>
      </c>
      <c r="G205" s="180" t="s">
        <v>1050</v>
      </c>
      <c r="H205" s="198">
        <v>2008</v>
      </c>
      <c r="I205" s="180" t="s">
        <v>272</v>
      </c>
      <c r="J205" s="180" t="s">
        <v>153</v>
      </c>
      <c r="K205" s="199">
        <v>1400</v>
      </c>
      <c r="L205" s="197"/>
      <c r="N205" s="197"/>
      <c r="O205" s="197"/>
      <c r="P205" s="197"/>
      <c r="Q205" s="197"/>
      <c r="R205" s="197"/>
      <c r="S205" s="197"/>
      <c r="T205" s="197"/>
      <c r="U205" s="197"/>
      <c r="V205" s="203"/>
    </row>
    <row r="206" spans="2:22" ht="15" customHeight="1" x14ac:dyDescent="0.2">
      <c r="B206" s="75" t="s">
        <v>589</v>
      </c>
      <c r="C206" s="75" t="s">
        <v>512</v>
      </c>
      <c r="D206" s="197" t="s">
        <v>295</v>
      </c>
      <c r="E206" s="180" t="s">
        <v>296</v>
      </c>
      <c r="F206" s="197" t="s">
        <v>513</v>
      </c>
      <c r="G206" s="180" t="s">
        <v>1050</v>
      </c>
      <c r="H206" s="198">
        <v>2012</v>
      </c>
      <c r="I206" s="180" t="s">
        <v>352</v>
      </c>
      <c r="J206" s="180" t="s">
        <v>166</v>
      </c>
      <c r="K206" s="199">
        <v>881.34</v>
      </c>
      <c r="L206" s="197"/>
      <c r="N206" s="197"/>
      <c r="O206" s="197"/>
      <c r="P206" s="197"/>
      <c r="Q206" s="197"/>
      <c r="R206" s="197"/>
      <c r="S206" s="197"/>
      <c r="T206" s="197"/>
      <c r="U206" s="197"/>
      <c r="V206" s="203"/>
    </row>
    <row r="207" spans="2:22" ht="15" customHeight="1" x14ac:dyDescent="0.2">
      <c r="B207" s="75" t="s">
        <v>589</v>
      </c>
      <c r="C207" s="75" t="s">
        <v>623</v>
      </c>
      <c r="D207" s="197" t="s">
        <v>295</v>
      </c>
      <c r="E207" s="180" t="s">
        <v>296</v>
      </c>
      <c r="F207" s="197" t="s">
        <v>622</v>
      </c>
      <c r="G207" s="180" t="s">
        <v>1050</v>
      </c>
      <c r="H207" s="198">
        <v>2021</v>
      </c>
      <c r="I207" s="180" t="s">
        <v>618</v>
      </c>
      <c r="J207" s="180" t="s">
        <v>618</v>
      </c>
      <c r="K207" s="198">
        <v>1000</v>
      </c>
      <c r="L207" s="197"/>
      <c r="N207" s="197"/>
      <c r="O207" s="197"/>
      <c r="P207" s="197"/>
      <c r="Q207" s="197"/>
      <c r="R207" s="197"/>
      <c r="S207" s="197"/>
      <c r="T207" s="197"/>
      <c r="U207" s="197"/>
      <c r="V207" s="203"/>
    </row>
    <row r="208" spans="2:22" ht="15" customHeight="1" x14ac:dyDescent="0.2">
      <c r="B208" s="75" t="s">
        <v>589</v>
      </c>
      <c r="C208" s="75" t="s">
        <v>348</v>
      </c>
      <c r="D208" s="197" t="s">
        <v>203</v>
      </c>
      <c r="E208" s="180" t="s">
        <v>204</v>
      </c>
      <c r="F208" s="197" t="s">
        <v>205</v>
      </c>
      <c r="G208" s="180" t="s">
        <v>1050</v>
      </c>
      <c r="H208" s="198">
        <v>2009</v>
      </c>
      <c r="I208" s="180" t="s">
        <v>319</v>
      </c>
      <c r="J208" s="180" t="s">
        <v>703</v>
      </c>
      <c r="K208" s="198">
        <v>1047.1199999999999</v>
      </c>
      <c r="L208" s="197"/>
      <c r="N208" s="197"/>
      <c r="O208" s="197"/>
      <c r="P208" s="197"/>
      <c r="Q208" s="197"/>
      <c r="R208" s="197"/>
      <c r="S208" s="197"/>
      <c r="T208" s="197"/>
      <c r="U208" s="197"/>
      <c r="V208" s="203"/>
    </row>
    <row r="209" spans="2:22" ht="15" customHeight="1" x14ac:dyDescent="0.2">
      <c r="B209" s="75" t="s">
        <v>589</v>
      </c>
      <c r="C209" s="75" t="s">
        <v>355</v>
      </c>
      <c r="D209" s="197" t="s">
        <v>203</v>
      </c>
      <c r="E209" s="180" t="s">
        <v>211</v>
      </c>
      <c r="F209" s="197" t="s">
        <v>212</v>
      </c>
      <c r="G209" s="180" t="s">
        <v>1050</v>
      </c>
      <c r="H209" s="198">
        <v>2013</v>
      </c>
      <c r="I209" s="180" t="s">
        <v>356</v>
      </c>
      <c r="J209" s="180" t="s">
        <v>166</v>
      </c>
      <c r="K209" s="198">
        <v>620.62</v>
      </c>
      <c r="L209" s="197"/>
      <c r="N209" s="197"/>
      <c r="O209" s="197"/>
      <c r="P209" s="197"/>
      <c r="Q209" s="197"/>
      <c r="R209" s="197"/>
      <c r="S209" s="197"/>
      <c r="T209" s="197"/>
      <c r="U209" s="197"/>
      <c r="V209" s="203"/>
    </row>
    <row r="210" spans="2:22" ht="15" customHeight="1" x14ac:dyDescent="0.2">
      <c r="B210" s="75" t="s">
        <v>589</v>
      </c>
      <c r="C210" s="75" t="s">
        <v>494</v>
      </c>
      <c r="D210" s="197" t="s">
        <v>242</v>
      </c>
      <c r="E210" s="180" t="s">
        <v>253</v>
      </c>
      <c r="F210" s="197" t="s">
        <v>283</v>
      </c>
      <c r="G210" s="180" t="s">
        <v>1050</v>
      </c>
      <c r="H210" s="198">
        <v>2013</v>
      </c>
      <c r="I210" s="180" t="s">
        <v>429</v>
      </c>
      <c r="J210" s="180" t="s">
        <v>166</v>
      </c>
      <c r="K210" s="199">
        <v>1050.05</v>
      </c>
      <c r="L210" s="197"/>
      <c r="N210" s="197"/>
      <c r="O210" s="197"/>
      <c r="P210" s="197"/>
      <c r="Q210" s="197"/>
      <c r="R210" s="197"/>
      <c r="S210" s="197"/>
      <c r="T210" s="197"/>
      <c r="U210" s="197"/>
      <c r="V210" s="203"/>
    </row>
    <row r="211" spans="2:22" ht="15" customHeight="1" x14ac:dyDescent="0.2">
      <c r="B211" s="75" t="s">
        <v>589</v>
      </c>
      <c r="C211" s="75" t="s">
        <v>282</v>
      </c>
      <c r="D211" s="197" t="s">
        <v>242</v>
      </c>
      <c r="E211" s="180" t="s">
        <v>253</v>
      </c>
      <c r="F211" s="197" t="s">
        <v>283</v>
      </c>
      <c r="G211" s="180" t="s">
        <v>1050</v>
      </c>
      <c r="H211" s="198">
        <v>2002</v>
      </c>
      <c r="I211" s="180" t="s">
        <v>284</v>
      </c>
      <c r="J211" s="180" t="s">
        <v>8</v>
      </c>
      <c r="K211" s="199">
        <v>1947.53</v>
      </c>
      <c r="L211" s="197"/>
      <c r="N211" s="197"/>
      <c r="O211" s="197"/>
      <c r="P211" s="197"/>
      <c r="Q211" s="197"/>
      <c r="R211" s="197"/>
      <c r="S211" s="197"/>
      <c r="T211" s="197"/>
      <c r="U211" s="197"/>
      <c r="V211" s="203"/>
    </row>
    <row r="212" spans="2:22" ht="15" customHeight="1" x14ac:dyDescent="0.2">
      <c r="B212" s="75" t="s">
        <v>589</v>
      </c>
      <c r="C212" s="75" t="s">
        <v>656</v>
      </c>
      <c r="D212" s="197" t="s">
        <v>295</v>
      </c>
      <c r="E212" s="180" t="s">
        <v>301</v>
      </c>
      <c r="F212" s="197" t="s">
        <v>657</v>
      </c>
      <c r="G212" s="180" t="s">
        <v>1050</v>
      </c>
      <c r="H212" s="198">
        <v>2021</v>
      </c>
      <c r="I212" s="180" t="s">
        <v>630</v>
      </c>
      <c r="J212" s="180" t="s">
        <v>630</v>
      </c>
      <c r="K212" s="199">
        <v>1064.5999999999999</v>
      </c>
      <c r="L212" s="197"/>
      <c r="N212" s="197"/>
      <c r="O212" s="197"/>
      <c r="P212" s="197"/>
      <c r="Q212" s="197"/>
      <c r="R212" s="197"/>
      <c r="S212" s="197"/>
      <c r="T212" s="197"/>
      <c r="U212" s="197"/>
      <c r="V212" s="203"/>
    </row>
    <row r="213" spans="2:22" ht="15" customHeight="1" x14ac:dyDescent="0.2">
      <c r="B213" s="75" t="s">
        <v>589</v>
      </c>
      <c r="C213" s="75" t="s">
        <v>514</v>
      </c>
      <c r="D213" s="197" t="s">
        <v>295</v>
      </c>
      <c r="E213" s="180" t="s">
        <v>296</v>
      </c>
      <c r="F213" s="197" t="s">
        <v>298</v>
      </c>
      <c r="G213" s="180" t="s">
        <v>1050</v>
      </c>
      <c r="H213" s="198">
        <v>2013</v>
      </c>
      <c r="I213" s="180" t="s">
        <v>429</v>
      </c>
      <c r="J213" s="180" t="s">
        <v>1092</v>
      </c>
      <c r="K213" s="198">
        <v>694</v>
      </c>
      <c r="L213" s="197"/>
      <c r="N213" s="197"/>
      <c r="O213" s="197"/>
      <c r="P213" s="197"/>
      <c r="Q213" s="197"/>
      <c r="R213" s="197"/>
      <c r="S213" s="197"/>
      <c r="T213" s="197"/>
      <c r="U213" s="197"/>
      <c r="V213" s="203"/>
    </row>
    <row r="214" spans="2:22" ht="15" customHeight="1" x14ac:dyDescent="0.2">
      <c r="B214" s="75" t="s">
        <v>589</v>
      </c>
      <c r="C214" s="75" t="s">
        <v>237</v>
      </c>
      <c r="D214" s="197" t="s">
        <v>234</v>
      </c>
      <c r="E214" s="180" t="s">
        <v>235</v>
      </c>
      <c r="F214" s="197" t="s">
        <v>649</v>
      </c>
      <c r="G214" s="180" t="s">
        <v>1050</v>
      </c>
      <c r="H214" s="198">
        <v>2019</v>
      </c>
      <c r="I214" s="180" t="s">
        <v>2</v>
      </c>
      <c r="J214" s="180" t="s">
        <v>2</v>
      </c>
      <c r="K214" s="198">
        <v>1236.1199999999999</v>
      </c>
      <c r="L214" s="197"/>
      <c r="N214" s="197"/>
      <c r="O214" s="197"/>
      <c r="P214" s="197"/>
      <c r="Q214" s="197"/>
      <c r="R214" s="197"/>
      <c r="S214" s="197"/>
      <c r="T214" s="197"/>
      <c r="U214" s="197"/>
      <c r="V214" s="203"/>
    </row>
    <row r="215" spans="2:22" ht="15" customHeight="1" x14ac:dyDescent="0.2">
      <c r="B215" s="75" t="s">
        <v>589</v>
      </c>
      <c r="C215" s="75" t="s">
        <v>317</v>
      </c>
      <c r="D215" s="197" t="s">
        <v>188</v>
      </c>
      <c r="E215" s="180" t="s">
        <v>189</v>
      </c>
      <c r="F215" s="197" t="s">
        <v>190</v>
      </c>
      <c r="G215" s="180" t="s">
        <v>1050</v>
      </c>
      <c r="H215" s="198">
        <v>2001</v>
      </c>
      <c r="I215" s="180" t="s">
        <v>206</v>
      </c>
      <c r="J215" s="180" t="s">
        <v>166</v>
      </c>
      <c r="K215" s="199">
        <v>1356</v>
      </c>
      <c r="L215" s="197"/>
      <c r="N215" s="197"/>
      <c r="O215" s="197"/>
      <c r="P215" s="197"/>
      <c r="Q215" s="197"/>
      <c r="R215" s="197"/>
      <c r="S215" s="197"/>
      <c r="T215" s="197"/>
      <c r="U215" s="197"/>
      <c r="V215" s="203"/>
    </row>
    <row r="216" spans="2:22" ht="15" customHeight="1" x14ac:dyDescent="0.2">
      <c r="B216" s="75" t="s">
        <v>589</v>
      </c>
      <c r="C216" s="75" t="s">
        <v>536</v>
      </c>
      <c r="D216" s="197" t="s">
        <v>295</v>
      </c>
      <c r="E216" s="180" t="s">
        <v>307</v>
      </c>
      <c r="F216" s="197" t="s">
        <v>537</v>
      </c>
      <c r="G216" s="180" t="s">
        <v>1050</v>
      </c>
      <c r="H216" s="198">
        <v>2011</v>
      </c>
      <c r="I216" s="180" t="s">
        <v>258</v>
      </c>
      <c r="J216" s="180" t="s">
        <v>166</v>
      </c>
      <c r="K216" s="199">
        <v>863.72</v>
      </c>
      <c r="L216" s="197"/>
      <c r="N216" s="197"/>
      <c r="O216" s="197"/>
      <c r="P216" s="197"/>
      <c r="Q216" s="197"/>
      <c r="R216" s="197"/>
      <c r="S216" s="197"/>
      <c r="T216" s="197"/>
      <c r="U216" s="197"/>
      <c r="V216" s="203"/>
    </row>
    <row r="217" spans="2:22" ht="15" customHeight="1" x14ac:dyDescent="0.2">
      <c r="B217" s="75" t="s">
        <v>589</v>
      </c>
      <c r="C217" s="75" t="s">
        <v>619</v>
      </c>
      <c r="D217" s="197" t="s">
        <v>242</v>
      </c>
      <c r="E217" s="180" t="s">
        <v>253</v>
      </c>
      <c r="F217" s="197" t="s">
        <v>487</v>
      </c>
      <c r="G217" s="180" t="s">
        <v>1050</v>
      </c>
      <c r="H217" s="198">
        <v>2021</v>
      </c>
      <c r="I217" s="180" t="s">
        <v>618</v>
      </c>
      <c r="J217" s="180" t="s">
        <v>618</v>
      </c>
      <c r="K217" s="199">
        <v>1057.2</v>
      </c>
      <c r="L217" s="197"/>
      <c r="N217" s="197"/>
      <c r="O217" s="197"/>
      <c r="P217" s="197"/>
      <c r="Q217" s="197"/>
      <c r="R217" s="197"/>
      <c r="S217" s="197"/>
      <c r="T217" s="197"/>
      <c r="U217" s="197"/>
      <c r="V217" s="203"/>
    </row>
    <row r="218" spans="2:22" ht="15" customHeight="1" x14ac:dyDescent="0.2">
      <c r="B218" s="75" t="s">
        <v>589</v>
      </c>
      <c r="C218" s="75" t="s">
        <v>495</v>
      </c>
      <c r="D218" s="197" t="s">
        <v>242</v>
      </c>
      <c r="E218" s="180" t="s">
        <v>253</v>
      </c>
      <c r="F218" s="197" t="s">
        <v>496</v>
      </c>
      <c r="G218" s="180" t="s">
        <v>1050</v>
      </c>
      <c r="H218" s="198">
        <v>2012</v>
      </c>
      <c r="I218" s="180" t="s">
        <v>397</v>
      </c>
      <c r="J218" s="180" t="s">
        <v>166</v>
      </c>
      <c r="K218" s="198">
        <v>828.05</v>
      </c>
      <c r="L218" s="197"/>
      <c r="N218" s="197"/>
      <c r="O218" s="197"/>
      <c r="P218" s="197"/>
      <c r="Q218" s="197"/>
      <c r="R218" s="197"/>
      <c r="S218" s="197"/>
      <c r="T218" s="197"/>
      <c r="U218" s="197"/>
      <c r="V218" s="203"/>
    </row>
    <row r="219" spans="2:22" ht="15" customHeight="1" x14ac:dyDescent="0.2">
      <c r="B219" s="75" t="s">
        <v>589</v>
      </c>
      <c r="C219" s="75" t="s">
        <v>339</v>
      </c>
      <c r="D219" s="197" t="s">
        <v>203</v>
      </c>
      <c r="E219" s="180" t="s">
        <v>334</v>
      </c>
      <c r="F219" s="197" t="s">
        <v>338</v>
      </c>
      <c r="G219" s="180" t="s">
        <v>1050</v>
      </c>
      <c r="H219" s="198">
        <v>2009</v>
      </c>
      <c r="I219" s="180" t="s">
        <v>265</v>
      </c>
      <c r="J219" s="180" t="s">
        <v>823</v>
      </c>
      <c r="K219" s="199">
        <v>1135.8699999999999</v>
      </c>
      <c r="L219" s="197"/>
      <c r="N219" s="197"/>
      <c r="O219" s="197"/>
      <c r="P219" s="197"/>
      <c r="Q219" s="197"/>
      <c r="R219" s="197"/>
      <c r="S219" s="197"/>
      <c r="T219" s="197"/>
      <c r="U219" s="197"/>
      <c r="V219" s="203"/>
    </row>
    <row r="220" spans="2:22" ht="15" customHeight="1" x14ac:dyDescent="0.2">
      <c r="B220" s="75" t="s">
        <v>589</v>
      </c>
      <c r="C220" s="75" t="s">
        <v>386</v>
      </c>
      <c r="D220" s="197" t="s">
        <v>234</v>
      </c>
      <c r="E220" s="180" t="s">
        <v>235</v>
      </c>
      <c r="F220" s="197" t="s">
        <v>387</v>
      </c>
      <c r="G220" s="180" t="s">
        <v>1050</v>
      </c>
      <c r="H220" s="198">
        <v>2013</v>
      </c>
      <c r="I220" s="180" t="s">
        <v>388</v>
      </c>
      <c r="J220" s="180" t="s">
        <v>166</v>
      </c>
      <c r="K220" s="199">
        <v>1065.08</v>
      </c>
      <c r="L220" s="197"/>
      <c r="N220" s="197"/>
      <c r="O220" s="197"/>
      <c r="P220" s="197"/>
      <c r="Q220" s="197"/>
      <c r="R220" s="197"/>
      <c r="S220" s="197"/>
      <c r="T220" s="197"/>
      <c r="U220" s="197"/>
      <c r="V220" s="203"/>
    </row>
    <row r="221" spans="2:22" ht="15" customHeight="1" x14ac:dyDescent="0.2">
      <c r="B221" s="75" t="s">
        <v>589</v>
      </c>
      <c r="C221" s="75" t="s">
        <v>443</v>
      </c>
      <c r="D221" s="197" t="s">
        <v>242</v>
      </c>
      <c r="E221" s="180" t="s">
        <v>246</v>
      </c>
      <c r="F221" s="197" t="s">
        <v>444</v>
      </c>
      <c r="G221" s="180" t="s">
        <v>1050</v>
      </c>
      <c r="H221" s="198">
        <v>2011</v>
      </c>
      <c r="I221" s="180" t="s">
        <v>330</v>
      </c>
      <c r="J221" s="180" t="s">
        <v>166</v>
      </c>
      <c r="K221" s="199">
        <v>578</v>
      </c>
      <c r="L221" s="197"/>
      <c r="N221" s="197"/>
      <c r="O221" s="197"/>
      <c r="P221" s="197"/>
      <c r="Q221" s="197"/>
      <c r="R221" s="197"/>
      <c r="S221" s="197"/>
      <c r="T221" s="197"/>
      <c r="U221" s="197"/>
      <c r="V221" s="203"/>
    </row>
    <row r="222" spans="2:22" ht="15" customHeight="1" x14ac:dyDescent="0.2">
      <c r="B222" s="75" t="s">
        <v>589</v>
      </c>
      <c r="C222" s="75" t="s">
        <v>420</v>
      </c>
      <c r="D222" s="197" t="s">
        <v>242</v>
      </c>
      <c r="E222" s="180" t="s">
        <v>243</v>
      </c>
      <c r="F222" s="197" t="s">
        <v>244</v>
      </c>
      <c r="G222" s="180" t="s">
        <v>1050</v>
      </c>
      <c r="H222" s="198">
        <v>2005</v>
      </c>
      <c r="I222" s="180" t="s">
        <v>228</v>
      </c>
      <c r="J222" s="180" t="s">
        <v>166</v>
      </c>
      <c r="K222" s="199">
        <v>669.43</v>
      </c>
      <c r="L222" s="197"/>
      <c r="N222" s="197"/>
      <c r="O222" s="197"/>
      <c r="P222" s="197"/>
      <c r="Q222" s="197"/>
      <c r="R222" s="197"/>
      <c r="S222" s="197"/>
      <c r="T222" s="197"/>
      <c r="U222" s="197"/>
      <c r="V222" s="203"/>
    </row>
    <row r="223" spans="2:22" ht="15" customHeight="1" x14ac:dyDescent="0.2">
      <c r="B223" s="75" t="s">
        <v>589</v>
      </c>
      <c r="C223" s="75" t="s">
        <v>737</v>
      </c>
      <c r="D223" s="197" t="s">
        <v>295</v>
      </c>
      <c r="E223" s="180" t="s">
        <v>296</v>
      </c>
      <c r="F223" s="197" t="s">
        <v>738</v>
      </c>
      <c r="G223" s="180" t="s">
        <v>1050</v>
      </c>
      <c r="H223" s="198">
        <v>2022</v>
      </c>
      <c r="I223" s="180" t="s">
        <v>718</v>
      </c>
      <c r="J223" s="180" t="s">
        <v>718</v>
      </c>
      <c r="K223" s="199">
        <v>1008.32</v>
      </c>
      <c r="L223" s="197"/>
      <c r="N223" s="197"/>
      <c r="O223" s="197"/>
      <c r="P223" s="197"/>
      <c r="Q223" s="197"/>
      <c r="R223" s="197"/>
      <c r="S223" s="197"/>
      <c r="T223" s="197"/>
      <c r="U223" s="197"/>
      <c r="V223" s="203"/>
    </row>
    <row r="224" spans="2:22" ht="15" customHeight="1" x14ac:dyDescent="0.2">
      <c r="B224" s="75" t="s">
        <v>589</v>
      </c>
      <c r="C224" s="75" t="s">
        <v>658</v>
      </c>
      <c r="D224" s="197" t="s">
        <v>203</v>
      </c>
      <c r="E224" s="180" t="s">
        <v>218</v>
      </c>
      <c r="F224" s="197" t="s">
        <v>219</v>
      </c>
      <c r="G224" s="180" t="s">
        <v>1050</v>
      </c>
      <c r="H224" s="198">
        <v>2021</v>
      </c>
      <c r="I224" s="180" t="s">
        <v>630</v>
      </c>
      <c r="J224" s="180" t="s">
        <v>630</v>
      </c>
      <c r="K224" s="199">
        <v>1096.0999999999999</v>
      </c>
      <c r="L224" s="197"/>
      <c r="N224" s="197"/>
      <c r="O224" s="197"/>
      <c r="P224" s="197"/>
      <c r="Q224" s="197"/>
      <c r="R224" s="197"/>
      <c r="S224" s="197"/>
      <c r="T224" s="197"/>
      <c r="U224" s="197"/>
      <c r="V224" s="203"/>
    </row>
    <row r="225" spans="2:22" ht="15" customHeight="1" x14ac:dyDescent="0.2">
      <c r="B225" s="75" t="s">
        <v>589</v>
      </c>
      <c r="C225" s="75" t="s">
        <v>524</v>
      </c>
      <c r="D225" s="197" t="s">
        <v>295</v>
      </c>
      <c r="E225" s="180" t="s">
        <v>301</v>
      </c>
      <c r="F225" s="197" t="s">
        <v>525</v>
      </c>
      <c r="G225" s="180" t="s">
        <v>1050</v>
      </c>
      <c r="H225" s="198">
        <v>2013</v>
      </c>
      <c r="I225" s="180" t="s">
        <v>356</v>
      </c>
      <c r="J225" s="180" t="s">
        <v>166</v>
      </c>
      <c r="K225" s="198">
        <v>754.27</v>
      </c>
      <c r="L225" s="197"/>
      <c r="N225" s="197"/>
      <c r="O225" s="197"/>
      <c r="P225" s="197"/>
      <c r="Q225" s="197"/>
      <c r="R225" s="197"/>
      <c r="S225" s="197"/>
      <c r="T225" s="197"/>
      <c r="U225" s="197"/>
      <c r="V225" s="203"/>
    </row>
    <row r="226" spans="2:22" ht="15" customHeight="1" x14ac:dyDescent="0.2">
      <c r="B226" s="75" t="s">
        <v>589</v>
      </c>
      <c r="C226" s="75" t="s">
        <v>605</v>
      </c>
      <c r="D226" s="197" t="s">
        <v>242</v>
      </c>
      <c r="E226" s="180" t="s">
        <v>246</v>
      </c>
      <c r="F226" s="197" t="s">
        <v>438</v>
      </c>
      <c r="G226" s="180" t="s">
        <v>1050</v>
      </c>
      <c r="H226" s="198">
        <v>2011</v>
      </c>
      <c r="I226" s="180" t="s">
        <v>330</v>
      </c>
      <c r="J226" s="180" t="s">
        <v>166</v>
      </c>
      <c r="K226" s="198">
        <v>745.6</v>
      </c>
      <c r="L226" s="197"/>
      <c r="N226" s="197"/>
      <c r="O226" s="197"/>
      <c r="P226" s="197"/>
      <c r="Q226" s="197"/>
      <c r="R226" s="197"/>
      <c r="S226" s="197"/>
      <c r="T226" s="197"/>
      <c r="U226" s="197"/>
      <c r="V226" s="203"/>
    </row>
    <row r="227" spans="2:22" ht="15" customHeight="1" x14ac:dyDescent="0.2">
      <c r="B227" s="75" t="s">
        <v>589</v>
      </c>
      <c r="C227" s="75" t="s">
        <v>421</v>
      </c>
      <c r="D227" s="197" t="s">
        <v>242</v>
      </c>
      <c r="E227" s="180" t="s">
        <v>243</v>
      </c>
      <c r="F227" s="197" t="s">
        <v>422</v>
      </c>
      <c r="G227" s="180" t="s">
        <v>1050</v>
      </c>
      <c r="H227" s="198">
        <v>2011</v>
      </c>
      <c r="I227" s="180" t="s">
        <v>330</v>
      </c>
      <c r="J227" s="180" t="s">
        <v>166</v>
      </c>
      <c r="K227" s="198">
        <v>532.9</v>
      </c>
      <c r="L227" s="197"/>
      <c r="N227" s="197"/>
      <c r="O227" s="197"/>
      <c r="P227" s="197"/>
      <c r="Q227" s="197"/>
      <c r="R227" s="197"/>
      <c r="S227" s="197"/>
      <c r="T227" s="197"/>
      <c r="U227" s="197"/>
      <c r="V227" s="203"/>
    </row>
    <row r="228" spans="2:22" ht="15" customHeight="1" x14ac:dyDescent="0.2">
      <c r="B228" s="75" t="s">
        <v>589</v>
      </c>
      <c r="C228" s="75" t="s">
        <v>285</v>
      </c>
      <c r="D228" s="197" t="s">
        <v>242</v>
      </c>
      <c r="E228" s="180" t="s">
        <v>253</v>
      </c>
      <c r="F228" s="197" t="s">
        <v>286</v>
      </c>
      <c r="G228" s="180" t="s">
        <v>1050</v>
      </c>
      <c r="H228" s="198">
        <v>2009</v>
      </c>
      <c r="I228" s="200" t="s">
        <v>287</v>
      </c>
      <c r="J228" s="180" t="s">
        <v>0</v>
      </c>
      <c r="K228" s="198">
        <v>1192.0999999999999</v>
      </c>
      <c r="L228" s="197"/>
      <c r="N228" s="197"/>
      <c r="O228" s="197"/>
      <c r="P228" s="197"/>
      <c r="Q228" s="197"/>
      <c r="R228" s="197"/>
      <c r="S228" s="197"/>
      <c r="T228" s="197"/>
      <c r="U228" s="197"/>
      <c r="V228" s="203"/>
    </row>
    <row r="229" spans="2:22" ht="15" customHeight="1" x14ac:dyDescent="0.2">
      <c r="B229" s="75" t="s">
        <v>589</v>
      </c>
      <c r="C229" s="75" t="s">
        <v>830</v>
      </c>
      <c r="D229" s="197" t="s">
        <v>295</v>
      </c>
      <c r="E229" s="180" t="s">
        <v>301</v>
      </c>
      <c r="F229" s="197" t="s">
        <v>302</v>
      </c>
      <c r="G229" s="180" t="s">
        <v>1050</v>
      </c>
      <c r="H229" s="198">
        <v>2021</v>
      </c>
      <c r="I229" s="200" t="s">
        <v>630</v>
      </c>
      <c r="J229" s="180" t="s">
        <v>630</v>
      </c>
      <c r="K229" s="198">
        <v>1055</v>
      </c>
      <c r="L229" s="197"/>
      <c r="N229" s="197"/>
      <c r="O229" s="197"/>
      <c r="P229" s="197"/>
      <c r="Q229" s="197"/>
      <c r="R229" s="197"/>
      <c r="S229" s="197"/>
      <c r="T229" s="197"/>
      <c r="U229" s="197"/>
      <c r="V229" s="203"/>
    </row>
    <row r="230" spans="2:22" ht="15" customHeight="1" x14ac:dyDescent="0.2">
      <c r="B230" s="75" t="s">
        <v>590</v>
      </c>
      <c r="C230" s="75" t="s">
        <v>831</v>
      </c>
      <c r="D230" s="197" t="s">
        <v>295</v>
      </c>
      <c r="E230" s="180" t="s">
        <v>301</v>
      </c>
      <c r="F230" s="197" t="s">
        <v>302</v>
      </c>
      <c r="G230" s="180" t="s">
        <v>825</v>
      </c>
      <c r="H230" s="198">
        <v>2023</v>
      </c>
      <c r="I230" s="200" t="s">
        <v>823</v>
      </c>
      <c r="J230" s="180" t="s">
        <v>166</v>
      </c>
      <c r="K230" s="198">
        <v>702</v>
      </c>
      <c r="L230" s="197"/>
      <c r="N230" s="197"/>
      <c r="O230" s="197"/>
      <c r="P230" s="197"/>
      <c r="Q230" s="197"/>
      <c r="R230" s="197"/>
      <c r="S230" s="197"/>
      <c r="T230" s="197"/>
      <c r="U230" s="197"/>
      <c r="V230" s="203"/>
    </row>
    <row r="231" spans="2:22" ht="15" customHeight="1" x14ac:dyDescent="0.2">
      <c r="B231" s="75" t="s">
        <v>589</v>
      </c>
      <c r="C231" s="75" t="s">
        <v>497</v>
      </c>
      <c r="D231" s="197" t="s">
        <v>242</v>
      </c>
      <c r="E231" s="180" t="s">
        <v>253</v>
      </c>
      <c r="F231" s="197" t="s">
        <v>498</v>
      </c>
      <c r="G231" s="180" t="s">
        <v>1050</v>
      </c>
      <c r="H231" s="198">
        <v>2010</v>
      </c>
      <c r="I231" s="200" t="s">
        <v>354</v>
      </c>
      <c r="J231" s="180" t="s">
        <v>166</v>
      </c>
      <c r="K231" s="198">
        <v>762</v>
      </c>
      <c r="L231" s="197"/>
      <c r="N231" s="197"/>
      <c r="O231" s="197"/>
      <c r="P231" s="197"/>
      <c r="Q231" s="197"/>
      <c r="R231" s="197"/>
      <c r="S231" s="197"/>
      <c r="T231" s="197"/>
      <c r="U231" s="197"/>
      <c r="V231" s="203"/>
    </row>
    <row r="232" spans="2:22" ht="15" customHeight="1" x14ac:dyDescent="0.2">
      <c r="B232" s="75" t="s">
        <v>589</v>
      </c>
      <c r="C232" s="75" t="s">
        <v>223</v>
      </c>
      <c r="D232" s="197" t="s">
        <v>203</v>
      </c>
      <c r="E232" s="180" t="s">
        <v>224</v>
      </c>
      <c r="F232" s="197" t="s">
        <v>225</v>
      </c>
      <c r="G232" s="180" t="s">
        <v>1050</v>
      </c>
      <c r="H232" s="198">
        <v>2019</v>
      </c>
      <c r="I232" s="200" t="s">
        <v>2</v>
      </c>
      <c r="J232" s="180" t="s">
        <v>2</v>
      </c>
      <c r="K232" s="198">
        <v>1251</v>
      </c>
      <c r="L232" s="197"/>
      <c r="N232" s="197"/>
      <c r="O232" s="197"/>
      <c r="P232" s="197"/>
      <c r="Q232" s="197"/>
      <c r="R232" s="197"/>
      <c r="S232" s="197"/>
      <c r="T232" s="197"/>
      <c r="U232" s="197"/>
      <c r="V232" s="203"/>
    </row>
    <row r="233" spans="2:22" ht="15" customHeight="1" x14ac:dyDescent="0.2">
      <c r="B233" s="75" t="s">
        <v>589</v>
      </c>
      <c r="C233" s="75" t="s">
        <v>445</v>
      </c>
      <c r="D233" s="197" t="s">
        <v>242</v>
      </c>
      <c r="E233" s="180" t="s">
        <v>246</v>
      </c>
      <c r="F233" s="197" t="s">
        <v>247</v>
      </c>
      <c r="G233" s="180" t="s">
        <v>1050</v>
      </c>
      <c r="H233" s="198">
        <v>1996</v>
      </c>
      <c r="I233" s="200" t="s">
        <v>412</v>
      </c>
      <c r="J233" s="180" t="s">
        <v>618</v>
      </c>
      <c r="K233" s="198">
        <v>1333</v>
      </c>
      <c r="L233" s="197"/>
      <c r="N233" s="197"/>
      <c r="O233" s="197"/>
      <c r="P233" s="197"/>
      <c r="Q233" s="197"/>
      <c r="R233" s="197"/>
      <c r="S233" s="197"/>
      <c r="T233" s="197"/>
      <c r="U233" s="197"/>
      <c r="V233" s="203"/>
    </row>
    <row r="234" spans="2:22" ht="15" customHeight="1" x14ac:dyDescent="0.2">
      <c r="B234" s="75" t="s">
        <v>589</v>
      </c>
      <c r="C234" s="75" t="s">
        <v>584</v>
      </c>
      <c r="D234" s="197" t="s">
        <v>203</v>
      </c>
      <c r="E234" s="180" t="s">
        <v>230</v>
      </c>
      <c r="F234" s="197" t="s">
        <v>231</v>
      </c>
      <c r="G234" s="180" t="s">
        <v>1050</v>
      </c>
      <c r="H234" s="198">
        <v>2009</v>
      </c>
      <c r="I234" s="200" t="s">
        <v>363</v>
      </c>
      <c r="J234" s="180" t="s">
        <v>166</v>
      </c>
      <c r="K234" s="198">
        <v>658.65</v>
      </c>
      <c r="L234" s="197"/>
      <c r="N234" s="197"/>
      <c r="O234" s="197"/>
      <c r="P234" s="197"/>
      <c r="Q234" s="197"/>
      <c r="R234" s="197"/>
      <c r="S234" s="197"/>
      <c r="T234" s="197"/>
      <c r="U234" s="197"/>
      <c r="V234" s="203"/>
    </row>
    <row r="235" spans="2:22" ht="15" customHeight="1" x14ac:dyDescent="0.2">
      <c r="B235" s="75" t="s">
        <v>589</v>
      </c>
      <c r="C235" s="75" t="s">
        <v>357</v>
      </c>
      <c r="D235" s="197" t="s">
        <v>203</v>
      </c>
      <c r="E235" s="180" t="s">
        <v>211</v>
      </c>
      <c r="F235" s="197" t="s">
        <v>212</v>
      </c>
      <c r="G235" s="180" t="s">
        <v>1050</v>
      </c>
      <c r="H235" s="198">
        <v>2014</v>
      </c>
      <c r="I235" s="180" t="s">
        <v>358</v>
      </c>
      <c r="J235" s="180" t="s">
        <v>166</v>
      </c>
      <c r="K235" s="198">
        <v>1898.73</v>
      </c>
      <c r="L235" s="197"/>
      <c r="N235" s="197"/>
      <c r="O235" s="197"/>
      <c r="P235" s="197"/>
      <c r="Q235" s="197"/>
      <c r="R235" s="197"/>
      <c r="S235" s="197"/>
      <c r="T235" s="197"/>
      <c r="U235" s="197"/>
      <c r="V235" s="203"/>
    </row>
    <row r="236" spans="2:22" ht="15" customHeight="1" x14ac:dyDescent="0.2">
      <c r="B236" s="75" t="s">
        <v>589</v>
      </c>
      <c r="C236" s="75" t="s">
        <v>606</v>
      </c>
      <c r="D236" s="197" t="s">
        <v>203</v>
      </c>
      <c r="E236" s="180" t="s">
        <v>211</v>
      </c>
      <c r="F236" s="197" t="s">
        <v>212</v>
      </c>
      <c r="G236" s="180" t="s">
        <v>1050</v>
      </c>
      <c r="H236" s="198">
        <v>2016</v>
      </c>
      <c r="I236" s="180" t="s">
        <v>85</v>
      </c>
      <c r="J236" s="180" t="s">
        <v>166</v>
      </c>
      <c r="K236" s="198">
        <v>1521.44</v>
      </c>
      <c r="L236" s="197"/>
      <c r="N236" s="197"/>
      <c r="O236" s="197"/>
      <c r="P236" s="197"/>
      <c r="Q236" s="197"/>
      <c r="R236" s="197"/>
      <c r="S236" s="197"/>
      <c r="T236" s="197"/>
      <c r="U236" s="197"/>
      <c r="V236" s="203"/>
    </row>
    <row r="237" spans="2:22" ht="15" customHeight="1" x14ac:dyDescent="0.2">
      <c r="B237" s="75" t="s">
        <v>589</v>
      </c>
      <c r="C237" s="75" t="s">
        <v>583</v>
      </c>
      <c r="D237" s="197" t="s">
        <v>203</v>
      </c>
      <c r="E237" s="180" t="s">
        <v>218</v>
      </c>
      <c r="F237" s="197" t="s">
        <v>219</v>
      </c>
      <c r="G237" s="180" t="s">
        <v>1050</v>
      </c>
      <c r="H237" s="198">
        <v>2012</v>
      </c>
      <c r="I237" s="200" t="s">
        <v>363</v>
      </c>
      <c r="J237" s="180" t="s">
        <v>166</v>
      </c>
      <c r="K237" s="198">
        <v>1211.75</v>
      </c>
      <c r="L237" s="197"/>
      <c r="N237" s="197"/>
      <c r="O237" s="197"/>
      <c r="P237" s="197"/>
      <c r="Q237" s="197"/>
      <c r="R237" s="197"/>
      <c r="S237" s="197"/>
      <c r="T237" s="197"/>
      <c r="U237" s="197"/>
      <c r="V237" s="203"/>
    </row>
    <row r="238" spans="2:22" ht="15" customHeight="1" x14ac:dyDescent="0.2">
      <c r="B238" s="75" t="s">
        <v>589</v>
      </c>
      <c r="C238" s="75" t="s">
        <v>349</v>
      </c>
      <c r="D238" s="197" t="s">
        <v>203</v>
      </c>
      <c r="E238" s="180" t="s">
        <v>204</v>
      </c>
      <c r="F238" s="197" t="s">
        <v>205</v>
      </c>
      <c r="G238" s="180" t="s">
        <v>1050</v>
      </c>
      <c r="H238" s="198">
        <v>2010</v>
      </c>
      <c r="I238" s="200" t="s">
        <v>269</v>
      </c>
      <c r="J238" s="180" t="s">
        <v>166</v>
      </c>
      <c r="K238" s="198">
        <v>606.95000000000005</v>
      </c>
      <c r="L238" s="197"/>
      <c r="N238" s="197"/>
      <c r="O238" s="197"/>
      <c r="P238" s="197"/>
      <c r="Q238" s="197"/>
      <c r="R238" s="197"/>
      <c r="S238" s="197"/>
      <c r="T238" s="197"/>
      <c r="U238" s="197"/>
      <c r="V238" s="203"/>
    </row>
    <row r="239" spans="2:22" ht="15" customHeight="1" x14ac:dyDescent="0.2">
      <c r="B239" s="75" t="s">
        <v>589</v>
      </c>
      <c r="C239" s="75" t="s">
        <v>446</v>
      </c>
      <c r="D239" s="197" t="s">
        <v>242</v>
      </c>
      <c r="E239" s="180" t="s">
        <v>246</v>
      </c>
      <c r="F239" s="197" t="s">
        <v>428</v>
      </c>
      <c r="G239" s="180" t="s">
        <v>1050</v>
      </c>
      <c r="H239" s="198">
        <v>2010</v>
      </c>
      <c r="I239" s="180" t="s">
        <v>354</v>
      </c>
      <c r="J239" s="180" t="s">
        <v>166</v>
      </c>
      <c r="K239" s="198">
        <v>677</v>
      </c>
      <c r="L239" s="197"/>
      <c r="N239" s="197"/>
      <c r="O239" s="197"/>
      <c r="P239" s="197"/>
      <c r="Q239" s="197"/>
      <c r="R239" s="197"/>
      <c r="S239" s="197"/>
      <c r="T239" s="197"/>
      <c r="U239" s="197"/>
      <c r="V239" s="203"/>
    </row>
    <row r="240" spans="2:22" ht="15" customHeight="1" x14ac:dyDescent="0.2">
      <c r="B240" s="75" t="s">
        <v>590</v>
      </c>
      <c r="C240" s="75" t="s">
        <v>669</v>
      </c>
      <c r="D240" s="197" t="s">
        <v>242</v>
      </c>
      <c r="E240" s="180" t="s">
        <v>246</v>
      </c>
      <c r="F240" s="197" t="s">
        <v>428</v>
      </c>
      <c r="G240" s="180" t="s">
        <v>826</v>
      </c>
      <c r="H240" s="198">
        <v>2008</v>
      </c>
      <c r="I240" s="200" t="s">
        <v>261</v>
      </c>
      <c r="J240" s="180" t="s">
        <v>166</v>
      </c>
      <c r="K240" s="198">
        <v>1235</v>
      </c>
      <c r="L240" s="197"/>
      <c r="N240" s="197"/>
      <c r="O240" s="197"/>
      <c r="P240" s="197"/>
      <c r="Q240" s="197"/>
      <c r="R240" s="197"/>
      <c r="S240" s="197"/>
      <c r="T240" s="197"/>
      <c r="U240" s="197"/>
      <c r="V240" s="203"/>
    </row>
    <row r="241" spans="2:22" ht="15" customHeight="1" x14ac:dyDescent="0.2">
      <c r="B241" s="75" t="s">
        <v>589</v>
      </c>
      <c r="C241" s="75" t="s">
        <v>515</v>
      </c>
      <c r="D241" s="197" t="s">
        <v>295</v>
      </c>
      <c r="E241" s="180" t="s">
        <v>296</v>
      </c>
      <c r="F241" s="197" t="s">
        <v>516</v>
      </c>
      <c r="G241" s="180" t="s">
        <v>1050</v>
      </c>
      <c r="H241" s="198">
        <v>2008</v>
      </c>
      <c r="I241" s="200" t="s">
        <v>410</v>
      </c>
      <c r="J241" s="180" t="s">
        <v>166</v>
      </c>
      <c r="K241" s="198">
        <v>732</v>
      </c>
      <c r="L241" s="197"/>
      <c r="N241" s="197"/>
      <c r="O241" s="197"/>
      <c r="P241" s="197"/>
      <c r="Q241" s="197"/>
      <c r="R241" s="197"/>
      <c r="S241" s="197"/>
      <c r="T241" s="197"/>
      <c r="U241" s="197"/>
      <c r="V241" s="203"/>
    </row>
    <row r="242" spans="2:22" ht="15" customHeight="1" x14ac:dyDescent="0.2">
      <c r="B242" s="75" t="s">
        <v>589</v>
      </c>
      <c r="C242" s="75" t="s">
        <v>659</v>
      </c>
      <c r="D242" s="197" t="s">
        <v>242</v>
      </c>
      <c r="E242" s="180" t="s">
        <v>243</v>
      </c>
      <c r="F242" s="197" t="s">
        <v>660</v>
      </c>
      <c r="G242" s="180" t="s">
        <v>1050</v>
      </c>
      <c r="H242" s="198">
        <v>2021</v>
      </c>
      <c r="I242" s="180" t="s">
        <v>630</v>
      </c>
      <c r="J242" s="180" t="s">
        <v>630</v>
      </c>
      <c r="K242" s="198">
        <v>1136</v>
      </c>
      <c r="L242" s="197"/>
      <c r="N242" s="197"/>
      <c r="O242" s="197"/>
      <c r="P242" s="197"/>
      <c r="Q242" s="197"/>
      <c r="R242" s="197"/>
      <c r="S242" s="197"/>
      <c r="T242" s="197"/>
      <c r="U242" s="197"/>
      <c r="V242" s="203"/>
    </row>
    <row r="243" spans="2:22" ht="15" customHeight="1" x14ac:dyDescent="0.2">
      <c r="B243" s="75" t="s">
        <v>589</v>
      </c>
      <c r="C243" s="75" t="s">
        <v>683</v>
      </c>
      <c r="D243" s="197" t="s">
        <v>188</v>
      </c>
      <c r="E243" s="180" t="s">
        <v>200</v>
      </c>
      <c r="F243" s="197" t="s">
        <v>684</v>
      </c>
      <c r="G243" s="180" t="s">
        <v>1050</v>
      </c>
      <c r="H243" s="198">
        <v>2021</v>
      </c>
      <c r="I243" s="180" t="s">
        <v>670</v>
      </c>
      <c r="J243" s="180" t="s">
        <v>670</v>
      </c>
      <c r="K243" s="198">
        <v>973.45</v>
      </c>
      <c r="L243" s="197"/>
      <c r="N243" s="197"/>
      <c r="O243" s="197"/>
      <c r="P243" s="197"/>
      <c r="Q243" s="197"/>
      <c r="R243" s="197"/>
      <c r="S243" s="197"/>
      <c r="T243" s="197"/>
      <c r="U243" s="197"/>
      <c r="V243" s="203"/>
    </row>
    <row r="244" spans="2:22" ht="15" customHeight="1" x14ac:dyDescent="0.2">
      <c r="B244" s="75" t="s">
        <v>590</v>
      </c>
      <c r="C244" s="75" t="s">
        <v>666</v>
      </c>
      <c r="D244" s="197" t="s">
        <v>242</v>
      </c>
      <c r="E244" s="180" t="s">
        <v>243</v>
      </c>
      <c r="F244" s="197" t="s">
        <v>417</v>
      </c>
      <c r="G244" s="180" t="s">
        <v>826</v>
      </c>
      <c r="H244" s="198">
        <v>2010</v>
      </c>
      <c r="I244" s="180" t="s">
        <v>269</v>
      </c>
      <c r="J244" s="180" t="s">
        <v>166</v>
      </c>
      <c r="K244" s="198">
        <v>1064.82</v>
      </c>
      <c r="L244" s="197"/>
      <c r="N244" s="197"/>
      <c r="O244" s="197"/>
      <c r="P244" s="197"/>
      <c r="Q244" s="197"/>
      <c r="R244" s="197"/>
      <c r="S244" s="197"/>
      <c r="T244" s="197"/>
      <c r="U244" s="197"/>
      <c r="V244" s="203"/>
    </row>
    <row r="245" spans="2:22" ht="15" customHeight="1" x14ac:dyDescent="0.2">
      <c r="B245" s="75" t="s">
        <v>590</v>
      </c>
      <c r="C245" s="75" t="s">
        <v>667</v>
      </c>
      <c r="D245" s="197" t="s">
        <v>242</v>
      </c>
      <c r="E245" s="180" t="s">
        <v>253</v>
      </c>
      <c r="F245" s="197" t="s">
        <v>279</v>
      </c>
      <c r="G245" s="180" t="s">
        <v>826</v>
      </c>
      <c r="H245" s="198">
        <v>2019</v>
      </c>
      <c r="I245" s="180" t="s">
        <v>3</v>
      </c>
      <c r="J245" s="180" t="s">
        <v>166</v>
      </c>
      <c r="K245" s="198">
        <v>1250</v>
      </c>
      <c r="L245" s="197"/>
      <c r="N245" s="197"/>
      <c r="O245" s="197"/>
      <c r="P245" s="197"/>
      <c r="Q245" s="197"/>
      <c r="R245" s="197"/>
      <c r="S245" s="197"/>
      <c r="T245" s="197"/>
      <c r="U245" s="197"/>
      <c r="V245" s="203"/>
    </row>
    <row r="246" spans="2:22" ht="15" customHeight="1" x14ac:dyDescent="0.2">
      <c r="B246" s="75" t="s">
        <v>590</v>
      </c>
      <c r="C246" s="75" t="s">
        <v>787</v>
      </c>
      <c r="D246" s="197" t="s">
        <v>242</v>
      </c>
      <c r="E246" s="180" t="s">
        <v>253</v>
      </c>
      <c r="F246" s="197" t="s">
        <v>257</v>
      </c>
      <c r="G246" s="180" t="s">
        <v>826</v>
      </c>
      <c r="H246" s="198">
        <v>2023</v>
      </c>
      <c r="I246" s="180" t="s">
        <v>762</v>
      </c>
      <c r="J246" s="180" t="s">
        <v>166</v>
      </c>
      <c r="K246" s="198">
        <v>1015</v>
      </c>
      <c r="L246" s="197"/>
      <c r="N246" s="197"/>
      <c r="O246" s="197"/>
      <c r="P246" s="197"/>
      <c r="Q246" s="197"/>
      <c r="R246" s="197"/>
      <c r="S246" s="197"/>
      <c r="T246" s="197"/>
      <c r="U246" s="197"/>
      <c r="V246" s="203"/>
    </row>
    <row r="247" spans="2:22" ht="15" customHeight="1" x14ac:dyDescent="0.2">
      <c r="B247" s="75" t="s">
        <v>589</v>
      </c>
      <c r="C247" s="75" t="s">
        <v>753</v>
      </c>
      <c r="D247" s="197" t="s">
        <v>242</v>
      </c>
      <c r="E247" s="180" t="s">
        <v>253</v>
      </c>
      <c r="F247" s="197" t="s">
        <v>257</v>
      </c>
      <c r="G247" s="180" t="s">
        <v>1050</v>
      </c>
      <c r="H247" s="198">
        <v>2002</v>
      </c>
      <c r="I247" s="180" t="s">
        <v>245</v>
      </c>
      <c r="J247" s="180" t="s">
        <v>742</v>
      </c>
      <c r="K247" s="198">
        <v>607</v>
      </c>
      <c r="L247" s="197"/>
      <c r="N247" s="197"/>
      <c r="O247" s="197"/>
      <c r="P247" s="197"/>
      <c r="Q247" s="197"/>
      <c r="R247" s="197"/>
      <c r="S247" s="197"/>
      <c r="T247" s="197"/>
      <c r="U247" s="197"/>
      <c r="V247" s="203"/>
    </row>
    <row r="248" spans="2:22" ht="15" customHeight="1" x14ac:dyDescent="0.2">
      <c r="B248" s="75" t="s">
        <v>589</v>
      </c>
      <c r="C248" s="75" t="s">
        <v>327</v>
      </c>
      <c r="D248" s="197" t="s">
        <v>188</v>
      </c>
      <c r="E248" s="180" t="s">
        <v>193</v>
      </c>
      <c r="F248" s="197" t="s">
        <v>328</v>
      </c>
      <c r="G248" s="180" t="s">
        <v>1050</v>
      </c>
      <c r="H248" s="198">
        <v>2011</v>
      </c>
      <c r="I248" s="180" t="s">
        <v>258</v>
      </c>
      <c r="J248" s="180" t="s">
        <v>166</v>
      </c>
      <c r="K248" s="198">
        <v>522.79999999999995</v>
      </c>
      <c r="L248" s="197"/>
      <c r="N248" s="197"/>
      <c r="O248" s="197"/>
      <c r="P248" s="197"/>
      <c r="Q248" s="197"/>
      <c r="R248" s="197"/>
      <c r="S248" s="197"/>
      <c r="T248" s="197"/>
      <c r="U248" s="197"/>
      <c r="V248" s="203"/>
    </row>
    <row r="249" spans="2:22" ht="15" customHeight="1" x14ac:dyDescent="0.2">
      <c r="B249" s="75" t="s">
        <v>589</v>
      </c>
      <c r="C249" s="75" t="s">
        <v>499</v>
      </c>
      <c r="D249" s="197" t="s">
        <v>242</v>
      </c>
      <c r="E249" s="180" t="s">
        <v>253</v>
      </c>
      <c r="F249" s="197" t="s">
        <v>500</v>
      </c>
      <c r="G249" s="180" t="s">
        <v>1050</v>
      </c>
      <c r="H249" s="198">
        <v>2008</v>
      </c>
      <c r="I249" s="180" t="s">
        <v>322</v>
      </c>
      <c r="J249" s="180" t="s">
        <v>1092</v>
      </c>
      <c r="K249" s="198">
        <v>601.92999999999995</v>
      </c>
      <c r="L249" s="197"/>
      <c r="N249" s="197"/>
      <c r="O249" s="197"/>
      <c r="P249" s="197"/>
      <c r="Q249" s="197"/>
      <c r="R249" s="197"/>
      <c r="S249" s="197"/>
      <c r="T249" s="197"/>
      <c r="U249" s="197"/>
      <c r="V249" s="203"/>
    </row>
    <row r="250" spans="2:22" ht="15" customHeight="1" x14ac:dyDescent="0.2">
      <c r="B250" s="75" t="s">
        <v>589</v>
      </c>
      <c r="C250" s="75" t="s">
        <v>501</v>
      </c>
      <c r="D250" s="197" t="s">
        <v>242</v>
      </c>
      <c r="E250" s="180" t="s">
        <v>253</v>
      </c>
      <c r="F250" s="197" t="s">
        <v>502</v>
      </c>
      <c r="G250" s="180" t="s">
        <v>1050</v>
      </c>
      <c r="H250" s="198">
        <v>2010</v>
      </c>
      <c r="I250" s="180" t="s">
        <v>354</v>
      </c>
      <c r="J250" s="180" t="s">
        <v>166</v>
      </c>
      <c r="K250" s="198">
        <v>502</v>
      </c>
      <c r="L250" s="197"/>
      <c r="N250" s="197"/>
      <c r="O250" s="197"/>
      <c r="P250" s="197"/>
      <c r="Q250" s="197"/>
      <c r="R250" s="197"/>
      <c r="S250" s="197"/>
      <c r="T250" s="197"/>
      <c r="U250" s="197"/>
      <c r="V250" s="203"/>
    </row>
    <row r="251" spans="2:22" ht="15" customHeight="1" x14ac:dyDescent="0.2">
      <c r="B251" s="75" t="s">
        <v>589</v>
      </c>
      <c r="C251" s="75" t="s">
        <v>376</v>
      </c>
      <c r="D251" s="197" t="s">
        <v>203</v>
      </c>
      <c r="E251" s="180" t="s">
        <v>218</v>
      </c>
      <c r="F251" s="197" t="s">
        <v>219</v>
      </c>
      <c r="G251" s="180" t="s">
        <v>1050</v>
      </c>
      <c r="H251" s="198">
        <v>2008</v>
      </c>
      <c r="I251" s="180" t="s">
        <v>322</v>
      </c>
      <c r="J251" s="180" t="s">
        <v>166</v>
      </c>
      <c r="K251" s="198">
        <v>712.89</v>
      </c>
      <c r="L251" s="197"/>
      <c r="N251" s="197"/>
      <c r="O251" s="197"/>
      <c r="P251" s="197"/>
      <c r="Q251" s="197"/>
      <c r="R251" s="197"/>
      <c r="S251" s="197"/>
      <c r="T251" s="197"/>
      <c r="U251" s="197"/>
      <c r="V251" s="203"/>
    </row>
    <row r="252" spans="2:22" ht="15" customHeight="1" x14ac:dyDescent="0.2">
      <c r="B252" s="75" t="s">
        <v>589</v>
      </c>
      <c r="C252" s="75" t="s">
        <v>318</v>
      </c>
      <c r="D252" s="197" t="s">
        <v>188</v>
      </c>
      <c r="E252" s="180" t="s">
        <v>189</v>
      </c>
      <c r="F252" s="197" t="s">
        <v>190</v>
      </c>
      <c r="G252" s="180" t="s">
        <v>1050</v>
      </c>
      <c r="H252" s="198">
        <v>2009</v>
      </c>
      <c r="I252" s="180" t="s">
        <v>319</v>
      </c>
      <c r="J252" s="180" t="s">
        <v>1092</v>
      </c>
      <c r="K252" s="198">
        <v>789.08</v>
      </c>
      <c r="L252" s="197"/>
      <c r="N252" s="197"/>
      <c r="O252" s="197"/>
      <c r="P252" s="197"/>
      <c r="Q252" s="197"/>
      <c r="R252" s="197"/>
      <c r="S252" s="197"/>
      <c r="T252" s="197"/>
      <c r="U252" s="197"/>
      <c r="V252" s="203"/>
    </row>
    <row r="253" spans="2:22" ht="15" customHeight="1" x14ac:dyDescent="0.2">
      <c r="B253" s="75" t="s">
        <v>589</v>
      </c>
      <c r="C253" s="75" t="s">
        <v>288</v>
      </c>
      <c r="D253" s="197" t="s">
        <v>242</v>
      </c>
      <c r="E253" s="180" t="s">
        <v>253</v>
      </c>
      <c r="F253" s="197" t="s">
        <v>257</v>
      </c>
      <c r="G253" s="180" t="s">
        <v>1050</v>
      </c>
      <c r="H253" s="198">
        <v>2003</v>
      </c>
      <c r="I253" s="180" t="s">
        <v>195</v>
      </c>
      <c r="J253" s="180" t="s">
        <v>8</v>
      </c>
      <c r="K253" s="198">
        <v>1200</v>
      </c>
      <c r="L253" s="197"/>
      <c r="N253" s="197"/>
      <c r="O253" s="197"/>
      <c r="P253" s="197"/>
      <c r="Q253" s="197"/>
      <c r="R253" s="197"/>
      <c r="S253" s="197"/>
      <c r="T253" s="197"/>
      <c r="U253" s="197"/>
      <c r="V253" s="203"/>
    </row>
    <row r="254" spans="2:22" ht="15" customHeight="1" x14ac:dyDescent="0.2">
      <c r="B254" s="75" t="s">
        <v>589</v>
      </c>
      <c r="C254" s="75" t="s">
        <v>447</v>
      </c>
      <c r="D254" s="197" t="s">
        <v>242</v>
      </c>
      <c r="E254" s="180" t="s">
        <v>246</v>
      </c>
      <c r="F254" s="197" t="s">
        <v>247</v>
      </c>
      <c r="G254" s="180" t="s">
        <v>1050</v>
      </c>
      <c r="H254" s="198">
        <v>2010</v>
      </c>
      <c r="I254" s="180" t="s">
        <v>448</v>
      </c>
      <c r="J254" s="180" t="s">
        <v>166</v>
      </c>
      <c r="K254" s="198">
        <v>198.74</v>
      </c>
      <c r="L254" s="197"/>
      <c r="N254" s="197"/>
      <c r="O254" s="197"/>
      <c r="P254" s="197"/>
      <c r="Q254" s="197"/>
      <c r="R254" s="197"/>
      <c r="S254" s="197"/>
      <c r="T254" s="197"/>
      <c r="U254" s="197"/>
      <c r="V254" s="203"/>
    </row>
    <row r="255" spans="2:22" ht="15" customHeight="1" x14ac:dyDescent="0.2">
      <c r="B255" s="75" t="s">
        <v>590</v>
      </c>
      <c r="C255" s="75" t="s">
        <v>832</v>
      </c>
      <c r="D255" s="197" t="s">
        <v>242</v>
      </c>
      <c r="E255" s="180" t="s">
        <v>253</v>
      </c>
      <c r="F255" s="197" t="s">
        <v>290</v>
      </c>
      <c r="G255" s="180" t="s">
        <v>826</v>
      </c>
      <c r="H255" s="198">
        <v>2023</v>
      </c>
      <c r="I255" s="180" t="s">
        <v>823</v>
      </c>
      <c r="J255" s="180" t="s">
        <v>166</v>
      </c>
      <c r="K255" s="198">
        <v>1262</v>
      </c>
      <c r="L255" s="197"/>
      <c r="N255" s="197"/>
      <c r="O255" s="197"/>
      <c r="P255" s="197"/>
      <c r="Q255" s="197"/>
      <c r="R255" s="197"/>
      <c r="S255" s="197"/>
      <c r="T255" s="197"/>
      <c r="U255" s="197"/>
      <c r="V255" s="203"/>
    </row>
    <row r="256" spans="2:22" ht="15" customHeight="1" x14ac:dyDescent="0.2">
      <c r="B256" s="75" t="s">
        <v>590</v>
      </c>
      <c r="C256" s="75" t="s">
        <v>562</v>
      </c>
      <c r="D256" s="197" t="s">
        <v>242</v>
      </c>
      <c r="E256" s="180" t="s">
        <v>253</v>
      </c>
      <c r="F256" s="197" t="s">
        <v>271</v>
      </c>
      <c r="G256" s="180" t="s">
        <v>826</v>
      </c>
      <c r="H256" s="198">
        <v>2022</v>
      </c>
      <c r="I256" s="180" t="s">
        <v>742</v>
      </c>
      <c r="J256" s="180" t="s">
        <v>166</v>
      </c>
      <c r="K256" s="198">
        <v>1139</v>
      </c>
      <c r="L256" s="197"/>
      <c r="N256" s="197"/>
      <c r="O256" s="197"/>
      <c r="P256" s="197"/>
      <c r="Q256" s="197"/>
      <c r="R256" s="197"/>
      <c r="S256" s="197"/>
      <c r="T256" s="197"/>
      <c r="U256" s="197"/>
      <c r="V256" s="203"/>
    </row>
    <row r="257" spans="2:22" ht="15" customHeight="1" x14ac:dyDescent="0.2">
      <c r="B257" s="75" t="s">
        <v>589</v>
      </c>
      <c r="C257" s="75" t="s">
        <v>754</v>
      </c>
      <c r="D257" s="197" t="s">
        <v>242</v>
      </c>
      <c r="E257" s="180" t="s">
        <v>396</v>
      </c>
      <c r="F257" s="197" t="s">
        <v>399</v>
      </c>
      <c r="G257" s="180" t="s">
        <v>1050</v>
      </c>
      <c r="H257" s="198">
        <v>2002</v>
      </c>
      <c r="I257" s="180" t="s">
        <v>400</v>
      </c>
      <c r="J257" s="180" t="s">
        <v>670</v>
      </c>
      <c r="K257" s="198">
        <v>1319</v>
      </c>
      <c r="L257" s="197"/>
      <c r="N257" s="197"/>
      <c r="O257" s="197"/>
      <c r="P257" s="197"/>
      <c r="Q257" s="197"/>
      <c r="R257" s="197"/>
      <c r="S257" s="197"/>
      <c r="T257" s="197"/>
      <c r="U257" s="197"/>
      <c r="V257" s="203"/>
    </row>
    <row r="258" spans="2:22" ht="15" customHeight="1" x14ac:dyDescent="0.2">
      <c r="B258" s="75" t="s">
        <v>590</v>
      </c>
      <c r="C258" s="75" t="s">
        <v>755</v>
      </c>
      <c r="D258" s="197" t="s">
        <v>242</v>
      </c>
      <c r="E258" s="180" t="s">
        <v>396</v>
      </c>
      <c r="F258" s="197" t="s">
        <v>399</v>
      </c>
      <c r="G258" s="180" t="s">
        <v>825</v>
      </c>
      <c r="H258" s="198">
        <v>2022</v>
      </c>
      <c r="I258" s="180" t="s">
        <v>742</v>
      </c>
      <c r="J258" s="180" t="s">
        <v>166</v>
      </c>
      <c r="K258" s="198">
        <v>525</v>
      </c>
      <c r="L258" s="197"/>
      <c r="N258" s="197"/>
      <c r="O258" s="197"/>
      <c r="P258" s="197"/>
      <c r="Q258" s="197"/>
      <c r="R258" s="197"/>
      <c r="S258" s="197"/>
      <c r="T258" s="197"/>
      <c r="U258" s="197"/>
      <c r="V258" s="203"/>
    </row>
    <row r="259" spans="2:22" ht="15" customHeight="1" x14ac:dyDescent="0.2">
      <c r="B259" s="75" t="s">
        <v>590</v>
      </c>
      <c r="C259" s="75" t="s">
        <v>756</v>
      </c>
      <c r="D259" s="197" t="s">
        <v>188</v>
      </c>
      <c r="E259" s="180" t="s">
        <v>193</v>
      </c>
      <c r="F259" s="197" t="s">
        <v>194</v>
      </c>
      <c r="G259" s="180" t="s">
        <v>826</v>
      </c>
      <c r="H259" s="198">
        <v>2022</v>
      </c>
      <c r="I259" s="180" t="s">
        <v>742</v>
      </c>
      <c r="J259" s="180" t="s">
        <v>166</v>
      </c>
      <c r="K259" s="198">
        <v>1314</v>
      </c>
      <c r="L259" s="197"/>
      <c r="N259" s="197"/>
      <c r="O259" s="197"/>
      <c r="P259" s="197"/>
      <c r="Q259" s="197"/>
      <c r="R259" s="197"/>
      <c r="S259" s="197"/>
      <c r="T259" s="197"/>
      <c r="U259" s="197"/>
      <c r="V259" s="203"/>
    </row>
    <row r="260" spans="2:22" ht="15" customHeight="1" x14ac:dyDescent="0.2">
      <c r="B260" s="75" t="s">
        <v>589</v>
      </c>
      <c r="C260" s="75" t="s">
        <v>503</v>
      </c>
      <c r="D260" s="197" t="s">
        <v>242</v>
      </c>
      <c r="E260" s="180" t="s">
        <v>253</v>
      </c>
      <c r="F260" s="197" t="s">
        <v>290</v>
      </c>
      <c r="G260" s="180" t="s">
        <v>1050</v>
      </c>
      <c r="H260" s="198">
        <v>2005</v>
      </c>
      <c r="I260" s="180" t="s">
        <v>347</v>
      </c>
      <c r="J260" s="180" t="s">
        <v>166</v>
      </c>
      <c r="K260" s="198">
        <v>641.96</v>
      </c>
      <c r="L260" s="197"/>
      <c r="N260" s="197"/>
      <c r="O260" s="197"/>
      <c r="P260" s="197"/>
      <c r="Q260" s="197"/>
      <c r="R260" s="197"/>
      <c r="S260" s="197"/>
      <c r="T260" s="197"/>
      <c r="U260" s="197"/>
      <c r="V260" s="203"/>
    </row>
    <row r="261" spans="2:22" ht="15" customHeight="1" x14ac:dyDescent="0.2">
      <c r="B261" s="75" t="s">
        <v>589</v>
      </c>
      <c r="C261" s="75" t="s">
        <v>504</v>
      </c>
      <c r="D261" s="197" t="s">
        <v>242</v>
      </c>
      <c r="E261" s="180" t="s">
        <v>253</v>
      </c>
      <c r="F261" s="197" t="s">
        <v>257</v>
      </c>
      <c r="G261" s="180" t="s">
        <v>1050</v>
      </c>
      <c r="H261" s="198">
        <v>2013</v>
      </c>
      <c r="I261" s="180" t="s">
        <v>356</v>
      </c>
      <c r="J261" s="180" t="s">
        <v>166</v>
      </c>
      <c r="K261" s="198">
        <v>891.19</v>
      </c>
      <c r="L261" s="197"/>
      <c r="N261" s="197"/>
      <c r="O261" s="197"/>
      <c r="P261" s="197"/>
      <c r="Q261" s="197"/>
      <c r="R261" s="197"/>
      <c r="S261" s="197"/>
      <c r="T261" s="197"/>
      <c r="U261" s="197"/>
      <c r="V261" s="203"/>
    </row>
    <row r="262" spans="2:22" ht="15" customHeight="1" x14ac:dyDescent="0.2">
      <c r="B262" s="75" t="s">
        <v>589</v>
      </c>
      <c r="C262" s="75" t="s">
        <v>661</v>
      </c>
      <c r="D262" s="197" t="s">
        <v>242</v>
      </c>
      <c r="E262" s="180" t="s">
        <v>253</v>
      </c>
      <c r="F262" s="197" t="s">
        <v>662</v>
      </c>
      <c r="G262" s="180" t="s">
        <v>1050</v>
      </c>
      <c r="H262" s="198">
        <v>2021</v>
      </c>
      <c r="I262" s="180" t="s">
        <v>630</v>
      </c>
      <c r="J262" s="180" t="s">
        <v>630</v>
      </c>
      <c r="K262" s="198">
        <v>1083</v>
      </c>
      <c r="L262" s="197"/>
      <c r="N262" s="197"/>
      <c r="O262" s="197"/>
      <c r="P262" s="197"/>
      <c r="Q262" s="197"/>
      <c r="R262" s="197"/>
      <c r="S262" s="197"/>
      <c r="T262" s="197"/>
      <c r="U262" s="197"/>
      <c r="V262" s="203"/>
    </row>
    <row r="263" spans="2:22" ht="15" customHeight="1" x14ac:dyDescent="0.2">
      <c r="B263" s="75" t="s">
        <v>589</v>
      </c>
      <c r="C263" s="75" t="s">
        <v>620</v>
      </c>
      <c r="D263" s="197" t="s">
        <v>242</v>
      </c>
      <c r="E263" s="180" t="s">
        <v>253</v>
      </c>
      <c r="F263" s="197" t="s">
        <v>257</v>
      </c>
      <c r="G263" s="180" t="s">
        <v>1050</v>
      </c>
      <c r="H263" s="198">
        <v>2021</v>
      </c>
      <c r="I263" s="180" t="s">
        <v>618</v>
      </c>
      <c r="J263" s="180" t="s">
        <v>618</v>
      </c>
      <c r="K263" s="198">
        <v>980.4</v>
      </c>
      <c r="L263" s="197"/>
      <c r="N263" s="197"/>
      <c r="O263" s="197"/>
      <c r="P263" s="197"/>
      <c r="Q263" s="197"/>
      <c r="R263" s="197"/>
      <c r="S263" s="197"/>
      <c r="T263" s="197"/>
      <c r="U263" s="197"/>
      <c r="V263" s="203"/>
    </row>
    <row r="264" spans="2:22" ht="15" customHeight="1" x14ac:dyDescent="0.2">
      <c r="B264" s="75" t="s">
        <v>589</v>
      </c>
      <c r="C264" s="75" t="s">
        <v>423</v>
      </c>
      <c r="D264" s="197" t="s">
        <v>242</v>
      </c>
      <c r="E264" s="180" t="s">
        <v>243</v>
      </c>
      <c r="F264" s="197" t="s">
        <v>405</v>
      </c>
      <c r="G264" s="180" t="s">
        <v>1050</v>
      </c>
      <c r="H264" s="198">
        <v>2012</v>
      </c>
      <c r="I264" s="180" t="s">
        <v>397</v>
      </c>
      <c r="J264" s="180" t="s">
        <v>166</v>
      </c>
      <c r="K264" s="198">
        <v>1609.08</v>
      </c>
      <c r="L264" s="197"/>
      <c r="N264" s="197"/>
      <c r="O264" s="197"/>
      <c r="P264" s="197"/>
      <c r="Q264" s="197"/>
      <c r="R264" s="197"/>
      <c r="S264" s="197"/>
      <c r="T264" s="197"/>
      <c r="U264" s="197"/>
      <c r="V264" s="203"/>
    </row>
    <row r="265" spans="2:22" ht="15" customHeight="1" x14ac:dyDescent="0.2">
      <c r="B265" s="75" t="s">
        <v>589</v>
      </c>
      <c r="C265" s="75" t="s">
        <v>289</v>
      </c>
      <c r="D265" s="197" t="s">
        <v>242</v>
      </c>
      <c r="E265" s="180" t="s">
        <v>253</v>
      </c>
      <c r="F265" s="197" t="s">
        <v>290</v>
      </c>
      <c r="G265" s="180" t="s">
        <v>1050</v>
      </c>
      <c r="H265" s="198">
        <v>2009</v>
      </c>
      <c r="I265" s="180" t="s">
        <v>287</v>
      </c>
      <c r="J265" s="180" t="s">
        <v>0</v>
      </c>
      <c r="K265" s="198">
        <v>1696</v>
      </c>
      <c r="L265" s="197"/>
      <c r="N265" s="197"/>
      <c r="O265" s="197"/>
      <c r="P265" s="197"/>
      <c r="Q265" s="197"/>
      <c r="R265" s="197"/>
      <c r="S265" s="197"/>
      <c r="T265" s="197"/>
      <c r="U265" s="197"/>
      <c r="V265" s="203"/>
    </row>
    <row r="266" spans="2:22" ht="15" customHeight="1" x14ac:dyDescent="0.2">
      <c r="B266" s="75" t="s">
        <v>589</v>
      </c>
      <c r="C266" s="75" t="s">
        <v>359</v>
      </c>
      <c r="D266" s="197" t="s">
        <v>203</v>
      </c>
      <c r="E266" s="180" t="s">
        <v>211</v>
      </c>
      <c r="F266" s="197" t="s">
        <v>212</v>
      </c>
      <c r="G266" s="180" t="s">
        <v>1050</v>
      </c>
      <c r="H266" s="180">
        <v>2008</v>
      </c>
      <c r="I266" s="180" t="s">
        <v>322</v>
      </c>
      <c r="J266" s="180" t="s">
        <v>1092</v>
      </c>
      <c r="K266" s="198">
        <v>1583.7</v>
      </c>
      <c r="L266" s="197"/>
      <c r="N266" s="197"/>
      <c r="O266" s="197"/>
      <c r="P266" s="197"/>
      <c r="Q266" s="197"/>
      <c r="R266" s="197"/>
      <c r="S266" s="197"/>
      <c r="T266" s="197"/>
      <c r="U266" s="197"/>
      <c r="V266" s="203"/>
    </row>
    <row r="267" spans="2:22" ht="15" customHeight="1" x14ac:dyDescent="0.2">
      <c r="B267" s="75" t="s">
        <v>589</v>
      </c>
      <c r="C267" s="75" t="s">
        <v>378</v>
      </c>
      <c r="D267" s="197" t="s">
        <v>234</v>
      </c>
      <c r="E267" s="180" t="s">
        <v>379</v>
      </c>
      <c r="F267" s="197" t="s">
        <v>380</v>
      </c>
      <c r="G267" s="180" t="s">
        <v>1050</v>
      </c>
      <c r="H267" s="180">
        <v>2011</v>
      </c>
      <c r="I267" s="180" t="s">
        <v>258</v>
      </c>
      <c r="J267" s="180" t="s">
        <v>166</v>
      </c>
      <c r="K267" s="198">
        <v>759.38</v>
      </c>
      <c r="L267" s="197"/>
      <c r="N267" s="197"/>
      <c r="O267" s="197"/>
      <c r="P267" s="197"/>
      <c r="Q267" s="197"/>
      <c r="R267" s="197"/>
      <c r="S267" s="197"/>
      <c r="T267" s="197"/>
      <c r="U267" s="197"/>
      <c r="V267" s="203"/>
    </row>
    <row r="268" spans="2:22" ht="15" customHeight="1" x14ac:dyDescent="0.2">
      <c r="B268" s="75" t="s">
        <v>589</v>
      </c>
      <c r="C268" s="75" t="s">
        <v>424</v>
      </c>
      <c r="D268" s="197" t="s">
        <v>242</v>
      </c>
      <c r="E268" s="180" t="s">
        <v>243</v>
      </c>
      <c r="F268" s="197" t="s">
        <v>244</v>
      </c>
      <c r="G268" s="180" t="s">
        <v>1050</v>
      </c>
      <c r="H268" s="180">
        <v>2009</v>
      </c>
      <c r="I268" s="180" t="s">
        <v>265</v>
      </c>
      <c r="J268" s="180" t="s">
        <v>166</v>
      </c>
      <c r="K268" s="198">
        <v>753.42</v>
      </c>
      <c r="L268" s="197"/>
      <c r="N268" s="197"/>
      <c r="O268" s="197"/>
      <c r="P268" s="197"/>
      <c r="Q268" s="197"/>
      <c r="R268" s="197"/>
      <c r="S268" s="197"/>
      <c r="T268" s="197"/>
      <c r="U268" s="197"/>
      <c r="V268" s="203"/>
    </row>
    <row r="269" spans="2:22" ht="15" customHeight="1" x14ac:dyDescent="0.2">
      <c r="B269" s="75" t="s">
        <v>589</v>
      </c>
      <c r="C269" s="75" t="s">
        <v>449</v>
      </c>
      <c r="D269" s="197" t="s">
        <v>242</v>
      </c>
      <c r="E269" s="180" t="s">
        <v>246</v>
      </c>
      <c r="F269" s="197" t="s">
        <v>247</v>
      </c>
      <c r="G269" s="180" t="s">
        <v>1050</v>
      </c>
      <c r="H269" s="180">
        <v>2010</v>
      </c>
      <c r="I269" s="180" t="s">
        <v>269</v>
      </c>
      <c r="J269" s="180" t="s">
        <v>166</v>
      </c>
      <c r="K269" s="198">
        <v>435</v>
      </c>
      <c r="L269" s="197"/>
      <c r="N269" s="197"/>
      <c r="O269" s="197"/>
      <c r="P269" s="197"/>
      <c r="Q269" s="197"/>
      <c r="R269" s="197"/>
      <c r="S269" s="197"/>
      <c r="T269" s="197"/>
      <c r="U269" s="197"/>
      <c r="V269" s="203"/>
    </row>
    <row r="270" spans="2:22" ht="15" customHeight="1" x14ac:dyDescent="0.2">
      <c r="B270" s="75" t="s">
        <v>590</v>
      </c>
      <c r="C270" s="75" t="s">
        <v>839</v>
      </c>
      <c r="D270" s="197" t="s">
        <v>295</v>
      </c>
      <c r="E270" s="197" t="s">
        <v>307</v>
      </c>
      <c r="F270" s="180" t="s">
        <v>531</v>
      </c>
      <c r="G270" s="197" t="s">
        <v>826</v>
      </c>
      <c r="H270" s="180">
        <v>2023</v>
      </c>
      <c r="I270" s="180" t="s">
        <v>838</v>
      </c>
      <c r="J270" s="180" t="s">
        <v>166</v>
      </c>
      <c r="K270" s="180">
        <v>1105</v>
      </c>
    </row>
    <row r="271" spans="2:22" ht="15" customHeight="1" x14ac:dyDescent="0.2">
      <c r="B271" s="75" t="s">
        <v>590</v>
      </c>
      <c r="C271" s="75" t="s">
        <v>1102</v>
      </c>
      <c r="D271" s="197" t="s">
        <v>242</v>
      </c>
      <c r="E271" s="180" t="s">
        <v>253</v>
      </c>
      <c r="F271" s="197" t="s">
        <v>257</v>
      </c>
      <c r="G271" s="180" t="s">
        <v>825</v>
      </c>
      <c r="H271" s="180">
        <v>2023</v>
      </c>
      <c r="I271" s="180" t="s">
        <v>846</v>
      </c>
      <c r="J271" s="180" t="s">
        <v>166</v>
      </c>
      <c r="K271" s="198">
        <v>298</v>
      </c>
    </row>
    <row r="272" spans="2:22" ht="15" customHeight="1" x14ac:dyDescent="0.2">
      <c r="B272" s="75" t="s">
        <v>590</v>
      </c>
      <c r="C272" s="75" t="s">
        <v>980</v>
      </c>
      <c r="D272" s="197" t="s">
        <v>242</v>
      </c>
      <c r="E272" s="180" t="s">
        <v>246</v>
      </c>
      <c r="F272" s="197" t="s">
        <v>247</v>
      </c>
      <c r="G272" s="180" t="s">
        <v>825</v>
      </c>
      <c r="H272" s="180">
        <v>2024</v>
      </c>
      <c r="I272" s="180" t="s">
        <v>893</v>
      </c>
      <c r="J272" s="180" t="s">
        <v>166</v>
      </c>
      <c r="K272" s="198">
        <v>618.41</v>
      </c>
    </row>
    <row r="273" spans="2:11" ht="15" customHeight="1" x14ac:dyDescent="0.2">
      <c r="B273" s="75" t="s">
        <v>590</v>
      </c>
      <c r="C273" s="75" t="s">
        <v>981</v>
      </c>
      <c r="D273" s="197" t="s">
        <v>242</v>
      </c>
      <c r="E273" s="180" t="s">
        <v>253</v>
      </c>
      <c r="F273" s="197" t="s">
        <v>257</v>
      </c>
      <c r="G273" s="197" t="s">
        <v>826</v>
      </c>
      <c r="H273" s="180">
        <v>2024</v>
      </c>
      <c r="I273" s="180" t="s">
        <v>893</v>
      </c>
      <c r="J273" s="180" t="s">
        <v>166</v>
      </c>
      <c r="K273" s="198">
        <v>1214</v>
      </c>
    </row>
    <row r="274" spans="2:11" ht="15" customHeight="1" x14ac:dyDescent="0.2">
      <c r="B274" s="75" t="s">
        <v>589</v>
      </c>
      <c r="C274" s="75" t="s">
        <v>562</v>
      </c>
      <c r="D274" s="197" t="s">
        <v>242</v>
      </c>
      <c r="E274" s="180" t="s">
        <v>253</v>
      </c>
      <c r="F274" s="197" t="s">
        <v>271</v>
      </c>
      <c r="G274" s="180" t="s">
        <v>1050</v>
      </c>
      <c r="H274" s="180">
        <v>2024</v>
      </c>
      <c r="I274" s="180" t="s">
        <v>893</v>
      </c>
      <c r="J274" s="180" t="s">
        <v>893</v>
      </c>
      <c r="K274" s="198">
        <v>959</v>
      </c>
    </row>
    <row r="275" spans="2:11" ht="15" customHeight="1" x14ac:dyDescent="0.2">
      <c r="B275" s="75" t="s">
        <v>589</v>
      </c>
      <c r="C275" s="75" t="s">
        <v>987</v>
      </c>
      <c r="D275" s="197" t="s">
        <v>242</v>
      </c>
      <c r="E275" s="180" t="s">
        <v>253</v>
      </c>
      <c r="F275" s="197" t="s">
        <v>257</v>
      </c>
      <c r="G275" s="180" t="s">
        <v>1050</v>
      </c>
      <c r="H275" s="180">
        <v>2024</v>
      </c>
      <c r="I275" s="180" t="s">
        <v>986</v>
      </c>
      <c r="J275" s="180" t="s">
        <v>986</v>
      </c>
      <c r="K275" s="198">
        <v>936</v>
      </c>
    </row>
    <row r="276" spans="2:11" ht="15" customHeight="1" x14ac:dyDescent="0.2">
      <c r="B276" s="75" t="s">
        <v>590</v>
      </c>
      <c r="C276" s="75" t="s">
        <v>1008</v>
      </c>
      <c r="D276" s="197" t="s">
        <v>242</v>
      </c>
      <c r="E276" s="180" t="s">
        <v>253</v>
      </c>
      <c r="F276" s="197" t="s">
        <v>260</v>
      </c>
      <c r="G276" s="197" t="s">
        <v>826</v>
      </c>
      <c r="H276" s="180">
        <v>2025</v>
      </c>
      <c r="I276" s="180" t="s">
        <v>1007</v>
      </c>
      <c r="J276" s="180" t="s">
        <v>166</v>
      </c>
      <c r="K276" s="198">
        <v>1000</v>
      </c>
    </row>
    <row r="277" spans="2:11" ht="15" customHeight="1" x14ac:dyDescent="0.2">
      <c r="B277" s="75" t="s">
        <v>590</v>
      </c>
      <c r="C277" s="75" t="s">
        <v>556</v>
      </c>
      <c r="D277" s="197" t="s">
        <v>242</v>
      </c>
      <c r="E277" s="180" t="s">
        <v>253</v>
      </c>
      <c r="F277" s="197" t="s">
        <v>257</v>
      </c>
      <c r="G277" s="197" t="s">
        <v>825</v>
      </c>
      <c r="H277" s="180">
        <v>2025</v>
      </c>
      <c r="I277" s="180" t="s">
        <v>1010</v>
      </c>
      <c r="J277" s="180" t="s">
        <v>166</v>
      </c>
      <c r="K277" s="198">
        <v>950.12</v>
      </c>
    </row>
    <row r="278" spans="2:11" ht="15" customHeight="1" x14ac:dyDescent="0.2">
      <c r="B278" s="75" t="s">
        <v>589</v>
      </c>
      <c r="C278" s="75" t="s">
        <v>1051</v>
      </c>
      <c r="D278" s="197" t="s">
        <v>242</v>
      </c>
      <c r="E278" s="180" t="s">
        <v>253</v>
      </c>
      <c r="F278" s="197" t="s">
        <v>257</v>
      </c>
      <c r="G278" s="180" t="s">
        <v>1050</v>
      </c>
      <c r="H278" s="180">
        <v>2025</v>
      </c>
      <c r="I278" s="180" t="s">
        <v>1010</v>
      </c>
      <c r="J278" s="180" t="s">
        <v>166</v>
      </c>
      <c r="K278" s="198">
        <v>1015</v>
      </c>
    </row>
    <row r="279" spans="2:11" ht="15" customHeight="1" x14ac:dyDescent="0.2">
      <c r="B279" s="282" t="s">
        <v>589</v>
      </c>
      <c r="C279" s="75" t="s">
        <v>1052</v>
      </c>
      <c r="D279" s="197" t="s">
        <v>203</v>
      </c>
      <c r="E279" s="180" t="s">
        <v>218</v>
      </c>
      <c r="F279" s="197" t="s">
        <v>1053</v>
      </c>
      <c r="G279" s="180" t="s">
        <v>1050</v>
      </c>
      <c r="H279" s="180">
        <v>2025</v>
      </c>
      <c r="I279" s="180" t="s">
        <v>1010</v>
      </c>
      <c r="J279" s="180" t="s">
        <v>166</v>
      </c>
      <c r="K279" s="198">
        <v>1044.5999999999999</v>
      </c>
    </row>
    <row r="280" spans="2:11" ht="15" customHeight="1" x14ac:dyDescent="0.2">
      <c r="B280" s="75" t="s">
        <v>589</v>
      </c>
      <c r="C280" s="75" t="s">
        <v>1093</v>
      </c>
      <c r="D280" s="197" t="s">
        <v>295</v>
      </c>
      <c r="E280" s="180" t="s">
        <v>296</v>
      </c>
      <c r="F280" s="197" t="s">
        <v>1097</v>
      </c>
      <c r="G280" s="180" t="s">
        <v>1050</v>
      </c>
      <c r="H280" s="180">
        <v>2025</v>
      </c>
      <c r="I280" s="180" t="s">
        <v>1092</v>
      </c>
      <c r="J280" s="180" t="s">
        <v>166</v>
      </c>
      <c r="K280" s="198">
        <v>701.69</v>
      </c>
    </row>
    <row r="281" spans="2:11" ht="15" customHeight="1" x14ac:dyDescent="0.2">
      <c r="B281" s="75" t="s">
        <v>589</v>
      </c>
      <c r="C281" s="75" t="s">
        <v>1095</v>
      </c>
      <c r="D281" s="197" t="s">
        <v>242</v>
      </c>
      <c r="E281" s="180" t="s">
        <v>253</v>
      </c>
      <c r="F281" s="197" t="s">
        <v>460</v>
      </c>
      <c r="G281" s="180" t="s">
        <v>1050</v>
      </c>
      <c r="H281" s="180">
        <v>2025</v>
      </c>
      <c r="I281" s="180" t="s">
        <v>1092</v>
      </c>
      <c r="J281" s="180" t="s">
        <v>166</v>
      </c>
      <c r="K281" s="198">
        <v>991</v>
      </c>
    </row>
    <row r="282" spans="2:11" ht="15" customHeight="1" x14ac:dyDescent="0.2">
      <c r="B282" s="75" t="s">
        <v>590</v>
      </c>
      <c r="C282" s="75" t="s">
        <v>1096</v>
      </c>
      <c r="D282" s="197" t="s">
        <v>295</v>
      </c>
      <c r="E282" s="180" t="s">
        <v>296</v>
      </c>
      <c r="F282" s="197" t="s">
        <v>298</v>
      </c>
      <c r="G282" s="197" t="s">
        <v>825</v>
      </c>
      <c r="H282" s="180">
        <v>2025</v>
      </c>
      <c r="I282" s="180" t="s">
        <v>1092</v>
      </c>
      <c r="J282" s="180" t="s">
        <v>166</v>
      </c>
      <c r="K282" s="198">
        <v>1134</v>
      </c>
    </row>
    <row r="283" spans="2:11" ht="15" customHeight="1" x14ac:dyDescent="0.2">
      <c r="B283" s="75" t="s">
        <v>590</v>
      </c>
      <c r="C283" s="75" t="s">
        <v>1094</v>
      </c>
      <c r="D283" s="197" t="s">
        <v>295</v>
      </c>
      <c r="E283" s="180" t="s">
        <v>307</v>
      </c>
      <c r="F283" s="197" t="s">
        <v>308</v>
      </c>
      <c r="G283" s="197" t="s">
        <v>825</v>
      </c>
      <c r="H283" s="180">
        <v>2025</v>
      </c>
      <c r="I283" s="180" t="s">
        <v>1092</v>
      </c>
      <c r="J283" s="180" t="s">
        <v>166</v>
      </c>
      <c r="K283" s="198">
        <v>950.42</v>
      </c>
    </row>
    <row r="284" spans="2:11" ht="15" customHeight="1" x14ac:dyDescent="0.2">
      <c r="D284" s="197"/>
      <c r="E284" s="180"/>
      <c r="F284" s="197"/>
      <c r="G284" s="180"/>
      <c r="H284" s="180"/>
      <c r="I284" s="180"/>
      <c r="J284" s="180"/>
      <c r="K284" s="198"/>
    </row>
    <row r="285" spans="2:11" ht="15" customHeight="1" x14ac:dyDescent="0.2">
      <c r="D285" s="197"/>
      <c r="E285" s="180"/>
      <c r="F285" s="197"/>
      <c r="G285" s="180"/>
      <c r="H285" s="180"/>
      <c r="I285" s="180"/>
      <c r="J285" s="180"/>
      <c r="K285" s="198"/>
    </row>
    <row r="286" spans="2:11" ht="15" customHeight="1" x14ac:dyDescent="0.2">
      <c r="D286" s="197"/>
      <c r="E286" s="180"/>
      <c r="F286" s="197"/>
      <c r="G286" s="180"/>
      <c r="H286" s="180"/>
      <c r="I286" s="180"/>
      <c r="J286" s="180"/>
      <c r="K286" s="198"/>
    </row>
    <row r="287" spans="2:11" ht="15" customHeight="1" x14ac:dyDescent="0.2">
      <c r="D287" s="197"/>
      <c r="E287" s="180"/>
      <c r="F287" s="197"/>
      <c r="G287" s="180"/>
      <c r="H287" s="180"/>
      <c r="I287" s="180"/>
      <c r="J287" s="180"/>
      <c r="K287" s="198"/>
    </row>
    <row r="288" spans="2:11" ht="15" customHeight="1" x14ac:dyDescent="0.2">
      <c r="D288" s="197"/>
      <c r="E288" s="180"/>
      <c r="F288" s="197"/>
      <c r="G288" s="180"/>
      <c r="H288" s="180"/>
      <c r="I288" s="180"/>
      <c r="J288" s="180"/>
      <c r="K288" s="198"/>
    </row>
    <row r="289" spans="4:11" ht="15" customHeight="1" x14ac:dyDescent="0.2">
      <c r="D289" s="197"/>
      <c r="E289" s="180"/>
      <c r="F289" s="197"/>
      <c r="G289" s="180"/>
      <c r="H289" s="180"/>
      <c r="I289" s="180"/>
      <c r="J289" s="180"/>
      <c r="K289" s="198"/>
    </row>
    <row r="290" spans="4:11" ht="15" customHeight="1" x14ac:dyDescent="0.2">
      <c r="D290" s="197"/>
      <c r="E290" s="180"/>
      <c r="F290" s="197"/>
      <c r="G290" s="180"/>
      <c r="H290" s="180"/>
      <c r="I290" s="180"/>
      <c r="J290" s="180"/>
      <c r="K290" s="198"/>
    </row>
    <row r="291" spans="4:11" ht="15" customHeight="1" x14ac:dyDescent="0.2">
      <c r="D291" s="197"/>
      <c r="E291" s="180"/>
      <c r="F291" s="197"/>
      <c r="G291" s="180"/>
      <c r="H291" s="180"/>
      <c r="I291" s="180"/>
      <c r="J291" s="180"/>
      <c r="K291" s="198"/>
    </row>
    <row r="292" spans="4:11" ht="15" customHeight="1" x14ac:dyDescent="0.2">
      <c r="D292" s="197"/>
      <c r="E292" s="180"/>
      <c r="F292" s="197"/>
      <c r="G292" s="180"/>
      <c r="H292" s="180"/>
      <c r="I292" s="180"/>
      <c r="J292" s="180"/>
      <c r="K292" s="198"/>
    </row>
    <row r="293" spans="4:11" ht="15" customHeight="1" x14ac:dyDescent="0.2">
      <c r="D293" s="197"/>
      <c r="E293" s="180"/>
      <c r="F293" s="197"/>
      <c r="G293" s="180"/>
      <c r="H293" s="180"/>
      <c r="I293" s="180"/>
      <c r="J293" s="180"/>
      <c r="K293" s="198"/>
    </row>
    <row r="294" spans="4:11" ht="15" customHeight="1" x14ac:dyDescent="0.2">
      <c r="D294" s="197"/>
      <c r="E294" s="180"/>
      <c r="F294" s="197"/>
      <c r="G294" s="180"/>
      <c r="H294" s="180"/>
      <c r="I294" s="180"/>
      <c r="J294" s="180"/>
      <c r="K294" s="198"/>
    </row>
    <row r="295" spans="4:11" ht="15" customHeight="1" x14ac:dyDescent="0.2">
      <c r="D295" s="197"/>
      <c r="E295" s="180"/>
      <c r="F295" s="197"/>
      <c r="G295" s="180"/>
      <c r="H295" s="180"/>
      <c r="I295" s="180"/>
      <c r="J295" s="180"/>
      <c r="K295" s="198"/>
    </row>
    <row r="296" spans="4:11" ht="15" customHeight="1" x14ac:dyDescent="0.2">
      <c r="D296" s="197"/>
      <c r="E296" s="180"/>
      <c r="F296" s="197"/>
      <c r="G296" s="180"/>
      <c r="H296" s="180"/>
      <c r="I296" s="180"/>
      <c r="J296" s="180"/>
      <c r="K296" s="198"/>
    </row>
    <row r="297" spans="4:11" ht="15" customHeight="1" x14ac:dyDescent="0.2">
      <c r="D297" s="197"/>
      <c r="E297" s="180"/>
      <c r="F297" s="197"/>
      <c r="G297" s="180"/>
      <c r="H297" s="180"/>
      <c r="I297" s="180"/>
      <c r="J297" s="180"/>
      <c r="K297" s="198"/>
    </row>
    <row r="298" spans="4:11" ht="15" customHeight="1" x14ac:dyDescent="0.2">
      <c r="D298" s="197"/>
      <c r="E298" s="180"/>
      <c r="F298" s="197"/>
      <c r="G298" s="180"/>
      <c r="H298" s="180"/>
      <c r="I298" s="180"/>
      <c r="J298" s="180"/>
      <c r="K298" s="198"/>
    </row>
    <row r="299" spans="4:11" ht="15" customHeight="1" x14ac:dyDescent="0.2">
      <c r="D299" s="197"/>
      <c r="E299" s="180"/>
      <c r="F299" s="197"/>
      <c r="G299" s="180"/>
      <c r="H299" s="180"/>
      <c r="I299" s="180"/>
      <c r="J299" s="180"/>
      <c r="K299" s="198"/>
    </row>
    <row r="300" spans="4:11" ht="15" customHeight="1" x14ac:dyDescent="0.2">
      <c r="D300" s="197"/>
      <c r="E300" s="180"/>
      <c r="F300" s="197"/>
      <c r="G300" s="180"/>
      <c r="H300" s="180"/>
      <c r="I300" s="180"/>
      <c r="J300" s="180"/>
      <c r="K300" s="198"/>
    </row>
    <row r="301" spans="4:11" ht="15" customHeight="1" x14ac:dyDescent="0.2">
      <c r="D301" s="197"/>
      <c r="E301" s="180"/>
      <c r="F301" s="197"/>
      <c r="G301" s="180"/>
      <c r="H301" s="180"/>
      <c r="I301" s="180"/>
      <c r="J301" s="180"/>
      <c r="K301" s="198"/>
    </row>
    <row r="302" spans="4:11" ht="15" customHeight="1" x14ac:dyDescent="0.2">
      <c r="D302" s="197"/>
      <c r="E302" s="180"/>
      <c r="F302" s="197"/>
      <c r="G302" s="180"/>
      <c r="H302" s="180"/>
      <c r="I302" s="180"/>
      <c r="J302" s="180"/>
      <c r="K302" s="198"/>
    </row>
    <row r="303" spans="4:11" ht="15" customHeight="1" x14ac:dyDescent="0.2">
      <c r="D303" s="197"/>
      <c r="E303" s="180"/>
      <c r="F303" s="197"/>
      <c r="G303" s="180"/>
      <c r="H303" s="180"/>
      <c r="I303" s="180"/>
      <c r="J303" s="180"/>
      <c r="K303" s="198"/>
    </row>
    <row r="304" spans="4:11" ht="15" customHeight="1" x14ac:dyDescent="0.2">
      <c r="D304" s="197"/>
      <c r="E304" s="180"/>
      <c r="F304" s="197"/>
      <c r="G304" s="180"/>
      <c r="H304" s="180"/>
      <c r="I304" s="180"/>
      <c r="J304" s="180"/>
      <c r="K304" s="198"/>
    </row>
    <row r="305" spans="4:11" ht="15" customHeight="1" x14ac:dyDescent="0.2">
      <c r="D305" s="197"/>
      <c r="E305" s="180"/>
      <c r="F305" s="197"/>
      <c r="G305" s="180"/>
      <c r="H305" s="180"/>
      <c r="I305" s="180"/>
      <c r="J305" s="180"/>
      <c r="K305" s="198"/>
    </row>
    <row r="306" spans="4:11" ht="15" customHeight="1" x14ac:dyDescent="0.2">
      <c r="D306" s="197"/>
      <c r="E306" s="180"/>
      <c r="F306" s="197"/>
      <c r="G306" s="180"/>
      <c r="H306" s="180"/>
      <c r="I306" s="180"/>
      <c r="J306" s="180"/>
      <c r="K306" s="198"/>
    </row>
    <row r="307" spans="4:11" ht="15" customHeight="1" x14ac:dyDescent="0.2">
      <c r="D307" s="197"/>
      <c r="E307" s="180"/>
      <c r="F307" s="197"/>
      <c r="G307" s="180"/>
      <c r="H307" s="180"/>
      <c r="I307" s="180"/>
      <c r="J307" s="180"/>
      <c r="K307" s="198"/>
    </row>
    <row r="308" spans="4:11" ht="15" customHeight="1" x14ac:dyDescent="0.2">
      <c r="D308" s="197"/>
      <c r="E308" s="180"/>
      <c r="F308" s="197"/>
      <c r="G308" s="180"/>
      <c r="H308" s="180"/>
      <c r="I308" s="180"/>
      <c r="J308" s="180"/>
      <c r="K308" s="198"/>
    </row>
    <row r="309" spans="4:11" ht="15" customHeight="1" x14ac:dyDescent="0.2">
      <c r="D309" s="197"/>
      <c r="E309" s="180"/>
      <c r="F309" s="197"/>
      <c r="G309" s="180"/>
      <c r="H309" s="180"/>
      <c r="I309" s="180"/>
      <c r="J309" s="180"/>
      <c r="K309" s="198"/>
    </row>
    <row r="310" spans="4:11" ht="15" customHeight="1" x14ac:dyDescent="0.2">
      <c r="D310" s="197"/>
      <c r="E310" s="180"/>
      <c r="F310" s="197"/>
      <c r="G310" s="180"/>
      <c r="H310" s="180"/>
      <c r="I310" s="180"/>
      <c r="J310" s="180"/>
      <c r="K310" s="198"/>
    </row>
    <row r="311" spans="4:11" ht="15" customHeight="1" x14ac:dyDescent="0.2">
      <c r="D311" s="197"/>
      <c r="E311" s="180"/>
      <c r="F311" s="197"/>
      <c r="G311" s="180"/>
      <c r="H311" s="180"/>
      <c r="I311" s="180"/>
      <c r="J311" s="180"/>
      <c r="K311" s="198"/>
    </row>
    <row r="312" spans="4:11" ht="15" customHeight="1" x14ac:dyDescent="0.2">
      <c r="D312" s="197"/>
      <c r="E312" s="180"/>
      <c r="F312" s="197"/>
      <c r="G312" s="180"/>
      <c r="H312" s="180"/>
      <c r="I312" s="180"/>
      <c r="J312" s="180"/>
      <c r="K312" s="198"/>
    </row>
    <row r="313" spans="4:11" ht="15" customHeight="1" x14ac:dyDescent="0.2">
      <c r="D313" s="197"/>
      <c r="E313" s="180"/>
      <c r="F313" s="197"/>
      <c r="G313" s="180"/>
      <c r="H313" s="180"/>
      <c r="I313" s="180"/>
      <c r="J313" s="180"/>
      <c r="K313" s="198"/>
    </row>
    <row r="314" spans="4:11" ht="15" customHeight="1" x14ac:dyDescent="0.2">
      <c r="D314" s="197"/>
      <c r="E314" s="180"/>
      <c r="F314" s="197"/>
      <c r="G314" s="180"/>
      <c r="H314" s="180"/>
      <c r="I314" s="180"/>
      <c r="J314" s="180"/>
      <c r="K314" s="198"/>
    </row>
    <row r="315" spans="4:11" ht="15" customHeight="1" x14ac:dyDescent="0.2">
      <c r="D315" s="197"/>
      <c r="E315" s="180"/>
      <c r="F315" s="197"/>
      <c r="G315" s="180"/>
      <c r="H315" s="180"/>
      <c r="I315" s="180"/>
      <c r="J315" s="180"/>
      <c r="K315" s="198"/>
    </row>
    <row r="316" spans="4:11" ht="15" customHeight="1" x14ac:dyDescent="0.2">
      <c r="D316" s="197"/>
      <c r="E316" s="180"/>
      <c r="F316" s="197"/>
      <c r="G316" s="180"/>
      <c r="H316" s="180"/>
      <c r="I316" s="180"/>
      <c r="J316" s="180"/>
      <c r="K316" s="198"/>
    </row>
    <row r="317" spans="4:11" ht="15" customHeight="1" x14ac:dyDescent="0.2">
      <c r="D317" s="197"/>
      <c r="E317" s="180"/>
      <c r="F317" s="197"/>
      <c r="G317" s="180"/>
      <c r="H317" s="180"/>
      <c r="I317" s="180"/>
      <c r="J317" s="180"/>
      <c r="K317" s="198"/>
    </row>
    <row r="318" spans="4:11" ht="15" customHeight="1" x14ac:dyDescent="0.2">
      <c r="D318" s="197"/>
      <c r="E318" s="180"/>
      <c r="F318" s="197"/>
      <c r="G318" s="180"/>
      <c r="H318" s="180"/>
      <c r="I318" s="180"/>
      <c r="J318" s="180"/>
      <c r="K318" s="198"/>
    </row>
    <row r="319" spans="4:11" ht="15" customHeight="1" x14ac:dyDescent="0.2">
      <c r="D319" s="197"/>
      <c r="E319" s="180"/>
      <c r="F319" s="197"/>
      <c r="G319" s="180"/>
      <c r="H319" s="180"/>
      <c r="I319" s="180"/>
      <c r="J319" s="180"/>
      <c r="K319" s="198"/>
    </row>
    <row r="320" spans="4:11" ht="15" customHeight="1" x14ac:dyDescent="0.2">
      <c r="D320" s="197"/>
      <c r="E320" s="180"/>
      <c r="F320" s="197"/>
      <c r="G320" s="180"/>
      <c r="H320" s="180"/>
      <c r="I320" s="180"/>
      <c r="J320" s="180"/>
      <c r="K320" s="198"/>
    </row>
    <row r="321" spans="4:11" ht="15" customHeight="1" x14ac:dyDescent="0.2">
      <c r="D321" s="197"/>
      <c r="E321" s="180"/>
      <c r="F321" s="197"/>
      <c r="G321" s="180"/>
      <c r="H321" s="180"/>
      <c r="I321" s="180"/>
      <c r="J321" s="180"/>
      <c r="K321" s="198"/>
    </row>
    <row r="322" spans="4:11" ht="15" customHeight="1" x14ac:dyDescent="0.2">
      <c r="D322" s="197"/>
      <c r="E322" s="180"/>
      <c r="F322" s="197"/>
      <c r="G322" s="180"/>
      <c r="H322" s="180"/>
      <c r="I322" s="180"/>
      <c r="J322" s="180"/>
      <c r="K322" s="198"/>
    </row>
    <row r="323" spans="4:11" ht="15" customHeight="1" x14ac:dyDescent="0.2">
      <c r="D323" s="197"/>
      <c r="E323" s="180"/>
      <c r="F323" s="197"/>
      <c r="G323" s="180"/>
      <c r="H323" s="180"/>
      <c r="I323" s="180"/>
      <c r="J323" s="180"/>
      <c r="K323" s="198"/>
    </row>
    <row r="324" spans="4:11" ht="15" customHeight="1" x14ac:dyDescent="0.2">
      <c r="D324" s="197"/>
      <c r="E324" s="180"/>
      <c r="F324" s="197"/>
      <c r="G324" s="180"/>
      <c r="H324" s="180"/>
      <c r="I324" s="180"/>
      <c r="J324" s="180"/>
      <c r="K324" s="198"/>
    </row>
    <row r="325" spans="4:11" ht="15" customHeight="1" x14ac:dyDescent="0.2">
      <c r="D325" s="197"/>
      <c r="E325" s="180"/>
      <c r="F325" s="197"/>
      <c r="G325" s="180"/>
      <c r="H325" s="180"/>
      <c r="I325" s="180"/>
      <c r="J325" s="180"/>
      <c r="K325" s="198"/>
    </row>
    <row r="326" spans="4:11" ht="15" customHeight="1" x14ac:dyDescent="0.2">
      <c r="D326" s="197"/>
      <c r="E326" s="180"/>
      <c r="F326" s="197"/>
      <c r="G326" s="180"/>
      <c r="H326" s="180"/>
      <c r="I326" s="180"/>
      <c r="J326" s="180"/>
      <c r="K326" s="198"/>
    </row>
    <row r="327" spans="4:11" ht="15" customHeight="1" x14ac:dyDescent="0.2">
      <c r="D327" s="197"/>
      <c r="E327" s="180"/>
      <c r="F327" s="197"/>
      <c r="G327" s="180"/>
      <c r="H327" s="180"/>
      <c r="I327" s="180"/>
      <c r="J327" s="180"/>
      <c r="K327" s="198"/>
    </row>
    <row r="328" spans="4:11" ht="15" customHeight="1" x14ac:dyDescent="0.2">
      <c r="D328" s="197"/>
      <c r="E328" s="180"/>
      <c r="F328" s="197"/>
      <c r="G328" s="180"/>
      <c r="H328" s="180"/>
      <c r="I328" s="180"/>
      <c r="J328" s="180"/>
      <c r="K328" s="198"/>
    </row>
    <row r="329" spans="4:11" ht="15" customHeight="1" x14ac:dyDescent="0.2">
      <c r="D329" s="197"/>
      <c r="E329" s="180"/>
      <c r="F329" s="197"/>
      <c r="G329" s="180"/>
      <c r="H329" s="180"/>
      <c r="I329" s="180"/>
      <c r="J329" s="180"/>
      <c r="K329" s="198"/>
    </row>
    <row r="330" spans="4:11" ht="15" customHeight="1" x14ac:dyDescent="0.2">
      <c r="D330" s="197"/>
      <c r="E330" s="180"/>
      <c r="F330" s="197"/>
      <c r="G330" s="180"/>
      <c r="H330" s="180"/>
      <c r="I330" s="180"/>
      <c r="J330" s="180"/>
      <c r="K330" s="198"/>
    </row>
    <row r="331" spans="4:11" ht="15" customHeight="1" x14ac:dyDescent="0.2">
      <c r="D331" s="197"/>
      <c r="E331" s="180"/>
      <c r="F331" s="197"/>
      <c r="G331" s="180"/>
      <c r="H331" s="180"/>
      <c r="I331" s="180"/>
      <c r="J331" s="180"/>
      <c r="K331" s="198"/>
    </row>
    <row r="332" spans="4:11" ht="15" customHeight="1" x14ac:dyDescent="0.2">
      <c r="D332" s="197"/>
      <c r="E332" s="180"/>
      <c r="F332" s="197"/>
      <c r="G332" s="180"/>
      <c r="H332" s="180"/>
      <c r="I332" s="180"/>
      <c r="J332" s="180"/>
      <c r="K332" s="198"/>
    </row>
    <row r="333" spans="4:11" ht="15" customHeight="1" x14ac:dyDescent="0.2">
      <c r="D333" s="197"/>
      <c r="E333" s="180"/>
      <c r="F333" s="197"/>
      <c r="G333" s="180"/>
      <c r="H333" s="180"/>
      <c r="I333" s="180"/>
      <c r="J333" s="180"/>
      <c r="K333" s="198"/>
    </row>
    <row r="334" spans="4:11" ht="15" customHeight="1" x14ac:dyDescent="0.2">
      <c r="D334" s="197"/>
      <c r="E334" s="180"/>
      <c r="F334" s="197"/>
      <c r="G334" s="180"/>
      <c r="H334" s="180"/>
      <c r="I334" s="180"/>
      <c r="J334" s="180"/>
      <c r="K334" s="198"/>
    </row>
    <row r="335" spans="4:11" ht="15" customHeight="1" x14ac:dyDescent="0.2">
      <c r="D335" s="197"/>
      <c r="E335" s="180"/>
      <c r="F335" s="197"/>
      <c r="G335" s="180"/>
      <c r="H335" s="180"/>
      <c r="I335" s="180"/>
      <c r="J335" s="180"/>
      <c r="K335" s="198"/>
    </row>
    <row r="336" spans="4:11" ht="15" customHeight="1" x14ac:dyDescent="0.2">
      <c r="D336" s="197"/>
      <c r="E336" s="180"/>
      <c r="F336" s="197"/>
      <c r="G336" s="180"/>
      <c r="H336" s="180"/>
      <c r="I336" s="180"/>
      <c r="J336" s="180"/>
      <c r="K336" s="198"/>
    </row>
    <row r="337" spans="4:11" ht="15" customHeight="1" x14ac:dyDescent="0.2">
      <c r="D337" s="197"/>
      <c r="E337" s="180"/>
      <c r="F337" s="197"/>
      <c r="G337" s="180"/>
      <c r="H337" s="180"/>
      <c r="I337" s="180"/>
      <c r="J337" s="180"/>
      <c r="K337" s="198"/>
    </row>
    <row r="338" spans="4:11" ht="15" customHeight="1" x14ac:dyDescent="0.2">
      <c r="D338" s="197"/>
      <c r="E338" s="180"/>
      <c r="F338" s="197"/>
      <c r="G338" s="180"/>
      <c r="H338" s="180"/>
      <c r="I338" s="180"/>
      <c r="J338" s="180"/>
      <c r="K338" s="198"/>
    </row>
    <row r="339" spans="4:11" ht="15" customHeight="1" x14ac:dyDescent="0.2">
      <c r="D339" s="197"/>
      <c r="E339" s="180"/>
      <c r="F339" s="197"/>
      <c r="G339" s="180"/>
      <c r="H339" s="180"/>
      <c r="I339" s="180"/>
      <c r="J339" s="180"/>
      <c r="K339" s="198"/>
    </row>
    <row r="340" spans="4:11" ht="15" customHeight="1" x14ac:dyDescent="0.2">
      <c r="D340" s="197"/>
      <c r="E340" s="180"/>
      <c r="F340" s="197"/>
      <c r="G340" s="180"/>
      <c r="H340" s="180"/>
      <c r="I340" s="180"/>
      <c r="J340" s="180"/>
      <c r="K340" s="198"/>
    </row>
    <row r="341" spans="4:11" ht="15" customHeight="1" x14ac:dyDescent="0.2">
      <c r="D341" s="197"/>
      <c r="E341" s="180"/>
      <c r="F341" s="197"/>
      <c r="G341" s="180"/>
      <c r="H341" s="180"/>
      <c r="I341" s="180"/>
      <c r="J341" s="180"/>
      <c r="K341" s="198"/>
    </row>
    <row r="342" spans="4:11" ht="15" customHeight="1" x14ac:dyDescent="0.2">
      <c r="D342" s="197"/>
      <c r="E342" s="180"/>
      <c r="F342" s="197"/>
      <c r="G342" s="180"/>
      <c r="H342" s="180"/>
      <c r="I342" s="180"/>
      <c r="J342" s="180"/>
      <c r="K342" s="198"/>
    </row>
    <row r="343" spans="4:11" ht="15" customHeight="1" x14ac:dyDescent="0.2">
      <c r="D343" s="197"/>
      <c r="E343" s="180"/>
      <c r="F343" s="197"/>
      <c r="G343" s="180"/>
      <c r="H343" s="180"/>
      <c r="I343" s="180"/>
      <c r="J343" s="180"/>
      <c r="K343" s="198"/>
    </row>
    <row r="344" spans="4:11" ht="15" customHeight="1" x14ac:dyDescent="0.2">
      <c r="D344" s="197"/>
      <c r="E344" s="180"/>
      <c r="F344" s="197"/>
      <c r="G344" s="180"/>
      <c r="H344" s="180"/>
      <c r="I344" s="180"/>
      <c r="J344" s="180"/>
      <c r="K344" s="198"/>
    </row>
    <row r="345" spans="4:11" ht="15" customHeight="1" x14ac:dyDescent="0.2">
      <c r="D345" s="197"/>
      <c r="E345" s="180"/>
      <c r="F345" s="197"/>
      <c r="G345" s="180"/>
      <c r="H345" s="180"/>
      <c r="I345" s="180"/>
      <c r="J345" s="180"/>
      <c r="K345" s="198"/>
    </row>
    <row r="346" spans="4:11" ht="15" customHeight="1" x14ac:dyDescent="0.2">
      <c r="D346" s="197"/>
      <c r="E346" s="180"/>
      <c r="F346" s="197"/>
      <c r="G346" s="180"/>
      <c r="H346" s="180"/>
      <c r="I346" s="180"/>
      <c r="J346" s="180"/>
      <c r="K346" s="198"/>
    </row>
    <row r="347" spans="4:11" ht="15" customHeight="1" x14ac:dyDescent="0.2">
      <c r="D347" s="197"/>
      <c r="E347" s="180"/>
      <c r="F347" s="197"/>
      <c r="G347" s="180"/>
      <c r="H347" s="180"/>
      <c r="I347" s="180"/>
      <c r="J347" s="180"/>
      <c r="K347" s="198"/>
    </row>
    <row r="348" spans="4:11" ht="15" customHeight="1" x14ac:dyDescent="0.2">
      <c r="D348" s="197"/>
      <c r="E348" s="180"/>
      <c r="F348" s="197"/>
      <c r="G348" s="180"/>
      <c r="H348" s="180"/>
      <c r="I348" s="180"/>
      <c r="J348" s="180"/>
      <c r="K348" s="198"/>
    </row>
    <row r="349" spans="4:11" ht="15" customHeight="1" x14ac:dyDescent="0.2">
      <c r="D349" s="197"/>
      <c r="E349" s="180"/>
      <c r="F349" s="197"/>
      <c r="G349" s="180"/>
      <c r="H349" s="180"/>
      <c r="I349" s="180"/>
      <c r="J349" s="180"/>
      <c r="K349" s="198"/>
    </row>
    <row r="350" spans="4:11" ht="15" customHeight="1" x14ac:dyDescent="0.2">
      <c r="D350" s="197"/>
      <c r="E350" s="180"/>
      <c r="F350" s="197"/>
      <c r="G350" s="180"/>
      <c r="H350" s="180"/>
      <c r="I350" s="180"/>
      <c r="J350" s="180"/>
      <c r="K350" s="198"/>
    </row>
    <row r="351" spans="4:11" ht="15" customHeight="1" x14ac:dyDescent="0.2">
      <c r="D351" s="197"/>
      <c r="E351" s="180"/>
      <c r="F351" s="197"/>
      <c r="G351" s="180"/>
      <c r="H351" s="180"/>
      <c r="I351" s="180"/>
      <c r="J351" s="180"/>
      <c r="K351" s="198"/>
    </row>
    <row r="352" spans="4:11" ht="15" customHeight="1" x14ac:dyDescent="0.2">
      <c r="D352" s="197"/>
      <c r="E352" s="180"/>
      <c r="F352" s="197"/>
      <c r="G352" s="180"/>
      <c r="H352" s="180"/>
      <c r="I352" s="180"/>
      <c r="J352" s="180"/>
      <c r="K352" s="198"/>
    </row>
    <row r="353" spans="4:11" ht="15" customHeight="1" x14ac:dyDescent="0.2">
      <c r="D353" s="197"/>
      <c r="E353" s="180"/>
      <c r="F353" s="197"/>
      <c r="G353" s="180"/>
      <c r="H353" s="180"/>
      <c r="I353" s="180"/>
      <c r="J353" s="180"/>
      <c r="K353" s="198"/>
    </row>
    <row r="354" spans="4:11" ht="15" customHeight="1" x14ac:dyDescent="0.2">
      <c r="D354" s="197"/>
      <c r="E354" s="180"/>
      <c r="F354" s="197"/>
      <c r="G354" s="180"/>
      <c r="H354" s="180"/>
      <c r="I354" s="180"/>
      <c r="J354" s="180"/>
      <c r="K354" s="198"/>
    </row>
    <row r="355" spans="4:11" ht="15" customHeight="1" x14ac:dyDescent="0.2">
      <c r="D355" s="197"/>
      <c r="E355" s="180"/>
      <c r="F355" s="197"/>
      <c r="G355" s="180"/>
      <c r="H355" s="180"/>
      <c r="I355" s="180"/>
      <c r="J355" s="180"/>
      <c r="K355" s="198"/>
    </row>
    <row r="356" spans="4:11" ht="15" customHeight="1" x14ac:dyDescent="0.2">
      <c r="D356" s="197"/>
      <c r="E356" s="180"/>
      <c r="F356" s="197"/>
      <c r="G356" s="180"/>
      <c r="H356" s="180"/>
      <c r="I356" s="180"/>
      <c r="J356" s="180"/>
      <c r="K356" s="198"/>
    </row>
    <row r="357" spans="4:11" ht="15" customHeight="1" x14ac:dyDescent="0.2">
      <c r="D357" s="197"/>
      <c r="E357" s="180"/>
      <c r="F357" s="197"/>
      <c r="G357" s="180"/>
      <c r="H357" s="180"/>
      <c r="I357" s="180"/>
      <c r="J357" s="180"/>
      <c r="K357" s="198"/>
    </row>
    <row r="358" spans="4:11" ht="15" customHeight="1" x14ac:dyDescent="0.2">
      <c r="D358" s="197"/>
      <c r="E358" s="180"/>
      <c r="F358" s="197"/>
      <c r="G358" s="180"/>
      <c r="H358" s="180"/>
      <c r="I358" s="180"/>
      <c r="J358" s="180"/>
      <c r="K358" s="198"/>
    </row>
    <row r="359" spans="4:11" ht="15" customHeight="1" x14ac:dyDescent="0.2">
      <c r="D359" s="197"/>
      <c r="E359" s="180"/>
      <c r="F359" s="197"/>
      <c r="G359" s="180"/>
      <c r="H359" s="180"/>
      <c r="I359" s="180"/>
      <c r="J359" s="180"/>
      <c r="K359" s="198"/>
    </row>
    <row r="360" spans="4:11" ht="15" customHeight="1" x14ac:dyDescent="0.2">
      <c r="D360" s="197"/>
      <c r="E360" s="180"/>
      <c r="F360" s="197"/>
      <c r="G360" s="180"/>
      <c r="H360" s="180"/>
      <c r="I360" s="180"/>
      <c r="J360" s="180"/>
      <c r="K360" s="198"/>
    </row>
    <row r="361" spans="4:11" ht="15" customHeight="1" x14ac:dyDescent="0.2">
      <c r="D361" s="197"/>
      <c r="E361" s="180"/>
      <c r="F361" s="197"/>
      <c r="G361" s="180"/>
      <c r="H361" s="180"/>
      <c r="I361" s="180"/>
      <c r="J361" s="180"/>
      <c r="K361" s="198"/>
    </row>
    <row r="362" spans="4:11" ht="15" customHeight="1" x14ac:dyDescent="0.2">
      <c r="D362" s="197"/>
      <c r="E362" s="180"/>
      <c r="F362" s="197"/>
      <c r="G362" s="180"/>
      <c r="H362" s="180"/>
      <c r="I362" s="180"/>
      <c r="J362" s="180"/>
      <c r="K362" s="198"/>
    </row>
    <row r="363" spans="4:11" ht="15" customHeight="1" x14ac:dyDescent="0.2">
      <c r="D363" s="197"/>
      <c r="E363" s="180"/>
      <c r="F363" s="197"/>
      <c r="G363" s="180"/>
      <c r="H363" s="180"/>
      <c r="I363" s="180"/>
      <c r="J363" s="180"/>
      <c r="K363" s="198"/>
    </row>
    <row r="364" spans="4:11" ht="15" customHeight="1" x14ac:dyDescent="0.2">
      <c r="D364" s="197"/>
      <c r="E364" s="180"/>
      <c r="F364" s="197"/>
      <c r="G364" s="180"/>
      <c r="H364" s="180"/>
      <c r="I364" s="180"/>
      <c r="J364" s="180"/>
      <c r="K364" s="198"/>
    </row>
    <row r="365" spans="4:11" ht="15" customHeight="1" x14ac:dyDescent="0.2">
      <c r="D365" s="197"/>
      <c r="E365" s="180"/>
      <c r="F365" s="197"/>
      <c r="G365" s="180"/>
      <c r="H365" s="180"/>
      <c r="I365" s="180"/>
      <c r="J365" s="180"/>
      <c r="K365" s="198"/>
    </row>
    <row r="366" spans="4:11" ht="15" customHeight="1" x14ac:dyDescent="0.2">
      <c r="D366" s="197"/>
      <c r="E366" s="180"/>
      <c r="F366" s="197"/>
      <c r="G366" s="180"/>
      <c r="H366" s="180"/>
      <c r="I366" s="180"/>
      <c r="J366" s="180"/>
      <c r="K366" s="198"/>
    </row>
    <row r="367" spans="4:11" ht="15" customHeight="1" x14ac:dyDescent="0.2">
      <c r="D367" s="197"/>
      <c r="E367" s="180"/>
      <c r="F367" s="197"/>
      <c r="G367" s="180"/>
      <c r="H367" s="180"/>
      <c r="I367" s="180"/>
      <c r="J367" s="180"/>
      <c r="K367" s="198"/>
    </row>
    <row r="368" spans="4:11" ht="15" customHeight="1" x14ac:dyDescent="0.2">
      <c r="D368" s="197"/>
      <c r="E368" s="180"/>
      <c r="F368" s="197"/>
      <c r="G368" s="180"/>
      <c r="H368" s="180"/>
      <c r="I368" s="180"/>
      <c r="J368" s="180"/>
      <c r="K368" s="198"/>
    </row>
    <row r="369" spans="4:11" ht="15" customHeight="1" x14ac:dyDescent="0.2">
      <c r="D369" s="197"/>
      <c r="E369" s="180"/>
      <c r="F369" s="197"/>
      <c r="G369" s="180"/>
      <c r="H369" s="180"/>
      <c r="I369" s="180"/>
      <c r="J369" s="180"/>
      <c r="K369" s="198"/>
    </row>
    <row r="370" spans="4:11" ht="15" customHeight="1" x14ac:dyDescent="0.2">
      <c r="D370" s="197"/>
      <c r="E370" s="180"/>
      <c r="F370" s="197"/>
      <c r="G370" s="180"/>
      <c r="H370" s="180"/>
      <c r="I370" s="180"/>
      <c r="J370" s="180"/>
      <c r="K370" s="198"/>
    </row>
    <row r="371" spans="4:11" ht="15" customHeight="1" x14ac:dyDescent="0.2">
      <c r="D371" s="197"/>
      <c r="E371" s="180"/>
      <c r="F371" s="197"/>
      <c r="G371" s="180"/>
      <c r="H371" s="180"/>
      <c r="I371" s="180"/>
      <c r="J371" s="180"/>
      <c r="K371" s="198"/>
    </row>
    <row r="372" spans="4:11" ht="15" customHeight="1" x14ac:dyDescent="0.2">
      <c r="D372" s="197"/>
      <c r="E372" s="180"/>
      <c r="F372" s="197"/>
      <c r="G372" s="180"/>
      <c r="H372" s="180"/>
      <c r="I372" s="180"/>
      <c r="J372" s="180"/>
      <c r="K372" s="198"/>
    </row>
    <row r="373" spans="4:11" ht="15" customHeight="1" x14ac:dyDescent="0.2">
      <c r="D373" s="197"/>
      <c r="E373" s="180"/>
      <c r="F373" s="197"/>
      <c r="G373" s="180"/>
      <c r="H373" s="180"/>
      <c r="I373" s="180"/>
      <c r="J373" s="180"/>
      <c r="K373" s="198"/>
    </row>
    <row r="374" spans="4:11" ht="15" customHeight="1" x14ac:dyDescent="0.2">
      <c r="D374" s="197"/>
      <c r="E374" s="180"/>
      <c r="F374" s="197"/>
      <c r="G374" s="180"/>
      <c r="H374" s="180"/>
      <c r="I374" s="180"/>
      <c r="J374" s="180"/>
      <c r="K374" s="198"/>
    </row>
    <row r="375" spans="4:11" ht="15" customHeight="1" x14ac:dyDescent="0.2">
      <c r="D375" s="197"/>
      <c r="E375" s="180"/>
      <c r="F375" s="197"/>
      <c r="G375" s="180"/>
      <c r="H375" s="180"/>
      <c r="I375" s="180"/>
      <c r="J375" s="180"/>
      <c r="K375" s="198"/>
    </row>
    <row r="376" spans="4:11" ht="15" customHeight="1" x14ac:dyDescent="0.2">
      <c r="D376" s="197"/>
      <c r="E376" s="180"/>
      <c r="F376" s="197"/>
      <c r="G376" s="180"/>
      <c r="H376" s="180"/>
      <c r="I376" s="180"/>
      <c r="J376" s="180"/>
      <c r="K376" s="198"/>
    </row>
    <row r="377" spans="4:11" ht="15" customHeight="1" x14ac:dyDescent="0.2">
      <c r="D377" s="197"/>
      <c r="E377" s="180"/>
      <c r="F377" s="197"/>
      <c r="G377" s="180"/>
      <c r="H377" s="180"/>
      <c r="I377" s="180"/>
      <c r="J377" s="180"/>
      <c r="K377" s="198"/>
    </row>
    <row r="378" spans="4:11" ht="15" customHeight="1" x14ac:dyDescent="0.2">
      <c r="D378" s="197"/>
      <c r="E378" s="180"/>
      <c r="F378" s="197"/>
      <c r="G378" s="180"/>
      <c r="H378" s="180"/>
      <c r="I378" s="180"/>
      <c r="J378" s="180"/>
      <c r="K378" s="198"/>
    </row>
    <row r="379" spans="4:11" ht="15" customHeight="1" x14ac:dyDescent="0.2">
      <c r="D379" s="197"/>
      <c r="E379" s="180"/>
      <c r="F379" s="197"/>
      <c r="G379" s="180"/>
      <c r="H379" s="180"/>
      <c r="I379" s="180"/>
      <c r="J379" s="180"/>
      <c r="K379" s="198"/>
    </row>
    <row r="380" spans="4:11" ht="15" customHeight="1" x14ac:dyDescent="0.2">
      <c r="D380" s="197"/>
      <c r="E380" s="180"/>
      <c r="F380" s="197"/>
      <c r="G380" s="180"/>
      <c r="H380" s="180"/>
      <c r="I380" s="180"/>
      <c r="J380" s="180"/>
      <c r="K380" s="198"/>
    </row>
    <row r="381" spans="4:11" ht="15" customHeight="1" x14ac:dyDescent="0.2">
      <c r="D381" s="197"/>
      <c r="E381" s="180"/>
      <c r="F381" s="197"/>
      <c r="G381" s="180"/>
      <c r="H381" s="180"/>
      <c r="I381" s="180"/>
      <c r="J381" s="180"/>
      <c r="K381" s="198"/>
    </row>
    <row r="382" spans="4:11" ht="15" customHeight="1" x14ac:dyDescent="0.2">
      <c r="D382" s="197"/>
      <c r="E382" s="180"/>
      <c r="F382" s="197"/>
      <c r="G382" s="180"/>
      <c r="H382" s="180"/>
      <c r="I382" s="180"/>
      <c r="J382" s="180"/>
      <c r="K382" s="198"/>
    </row>
    <row r="383" spans="4:11" ht="15" customHeight="1" x14ac:dyDescent="0.2">
      <c r="D383" s="197"/>
      <c r="E383" s="180"/>
      <c r="F383" s="197"/>
      <c r="G383" s="180"/>
      <c r="H383" s="180"/>
      <c r="I383" s="180"/>
      <c r="J383" s="180"/>
      <c r="K383" s="198"/>
    </row>
    <row r="384" spans="4:11" ht="15" customHeight="1" x14ac:dyDescent="0.2">
      <c r="D384" s="197"/>
      <c r="E384" s="180"/>
      <c r="F384" s="197"/>
      <c r="G384" s="180"/>
      <c r="H384" s="180"/>
      <c r="I384" s="180"/>
      <c r="J384" s="180"/>
      <c r="K384" s="198"/>
    </row>
    <row r="385" spans="4:11" ht="15" customHeight="1" x14ac:dyDescent="0.2">
      <c r="D385" s="197"/>
      <c r="E385" s="180"/>
      <c r="F385" s="197"/>
      <c r="G385" s="180"/>
      <c r="H385" s="180"/>
      <c r="I385" s="180"/>
      <c r="J385" s="180"/>
      <c r="K385" s="198"/>
    </row>
    <row r="386" spans="4:11" ht="15" customHeight="1" x14ac:dyDescent="0.2">
      <c r="D386" s="197"/>
      <c r="E386" s="180"/>
      <c r="F386" s="197"/>
      <c r="G386" s="180"/>
      <c r="H386" s="180"/>
      <c r="I386" s="180"/>
      <c r="J386" s="180"/>
      <c r="K386" s="198"/>
    </row>
    <row r="387" spans="4:11" ht="15" customHeight="1" x14ac:dyDescent="0.2">
      <c r="D387" s="197"/>
      <c r="E387" s="180"/>
      <c r="F387" s="197"/>
      <c r="G387" s="180"/>
      <c r="H387" s="180"/>
      <c r="I387" s="180"/>
      <c r="J387" s="180"/>
      <c r="K387" s="198"/>
    </row>
    <row r="388" spans="4:11" ht="15" customHeight="1" x14ac:dyDescent="0.2">
      <c r="D388" s="197"/>
      <c r="E388" s="180"/>
      <c r="F388" s="197"/>
      <c r="G388" s="180"/>
      <c r="H388" s="180"/>
      <c r="I388" s="180"/>
      <c r="J388" s="180"/>
      <c r="K388" s="198"/>
    </row>
    <row r="389" spans="4:11" ht="15" customHeight="1" x14ac:dyDescent="0.2">
      <c r="D389" s="197"/>
      <c r="E389" s="180"/>
      <c r="F389" s="197"/>
      <c r="G389" s="180"/>
      <c r="H389" s="180"/>
      <c r="I389" s="180"/>
      <c r="J389" s="180"/>
      <c r="K389" s="198"/>
    </row>
    <row r="390" spans="4:11" ht="15" customHeight="1" x14ac:dyDescent="0.2">
      <c r="D390" s="197"/>
      <c r="E390" s="180"/>
      <c r="F390" s="197"/>
      <c r="G390" s="180"/>
      <c r="H390" s="180"/>
      <c r="I390" s="180"/>
      <c r="J390" s="180"/>
      <c r="K390" s="198"/>
    </row>
    <row r="391" spans="4:11" ht="15" customHeight="1" x14ac:dyDescent="0.2">
      <c r="D391" s="197"/>
      <c r="E391" s="180"/>
      <c r="F391" s="197"/>
      <c r="G391" s="180"/>
      <c r="H391" s="180"/>
      <c r="I391" s="180"/>
      <c r="J391" s="180"/>
      <c r="K391" s="198"/>
    </row>
    <row r="392" spans="4:11" ht="15" customHeight="1" x14ac:dyDescent="0.2">
      <c r="D392" s="197"/>
      <c r="E392" s="180"/>
      <c r="F392" s="197"/>
      <c r="G392" s="180"/>
      <c r="H392" s="180"/>
      <c r="I392" s="180"/>
      <c r="J392" s="180"/>
      <c r="K392" s="198"/>
    </row>
    <row r="393" spans="4:11" ht="15" customHeight="1" x14ac:dyDescent="0.2">
      <c r="D393" s="197"/>
      <c r="E393" s="180"/>
      <c r="F393" s="197"/>
      <c r="G393" s="180"/>
      <c r="H393" s="180"/>
      <c r="I393" s="180"/>
      <c r="J393" s="180"/>
      <c r="K393" s="198"/>
    </row>
    <row r="394" spans="4:11" ht="15" customHeight="1" x14ac:dyDescent="0.2">
      <c r="D394" s="197"/>
      <c r="E394" s="180"/>
      <c r="F394" s="197"/>
      <c r="G394" s="180"/>
      <c r="H394" s="180"/>
      <c r="I394" s="180"/>
      <c r="J394" s="180"/>
      <c r="K394" s="198"/>
    </row>
    <row r="395" spans="4:11" ht="15" customHeight="1" x14ac:dyDescent="0.2">
      <c r="D395" s="197"/>
      <c r="E395" s="180"/>
      <c r="F395" s="197"/>
      <c r="G395" s="180"/>
      <c r="H395" s="180"/>
      <c r="I395" s="180"/>
      <c r="J395" s="180"/>
      <c r="K395" s="198"/>
    </row>
    <row r="396" spans="4:11" ht="15" customHeight="1" x14ac:dyDescent="0.2">
      <c r="D396" s="197"/>
      <c r="E396" s="180"/>
      <c r="F396" s="197"/>
      <c r="G396" s="180"/>
      <c r="H396" s="180"/>
      <c r="I396" s="180"/>
      <c r="J396" s="180"/>
      <c r="K396" s="198"/>
    </row>
    <row r="397" spans="4:11" ht="15" customHeight="1" x14ac:dyDescent="0.2">
      <c r="D397" s="197"/>
      <c r="E397" s="180"/>
      <c r="F397" s="197"/>
      <c r="G397" s="180"/>
      <c r="H397" s="180"/>
      <c r="I397" s="180"/>
      <c r="J397" s="180"/>
      <c r="K397" s="198"/>
    </row>
    <row r="398" spans="4:11" ht="15" customHeight="1" x14ac:dyDescent="0.2">
      <c r="D398" s="197"/>
      <c r="E398" s="180"/>
      <c r="F398" s="197"/>
      <c r="G398" s="180"/>
      <c r="H398" s="180"/>
      <c r="I398" s="180"/>
      <c r="J398" s="180"/>
      <c r="K398" s="198"/>
    </row>
    <row r="399" spans="4:11" ht="15" customHeight="1" x14ac:dyDescent="0.2">
      <c r="D399" s="197"/>
      <c r="E399" s="180"/>
      <c r="F399" s="197"/>
      <c r="G399" s="180"/>
      <c r="H399" s="180"/>
      <c r="I399" s="180"/>
      <c r="J399" s="180"/>
      <c r="K399" s="198"/>
    </row>
    <row r="400" spans="4:11" ht="15" customHeight="1" x14ac:dyDescent="0.2">
      <c r="D400" s="197"/>
      <c r="E400" s="180"/>
      <c r="F400" s="197"/>
      <c r="G400" s="180"/>
      <c r="H400" s="180"/>
      <c r="I400" s="180"/>
      <c r="J400" s="180"/>
      <c r="K400" s="198"/>
    </row>
    <row r="401" spans="4:11" ht="15" customHeight="1" x14ac:dyDescent="0.2">
      <c r="D401" s="197"/>
      <c r="E401" s="180"/>
      <c r="F401" s="197"/>
      <c r="G401" s="180"/>
      <c r="H401" s="180"/>
      <c r="I401" s="180"/>
      <c r="J401" s="180"/>
      <c r="K401" s="198"/>
    </row>
    <row r="402" spans="4:11" ht="15" customHeight="1" x14ac:dyDescent="0.2">
      <c r="D402" s="197"/>
      <c r="E402" s="180"/>
      <c r="F402" s="197"/>
      <c r="G402" s="180"/>
      <c r="H402" s="180"/>
      <c r="I402" s="180"/>
      <c r="J402" s="180"/>
      <c r="K402" s="198"/>
    </row>
    <row r="403" spans="4:11" ht="15" customHeight="1" x14ac:dyDescent="0.2">
      <c r="D403" s="197"/>
      <c r="E403" s="180"/>
      <c r="F403" s="197"/>
      <c r="G403" s="180"/>
      <c r="H403" s="180"/>
      <c r="I403" s="180"/>
      <c r="J403" s="180"/>
      <c r="K403" s="198"/>
    </row>
    <row r="404" spans="4:11" ht="15" customHeight="1" x14ac:dyDescent="0.2">
      <c r="D404" s="197"/>
      <c r="E404" s="180"/>
      <c r="F404" s="197"/>
      <c r="G404" s="180"/>
      <c r="H404" s="180"/>
      <c r="I404" s="180"/>
      <c r="J404" s="180"/>
      <c r="K404" s="198"/>
    </row>
    <row r="405" spans="4:11" ht="15" customHeight="1" x14ac:dyDescent="0.2">
      <c r="D405" s="197"/>
      <c r="E405" s="180"/>
      <c r="F405" s="197"/>
      <c r="G405" s="180"/>
      <c r="H405" s="180"/>
      <c r="I405" s="180"/>
      <c r="J405" s="180"/>
      <c r="K405" s="198"/>
    </row>
    <row r="406" spans="4:11" ht="15" customHeight="1" x14ac:dyDescent="0.2">
      <c r="D406" s="197"/>
      <c r="E406" s="180"/>
      <c r="F406" s="197"/>
      <c r="G406" s="180"/>
      <c r="H406" s="180"/>
      <c r="I406" s="180"/>
      <c r="J406" s="180"/>
      <c r="K406" s="198"/>
    </row>
    <row r="407" spans="4:11" ht="15" customHeight="1" x14ac:dyDescent="0.2">
      <c r="D407" s="197"/>
      <c r="E407" s="180"/>
      <c r="F407" s="197"/>
      <c r="G407" s="180"/>
      <c r="H407" s="180"/>
      <c r="I407" s="180"/>
      <c r="J407" s="180"/>
      <c r="K407" s="198"/>
    </row>
    <row r="408" spans="4:11" ht="15" customHeight="1" x14ac:dyDescent="0.2">
      <c r="D408" s="197"/>
      <c r="E408" s="180"/>
      <c r="F408" s="197"/>
      <c r="G408" s="180"/>
      <c r="H408" s="180"/>
      <c r="I408" s="180"/>
      <c r="J408" s="180"/>
      <c r="K408" s="198"/>
    </row>
    <row r="409" spans="4:11" ht="15" customHeight="1" x14ac:dyDescent="0.2">
      <c r="D409" s="197"/>
      <c r="E409" s="180"/>
      <c r="F409" s="197"/>
      <c r="G409" s="180"/>
      <c r="H409" s="180"/>
      <c r="I409" s="180"/>
      <c r="J409" s="180"/>
      <c r="K409" s="198"/>
    </row>
    <row r="410" spans="4:11" ht="15" customHeight="1" x14ac:dyDescent="0.2">
      <c r="D410" s="197"/>
      <c r="E410" s="180"/>
      <c r="F410" s="197"/>
      <c r="G410" s="180"/>
      <c r="H410" s="180"/>
      <c r="I410" s="180"/>
      <c r="J410" s="180"/>
      <c r="K410" s="198"/>
    </row>
    <row r="411" spans="4:11" ht="15" customHeight="1" x14ac:dyDescent="0.2">
      <c r="D411" s="197"/>
      <c r="E411" s="180"/>
      <c r="F411" s="197"/>
      <c r="G411" s="180"/>
      <c r="H411" s="180"/>
      <c r="I411" s="180"/>
      <c r="J411" s="180"/>
      <c r="K411" s="198"/>
    </row>
    <row r="412" spans="4:11" ht="15" customHeight="1" x14ac:dyDescent="0.2">
      <c r="D412" s="197"/>
      <c r="E412" s="180"/>
      <c r="F412" s="197"/>
      <c r="G412" s="180"/>
      <c r="H412" s="180"/>
      <c r="I412" s="180"/>
      <c r="J412" s="180"/>
      <c r="K412" s="198"/>
    </row>
    <row r="413" spans="4:11" ht="15" customHeight="1" x14ac:dyDescent="0.2">
      <c r="D413" s="197"/>
      <c r="E413" s="180"/>
      <c r="F413" s="197"/>
      <c r="G413" s="180"/>
      <c r="H413" s="180"/>
      <c r="I413" s="180"/>
      <c r="J413" s="180"/>
      <c r="K413" s="198"/>
    </row>
    <row r="414" spans="4:11" ht="15" customHeight="1" x14ac:dyDescent="0.2">
      <c r="D414" s="197"/>
      <c r="E414" s="180"/>
      <c r="F414" s="197"/>
      <c r="G414" s="180"/>
      <c r="H414" s="180"/>
      <c r="I414" s="180"/>
      <c r="J414" s="180"/>
      <c r="K414" s="198"/>
    </row>
    <row r="415" spans="4:11" ht="15" customHeight="1" x14ac:dyDescent="0.2">
      <c r="D415" s="197"/>
      <c r="E415" s="180"/>
      <c r="F415" s="197"/>
      <c r="G415" s="180"/>
      <c r="H415" s="180"/>
      <c r="I415" s="180"/>
      <c r="J415" s="180"/>
      <c r="K415" s="198"/>
    </row>
    <row r="416" spans="4:11" ht="15" customHeight="1" x14ac:dyDescent="0.2">
      <c r="D416" s="197"/>
      <c r="E416" s="180"/>
      <c r="F416" s="197"/>
      <c r="G416" s="180"/>
      <c r="H416" s="180"/>
      <c r="I416" s="180"/>
      <c r="J416" s="180"/>
      <c r="K416" s="198"/>
    </row>
    <row r="417" spans="4:11" ht="15" customHeight="1" x14ac:dyDescent="0.2">
      <c r="D417" s="197"/>
      <c r="E417" s="180"/>
      <c r="F417" s="197"/>
      <c r="G417" s="180"/>
      <c r="H417" s="180"/>
      <c r="I417" s="180"/>
      <c r="J417" s="180"/>
      <c r="K417" s="198"/>
    </row>
    <row r="418" spans="4:11" ht="15" customHeight="1" x14ac:dyDescent="0.2">
      <c r="D418" s="197"/>
      <c r="E418" s="180"/>
      <c r="F418" s="197"/>
      <c r="G418" s="180"/>
      <c r="H418" s="180"/>
      <c r="I418" s="180"/>
      <c r="J418" s="180"/>
      <c r="K418" s="198"/>
    </row>
    <row r="419" spans="4:11" ht="15" customHeight="1" x14ac:dyDescent="0.2">
      <c r="D419" s="197"/>
      <c r="E419" s="180"/>
      <c r="F419" s="197"/>
      <c r="G419" s="180"/>
      <c r="H419" s="180"/>
      <c r="I419" s="180"/>
      <c r="J419" s="180"/>
      <c r="K419" s="198"/>
    </row>
    <row r="420" spans="4:11" ht="15" customHeight="1" x14ac:dyDescent="0.2">
      <c r="D420" s="197"/>
      <c r="E420" s="180"/>
      <c r="F420" s="197"/>
      <c r="G420" s="180"/>
      <c r="H420" s="180"/>
      <c r="I420" s="180"/>
      <c r="J420" s="180"/>
      <c r="K420" s="198"/>
    </row>
    <row r="421" spans="4:11" ht="15" customHeight="1" x14ac:dyDescent="0.2">
      <c r="D421" s="197"/>
      <c r="E421" s="180"/>
      <c r="F421" s="197"/>
      <c r="G421" s="180"/>
      <c r="H421" s="180"/>
      <c r="I421" s="180"/>
      <c r="J421" s="180"/>
      <c r="K421" s="198"/>
    </row>
    <row r="422" spans="4:11" ht="15" customHeight="1" x14ac:dyDescent="0.2">
      <c r="D422" s="197"/>
      <c r="E422" s="180"/>
      <c r="F422" s="197"/>
      <c r="G422" s="180"/>
      <c r="H422" s="180"/>
      <c r="I422" s="180"/>
      <c r="J422" s="180"/>
      <c r="K422" s="198"/>
    </row>
    <row r="423" spans="4:11" ht="15" customHeight="1" x14ac:dyDescent="0.2">
      <c r="D423" s="197"/>
      <c r="E423" s="180"/>
      <c r="F423" s="197"/>
      <c r="G423" s="180"/>
      <c r="H423" s="180"/>
      <c r="I423" s="180"/>
      <c r="J423" s="180"/>
      <c r="K423" s="198"/>
    </row>
    <row r="424" spans="4:11" ht="15" customHeight="1" x14ac:dyDescent="0.2">
      <c r="D424" s="197"/>
      <c r="E424" s="180"/>
      <c r="F424" s="197"/>
      <c r="G424" s="180"/>
      <c r="H424" s="180"/>
      <c r="I424" s="180"/>
      <c r="J424" s="180"/>
      <c r="K424" s="198"/>
    </row>
    <row r="425" spans="4:11" ht="15" customHeight="1" x14ac:dyDescent="0.2">
      <c r="D425" s="197"/>
      <c r="E425" s="180"/>
      <c r="F425" s="197"/>
      <c r="G425" s="180"/>
      <c r="H425" s="180"/>
      <c r="I425" s="180"/>
      <c r="J425" s="180"/>
      <c r="K425" s="198"/>
    </row>
    <row r="426" spans="4:11" ht="15" customHeight="1" x14ac:dyDescent="0.2">
      <c r="D426" s="197"/>
      <c r="E426" s="180"/>
      <c r="F426" s="197"/>
      <c r="G426" s="180"/>
      <c r="H426" s="180"/>
      <c r="I426" s="180"/>
      <c r="J426" s="180"/>
      <c r="K426" s="198"/>
    </row>
    <row r="427" spans="4:11" ht="15" customHeight="1" x14ac:dyDescent="0.2">
      <c r="D427" s="197"/>
      <c r="E427" s="180"/>
      <c r="F427" s="197"/>
      <c r="G427" s="180"/>
      <c r="H427" s="180"/>
      <c r="I427" s="180"/>
      <c r="J427" s="180"/>
      <c r="K427" s="198"/>
    </row>
    <row r="428" spans="4:11" ht="15" customHeight="1" x14ac:dyDescent="0.2">
      <c r="D428" s="197"/>
      <c r="E428" s="180"/>
      <c r="F428" s="197"/>
      <c r="G428" s="180"/>
      <c r="H428" s="180"/>
      <c r="I428" s="180"/>
      <c r="J428" s="180"/>
      <c r="K428" s="198"/>
    </row>
    <row r="429" spans="4:11" ht="15" customHeight="1" x14ac:dyDescent="0.2">
      <c r="D429" s="197"/>
      <c r="E429" s="180"/>
      <c r="F429" s="197"/>
      <c r="G429" s="180"/>
      <c r="H429" s="180"/>
      <c r="I429" s="180"/>
      <c r="J429" s="180"/>
      <c r="K429" s="198"/>
    </row>
    <row r="430" spans="4:11" ht="15" customHeight="1" x14ac:dyDescent="0.2">
      <c r="D430" s="197"/>
      <c r="E430" s="180"/>
      <c r="F430" s="197"/>
      <c r="G430" s="180"/>
      <c r="H430" s="180"/>
      <c r="I430" s="180"/>
      <c r="J430" s="180"/>
      <c r="K430" s="198"/>
    </row>
    <row r="431" spans="4:11" ht="15" customHeight="1" x14ac:dyDescent="0.2">
      <c r="D431" s="197"/>
      <c r="E431" s="180"/>
      <c r="F431" s="197"/>
      <c r="G431" s="180"/>
      <c r="H431" s="180"/>
      <c r="I431" s="180"/>
      <c r="J431" s="180"/>
      <c r="K431" s="198"/>
    </row>
    <row r="432" spans="4:11" ht="15" customHeight="1" x14ac:dyDescent="0.2">
      <c r="D432" s="197"/>
      <c r="E432" s="180"/>
      <c r="F432" s="197"/>
      <c r="G432" s="180"/>
      <c r="H432" s="180"/>
      <c r="I432" s="180"/>
      <c r="J432" s="180"/>
      <c r="K432" s="198"/>
    </row>
    <row r="433" spans="4:11" ht="15" customHeight="1" x14ac:dyDescent="0.2">
      <c r="D433" s="197"/>
      <c r="E433" s="180"/>
      <c r="F433" s="197"/>
      <c r="G433" s="180"/>
      <c r="H433" s="180"/>
      <c r="I433" s="180"/>
      <c r="J433" s="180"/>
      <c r="K433" s="198"/>
    </row>
    <row r="434" spans="4:11" ht="15" customHeight="1" x14ac:dyDescent="0.2">
      <c r="D434" s="197"/>
      <c r="E434" s="180"/>
      <c r="F434" s="197"/>
      <c r="G434" s="180"/>
      <c r="H434" s="180"/>
      <c r="I434" s="180"/>
      <c r="J434" s="180"/>
      <c r="K434" s="198"/>
    </row>
    <row r="435" spans="4:11" ht="15" customHeight="1" x14ac:dyDescent="0.2">
      <c r="D435" s="197"/>
      <c r="E435" s="180"/>
      <c r="F435" s="197"/>
      <c r="G435" s="180"/>
      <c r="H435" s="180"/>
      <c r="I435" s="180"/>
      <c r="J435" s="180"/>
      <c r="K435" s="198"/>
    </row>
    <row r="436" spans="4:11" ht="15" customHeight="1" x14ac:dyDescent="0.2">
      <c r="D436" s="197"/>
      <c r="E436" s="180"/>
      <c r="F436" s="197"/>
      <c r="G436" s="180"/>
      <c r="H436" s="180"/>
      <c r="I436" s="180"/>
      <c r="J436" s="180"/>
      <c r="K436" s="198"/>
    </row>
    <row r="437" spans="4:11" ht="15" customHeight="1" x14ac:dyDescent="0.2">
      <c r="D437" s="197"/>
      <c r="E437" s="180"/>
      <c r="F437" s="197"/>
      <c r="G437" s="180"/>
      <c r="H437" s="180"/>
      <c r="I437" s="180"/>
      <c r="J437" s="180"/>
      <c r="K437" s="198"/>
    </row>
    <row r="438" spans="4:11" ht="15" customHeight="1" x14ac:dyDescent="0.2">
      <c r="D438" s="197"/>
      <c r="E438" s="180"/>
      <c r="F438" s="197"/>
      <c r="G438" s="180"/>
      <c r="H438" s="180"/>
      <c r="I438" s="180"/>
      <c r="J438" s="180"/>
      <c r="K438" s="198"/>
    </row>
    <row r="439" spans="4:11" ht="15" customHeight="1" x14ac:dyDescent="0.2">
      <c r="D439" s="197"/>
      <c r="E439" s="180"/>
      <c r="F439" s="197"/>
      <c r="G439" s="180"/>
      <c r="H439" s="180"/>
      <c r="I439" s="180"/>
      <c r="J439" s="180"/>
      <c r="K439" s="198"/>
    </row>
    <row r="440" spans="4:11" ht="15" customHeight="1" x14ac:dyDescent="0.2">
      <c r="D440" s="197"/>
      <c r="E440" s="180"/>
      <c r="F440" s="197"/>
      <c r="G440" s="180"/>
      <c r="H440" s="180"/>
      <c r="I440" s="180"/>
      <c r="J440" s="180"/>
      <c r="K440" s="198"/>
    </row>
    <row r="441" spans="4:11" ht="15" customHeight="1" x14ac:dyDescent="0.2">
      <c r="D441" s="197"/>
      <c r="E441" s="180"/>
      <c r="F441" s="197"/>
      <c r="G441" s="180"/>
      <c r="H441" s="180"/>
      <c r="I441" s="180"/>
      <c r="J441" s="180"/>
      <c r="K441" s="198"/>
    </row>
    <row r="442" spans="4:11" ht="15" customHeight="1" x14ac:dyDescent="0.2">
      <c r="D442" s="197"/>
      <c r="E442" s="180"/>
      <c r="F442" s="197"/>
      <c r="G442" s="180"/>
      <c r="H442" s="180"/>
      <c r="I442" s="180"/>
      <c r="J442" s="180"/>
      <c r="K442" s="198"/>
    </row>
    <row r="443" spans="4:11" ht="15" customHeight="1" x14ac:dyDescent="0.2">
      <c r="D443" s="197"/>
      <c r="E443" s="180"/>
      <c r="F443" s="197"/>
      <c r="G443" s="180"/>
      <c r="H443" s="180"/>
      <c r="I443" s="180"/>
      <c r="J443" s="180"/>
      <c r="K443" s="198"/>
    </row>
    <row r="444" spans="4:11" ht="15" customHeight="1" x14ac:dyDescent="0.2">
      <c r="D444" s="197"/>
      <c r="E444" s="180"/>
      <c r="F444" s="197"/>
      <c r="G444" s="180"/>
      <c r="H444" s="180"/>
      <c r="I444" s="180"/>
      <c r="J444" s="180"/>
      <c r="K444" s="198"/>
    </row>
    <row r="445" spans="4:11" ht="15" customHeight="1" x14ac:dyDescent="0.2">
      <c r="D445" s="197"/>
      <c r="E445" s="180"/>
      <c r="F445" s="197"/>
      <c r="G445" s="180"/>
      <c r="H445" s="180"/>
      <c r="I445" s="180"/>
      <c r="J445" s="180"/>
      <c r="K445" s="198"/>
    </row>
    <row r="446" spans="4:11" ht="15" customHeight="1" x14ac:dyDescent="0.2">
      <c r="D446" s="197"/>
      <c r="E446" s="180"/>
      <c r="F446" s="197"/>
      <c r="G446" s="180"/>
      <c r="H446" s="180"/>
      <c r="I446" s="180"/>
      <c r="J446" s="180"/>
      <c r="K446" s="198"/>
    </row>
    <row r="447" spans="4:11" ht="15" customHeight="1" x14ac:dyDescent="0.2">
      <c r="D447" s="197"/>
      <c r="E447" s="180"/>
      <c r="F447" s="197"/>
      <c r="G447" s="180"/>
      <c r="H447" s="180"/>
      <c r="I447" s="180"/>
      <c r="J447" s="180"/>
      <c r="K447" s="198"/>
    </row>
    <row r="448" spans="4:11" ht="15" customHeight="1" x14ac:dyDescent="0.2">
      <c r="D448" s="197"/>
      <c r="E448" s="180"/>
      <c r="F448" s="197"/>
      <c r="G448" s="180"/>
      <c r="H448" s="180"/>
      <c r="I448" s="180"/>
      <c r="J448" s="180"/>
      <c r="K448" s="198"/>
    </row>
    <row r="449" spans="4:11" ht="15" customHeight="1" x14ac:dyDescent="0.2">
      <c r="D449" s="197"/>
      <c r="E449" s="180"/>
      <c r="F449" s="197"/>
      <c r="G449" s="180"/>
      <c r="H449" s="180"/>
      <c r="I449" s="180"/>
      <c r="J449" s="180"/>
      <c r="K449" s="198"/>
    </row>
    <row r="450" spans="4:11" ht="15" customHeight="1" x14ac:dyDescent="0.2">
      <c r="D450" s="197"/>
      <c r="E450" s="180"/>
      <c r="F450" s="197"/>
      <c r="G450" s="180"/>
      <c r="H450" s="180"/>
      <c r="I450" s="180"/>
      <c r="J450" s="180"/>
      <c r="K450" s="198"/>
    </row>
    <row r="451" spans="4:11" ht="15" customHeight="1" x14ac:dyDescent="0.2">
      <c r="D451" s="197"/>
      <c r="E451" s="180"/>
      <c r="F451" s="197"/>
      <c r="G451" s="180"/>
      <c r="H451" s="180"/>
      <c r="I451" s="180"/>
      <c r="J451" s="180"/>
      <c r="K451" s="198"/>
    </row>
    <row r="452" spans="4:11" ht="15" customHeight="1" x14ac:dyDescent="0.2">
      <c r="D452" s="197"/>
      <c r="E452" s="180"/>
      <c r="F452" s="197"/>
      <c r="G452" s="180"/>
      <c r="H452" s="180"/>
      <c r="I452" s="180"/>
      <c r="J452" s="180"/>
      <c r="K452" s="198"/>
    </row>
    <row r="453" spans="4:11" ht="15" customHeight="1" x14ac:dyDescent="0.2">
      <c r="D453" s="197"/>
      <c r="E453" s="180"/>
      <c r="F453" s="197"/>
      <c r="G453" s="180"/>
      <c r="H453" s="180"/>
      <c r="I453" s="180"/>
      <c r="J453" s="180"/>
      <c r="K453" s="198"/>
    </row>
    <row r="454" spans="4:11" ht="15" customHeight="1" x14ac:dyDescent="0.2">
      <c r="D454" s="197"/>
      <c r="E454" s="180"/>
      <c r="F454" s="197"/>
      <c r="G454" s="180"/>
      <c r="H454" s="180"/>
      <c r="I454" s="180"/>
      <c r="J454" s="180"/>
      <c r="K454" s="198"/>
    </row>
    <row r="455" spans="4:11" ht="15" customHeight="1" x14ac:dyDescent="0.2">
      <c r="D455" s="197"/>
      <c r="E455" s="180"/>
      <c r="F455" s="197"/>
      <c r="G455" s="180"/>
      <c r="H455" s="180"/>
      <c r="I455" s="180"/>
      <c r="J455" s="180"/>
      <c r="K455" s="198"/>
    </row>
    <row r="456" spans="4:11" ht="15" customHeight="1" x14ac:dyDescent="0.2">
      <c r="D456" s="197"/>
      <c r="E456" s="180"/>
      <c r="F456" s="197"/>
      <c r="G456" s="180"/>
      <c r="H456" s="180"/>
      <c r="I456" s="180"/>
      <c r="J456" s="180"/>
      <c r="K456" s="198"/>
    </row>
    <row r="457" spans="4:11" ht="15" customHeight="1" x14ac:dyDescent="0.2">
      <c r="D457" s="197"/>
      <c r="E457" s="180"/>
      <c r="F457" s="197"/>
      <c r="G457" s="180"/>
      <c r="H457" s="180"/>
      <c r="I457" s="180"/>
      <c r="J457" s="180"/>
      <c r="K457" s="198"/>
    </row>
    <row r="458" spans="4:11" ht="15" customHeight="1" x14ac:dyDescent="0.2">
      <c r="D458" s="197"/>
      <c r="E458" s="180"/>
      <c r="F458" s="197"/>
      <c r="G458" s="180"/>
      <c r="H458" s="180"/>
      <c r="I458" s="180"/>
      <c r="J458" s="180"/>
      <c r="K458" s="198"/>
    </row>
    <row r="459" spans="4:11" ht="15" customHeight="1" x14ac:dyDescent="0.2">
      <c r="D459" s="197"/>
      <c r="E459" s="180"/>
      <c r="F459" s="197"/>
      <c r="G459" s="180"/>
      <c r="H459" s="180"/>
      <c r="I459" s="180"/>
      <c r="J459" s="180"/>
      <c r="K459" s="198"/>
    </row>
    <row r="460" spans="4:11" ht="15" customHeight="1" x14ac:dyDescent="0.2">
      <c r="D460" s="197"/>
      <c r="E460" s="180"/>
      <c r="F460" s="197"/>
      <c r="G460" s="180"/>
      <c r="H460" s="180"/>
      <c r="I460" s="180"/>
      <c r="J460" s="180"/>
      <c r="K460" s="198"/>
    </row>
    <row r="461" spans="4:11" ht="15" customHeight="1" x14ac:dyDescent="0.2">
      <c r="D461" s="197"/>
      <c r="E461" s="180"/>
      <c r="F461" s="197"/>
      <c r="G461" s="180"/>
      <c r="H461" s="180"/>
      <c r="I461" s="180"/>
      <c r="J461" s="180"/>
      <c r="K461" s="198"/>
    </row>
    <row r="462" spans="4:11" ht="15" customHeight="1" x14ac:dyDescent="0.2">
      <c r="D462" s="197"/>
      <c r="E462" s="180"/>
      <c r="F462" s="197"/>
      <c r="G462" s="180"/>
      <c r="H462" s="180"/>
      <c r="I462" s="180"/>
      <c r="J462" s="180"/>
      <c r="K462" s="198"/>
    </row>
    <row r="463" spans="4:11" ht="15" customHeight="1" x14ac:dyDescent="0.2">
      <c r="D463" s="197"/>
      <c r="E463" s="180"/>
      <c r="F463" s="197"/>
      <c r="G463" s="180"/>
      <c r="H463" s="180"/>
      <c r="I463" s="180"/>
      <c r="J463" s="180"/>
      <c r="K463" s="198"/>
    </row>
    <row r="464" spans="4:11" ht="15" customHeight="1" x14ac:dyDescent="0.2">
      <c r="D464" s="197"/>
      <c r="E464" s="180"/>
      <c r="F464" s="197"/>
      <c r="G464" s="180"/>
      <c r="H464" s="180"/>
      <c r="I464" s="180"/>
      <c r="J464" s="180"/>
      <c r="K464" s="198"/>
    </row>
    <row r="465" spans="4:11" ht="15" customHeight="1" x14ac:dyDescent="0.2">
      <c r="D465" s="197"/>
      <c r="E465" s="180"/>
      <c r="F465" s="197"/>
      <c r="G465" s="180"/>
      <c r="H465" s="180"/>
      <c r="I465" s="180"/>
      <c r="J465" s="180"/>
      <c r="K465" s="198"/>
    </row>
    <row r="466" spans="4:11" ht="15" customHeight="1" x14ac:dyDescent="0.2">
      <c r="D466" s="197"/>
      <c r="E466" s="180"/>
      <c r="F466" s="197"/>
      <c r="G466" s="180"/>
      <c r="H466" s="180"/>
      <c r="I466" s="180"/>
      <c r="J466" s="180"/>
      <c r="K466" s="198"/>
    </row>
    <row r="467" spans="4:11" ht="15" customHeight="1" x14ac:dyDescent="0.2">
      <c r="D467" s="197"/>
      <c r="E467" s="180"/>
      <c r="F467" s="197"/>
      <c r="G467" s="180"/>
      <c r="H467" s="180"/>
      <c r="I467" s="180"/>
      <c r="J467" s="180"/>
      <c r="K467" s="198"/>
    </row>
    <row r="468" spans="4:11" ht="15" customHeight="1" x14ac:dyDescent="0.2">
      <c r="D468" s="197"/>
      <c r="E468" s="180"/>
      <c r="F468" s="197"/>
      <c r="G468" s="180"/>
      <c r="H468" s="180"/>
      <c r="I468" s="180"/>
      <c r="J468" s="180"/>
      <c r="K468" s="198"/>
    </row>
    <row r="469" spans="4:11" ht="15" customHeight="1" x14ac:dyDescent="0.2">
      <c r="D469" s="197"/>
      <c r="E469" s="180"/>
      <c r="F469" s="197"/>
      <c r="G469" s="180"/>
      <c r="H469" s="180"/>
      <c r="I469" s="180"/>
      <c r="J469" s="180"/>
      <c r="K469" s="198"/>
    </row>
    <row r="470" spans="4:11" ht="15" customHeight="1" x14ac:dyDescent="0.2">
      <c r="D470" s="197"/>
      <c r="E470" s="180"/>
      <c r="F470" s="197"/>
      <c r="G470" s="180"/>
      <c r="H470" s="180"/>
      <c r="I470" s="180"/>
      <c r="J470" s="180"/>
      <c r="K470" s="198"/>
    </row>
    <row r="471" spans="4:11" ht="15" customHeight="1" x14ac:dyDescent="0.2">
      <c r="D471" s="197"/>
      <c r="E471" s="180"/>
      <c r="F471" s="197"/>
      <c r="G471" s="180"/>
      <c r="H471" s="180"/>
      <c r="I471" s="180"/>
      <c r="J471" s="180"/>
      <c r="K471" s="198"/>
    </row>
    <row r="472" spans="4:11" ht="15" customHeight="1" x14ac:dyDescent="0.2">
      <c r="D472" s="197"/>
      <c r="E472" s="180"/>
      <c r="F472" s="197"/>
      <c r="G472" s="180"/>
      <c r="H472" s="180"/>
      <c r="I472" s="180"/>
      <c r="J472" s="180"/>
      <c r="K472" s="198"/>
    </row>
    <row r="473" spans="4:11" ht="15" customHeight="1" x14ac:dyDescent="0.2">
      <c r="D473" s="197"/>
      <c r="E473" s="180"/>
      <c r="F473" s="197"/>
      <c r="G473" s="180"/>
      <c r="H473" s="180"/>
      <c r="I473" s="180"/>
      <c r="J473" s="180"/>
      <c r="K473" s="198"/>
    </row>
    <row r="474" spans="4:11" ht="15" customHeight="1" x14ac:dyDescent="0.2">
      <c r="D474" s="197"/>
      <c r="E474" s="180"/>
      <c r="F474" s="197"/>
      <c r="G474" s="180"/>
      <c r="H474" s="180"/>
      <c r="I474" s="180"/>
      <c r="J474" s="180"/>
      <c r="K474" s="198"/>
    </row>
    <row r="475" spans="4:11" ht="15" customHeight="1" x14ac:dyDescent="0.2">
      <c r="D475" s="197"/>
      <c r="E475" s="180"/>
      <c r="F475" s="197"/>
      <c r="G475" s="180"/>
      <c r="H475" s="180"/>
      <c r="I475" s="180"/>
      <c r="J475" s="180"/>
      <c r="K475" s="198"/>
    </row>
    <row r="476" spans="4:11" ht="15" customHeight="1" x14ac:dyDescent="0.2">
      <c r="D476" s="197"/>
      <c r="E476" s="180"/>
      <c r="F476" s="197"/>
      <c r="G476" s="180"/>
      <c r="H476" s="180"/>
      <c r="I476" s="180"/>
      <c r="J476" s="180"/>
      <c r="K476" s="198"/>
    </row>
    <row r="477" spans="4:11" ht="15" customHeight="1" x14ac:dyDescent="0.2">
      <c r="D477" s="197"/>
      <c r="E477" s="180"/>
      <c r="F477" s="197"/>
      <c r="G477" s="180"/>
      <c r="H477" s="180"/>
      <c r="I477" s="180"/>
      <c r="J477" s="180"/>
      <c r="K477" s="198"/>
    </row>
    <row r="478" spans="4:11" ht="15" customHeight="1" x14ac:dyDescent="0.2">
      <c r="D478" s="197"/>
      <c r="E478" s="180"/>
      <c r="F478" s="197"/>
      <c r="G478" s="180"/>
      <c r="H478" s="180"/>
      <c r="I478" s="180"/>
      <c r="J478" s="180"/>
      <c r="K478" s="198"/>
    </row>
    <row r="479" spans="4:11" ht="15" customHeight="1" x14ac:dyDescent="0.2">
      <c r="D479" s="197"/>
      <c r="E479" s="180"/>
      <c r="F479" s="197"/>
      <c r="G479" s="180"/>
      <c r="H479" s="180"/>
      <c r="I479" s="180"/>
      <c r="J479" s="180"/>
      <c r="K479" s="198"/>
    </row>
    <row r="480" spans="4:11" ht="15" customHeight="1" x14ac:dyDescent="0.2">
      <c r="D480" s="197"/>
      <c r="E480" s="180"/>
      <c r="F480" s="197"/>
      <c r="G480" s="180"/>
      <c r="H480" s="180"/>
      <c r="I480" s="180"/>
      <c r="J480" s="180"/>
      <c r="K480" s="198"/>
    </row>
    <row r="481" spans="4:11" ht="15" customHeight="1" x14ac:dyDescent="0.2">
      <c r="D481" s="197"/>
      <c r="E481" s="180"/>
      <c r="F481" s="197"/>
      <c r="G481" s="180"/>
      <c r="H481" s="180"/>
      <c r="I481" s="180"/>
      <c r="J481" s="180"/>
      <c r="K481" s="198"/>
    </row>
    <row r="482" spans="4:11" ht="15" customHeight="1" x14ac:dyDescent="0.2">
      <c r="D482" s="197"/>
      <c r="E482" s="180"/>
      <c r="F482" s="197"/>
      <c r="G482" s="180"/>
      <c r="H482" s="180"/>
      <c r="I482" s="180"/>
      <c r="J482" s="180"/>
      <c r="K482" s="198"/>
    </row>
    <row r="483" spans="4:11" ht="15" customHeight="1" x14ac:dyDescent="0.2">
      <c r="D483" s="197"/>
      <c r="E483" s="180"/>
      <c r="F483" s="197"/>
      <c r="G483" s="180"/>
      <c r="H483" s="180"/>
      <c r="I483" s="180"/>
      <c r="J483" s="180"/>
      <c r="K483" s="198"/>
    </row>
    <row r="484" spans="4:11" ht="15" customHeight="1" x14ac:dyDescent="0.2">
      <c r="D484" s="197"/>
      <c r="E484" s="180"/>
      <c r="F484" s="197"/>
      <c r="G484" s="180"/>
      <c r="H484" s="180"/>
      <c r="I484" s="180"/>
      <c r="J484" s="180"/>
      <c r="K484" s="198"/>
    </row>
    <row r="485" spans="4:11" ht="15" customHeight="1" x14ac:dyDescent="0.2">
      <c r="D485" s="197"/>
      <c r="E485" s="180"/>
      <c r="F485" s="197"/>
      <c r="G485" s="180"/>
      <c r="H485" s="180"/>
      <c r="I485" s="180"/>
      <c r="J485" s="180"/>
      <c r="K485" s="198"/>
    </row>
    <row r="486" spans="4:11" ht="15" customHeight="1" x14ac:dyDescent="0.2">
      <c r="D486" s="197"/>
      <c r="E486" s="180"/>
      <c r="F486" s="197"/>
      <c r="G486" s="180"/>
      <c r="H486" s="180"/>
      <c r="I486" s="180"/>
      <c r="J486" s="180"/>
      <c r="K486" s="198"/>
    </row>
    <row r="487" spans="4:11" ht="15" customHeight="1" x14ac:dyDescent="0.2">
      <c r="D487" s="197"/>
      <c r="E487" s="180"/>
      <c r="F487" s="197"/>
      <c r="G487" s="180"/>
      <c r="H487" s="180"/>
      <c r="I487" s="180"/>
      <c r="J487" s="180"/>
      <c r="K487" s="198"/>
    </row>
    <row r="488" spans="4:11" ht="15" customHeight="1" x14ac:dyDescent="0.2">
      <c r="D488" s="197"/>
      <c r="E488" s="180"/>
      <c r="F488" s="197"/>
      <c r="G488" s="180"/>
      <c r="H488" s="180"/>
      <c r="I488" s="180"/>
      <c r="J488" s="180"/>
      <c r="K488" s="198"/>
    </row>
    <row r="489" spans="4:11" ht="15" customHeight="1" x14ac:dyDescent="0.2">
      <c r="D489" s="197"/>
      <c r="E489" s="180"/>
      <c r="F489" s="197"/>
      <c r="G489" s="180"/>
      <c r="H489" s="180"/>
      <c r="I489" s="180"/>
      <c r="J489" s="180"/>
      <c r="K489" s="198"/>
    </row>
    <row r="490" spans="4:11" ht="15" customHeight="1" x14ac:dyDescent="0.2">
      <c r="D490" s="197"/>
      <c r="E490" s="180"/>
      <c r="F490" s="197"/>
      <c r="G490" s="180"/>
      <c r="H490" s="180"/>
      <c r="I490" s="180"/>
      <c r="J490" s="180"/>
      <c r="K490" s="198"/>
    </row>
    <row r="491" spans="4:11" ht="15" customHeight="1" x14ac:dyDescent="0.2">
      <c r="D491" s="197"/>
      <c r="E491" s="180"/>
      <c r="F491" s="197"/>
      <c r="G491" s="180"/>
      <c r="H491" s="180"/>
      <c r="I491" s="180"/>
      <c r="J491" s="180"/>
      <c r="K491" s="198"/>
    </row>
    <row r="492" spans="4:11" ht="15" customHeight="1" x14ac:dyDescent="0.2">
      <c r="D492" s="197"/>
      <c r="E492" s="180"/>
      <c r="F492" s="197"/>
      <c r="G492" s="180"/>
      <c r="H492" s="180"/>
      <c r="I492" s="180"/>
      <c r="J492" s="180"/>
      <c r="K492" s="198"/>
    </row>
    <row r="493" spans="4:11" ht="15" customHeight="1" x14ac:dyDescent="0.2">
      <c r="D493" s="197"/>
      <c r="E493" s="180"/>
      <c r="F493" s="197"/>
      <c r="G493" s="180"/>
      <c r="H493" s="180"/>
      <c r="I493" s="180"/>
      <c r="J493" s="180"/>
      <c r="K493" s="198"/>
    </row>
    <row r="494" spans="4:11" ht="15" customHeight="1" x14ac:dyDescent="0.2">
      <c r="D494" s="197"/>
      <c r="E494" s="180"/>
      <c r="F494" s="197"/>
      <c r="G494" s="180"/>
      <c r="H494" s="180"/>
      <c r="I494" s="180"/>
      <c r="J494" s="180"/>
      <c r="K494" s="198"/>
    </row>
    <row r="495" spans="4:11" ht="15" customHeight="1" x14ac:dyDescent="0.2">
      <c r="D495" s="197"/>
      <c r="E495" s="180"/>
      <c r="F495" s="197"/>
      <c r="G495" s="180"/>
      <c r="H495" s="180"/>
      <c r="I495" s="180"/>
      <c r="J495" s="180"/>
      <c r="K495" s="198"/>
    </row>
    <row r="496" spans="4:11" ht="15" customHeight="1" x14ac:dyDescent="0.2">
      <c r="D496" s="197"/>
      <c r="E496" s="180"/>
      <c r="F496" s="197"/>
      <c r="G496" s="180"/>
      <c r="H496" s="180"/>
      <c r="I496" s="180"/>
      <c r="J496" s="180"/>
      <c r="K496" s="198"/>
    </row>
    <row r="497" spans="4:11" ht="15" customHeight="1" x14ac:dyDescent="0.2">
      <c r="D497" s="197"/>
      <c r="E497" s="180"/>
      <c r="F497" s="197"/>
      <c r="G497" s="180"/>
      <c r="H497" s="180"/>
      <c r="I497" s="180"/>
      <c r="J497" s="180"/>
      <c r="K497" s="198"/>
    </row>
    <row r="498" spans="4:11" ht="15" customHeight="1" x14ac:dyDescent="0.2">
      <c r="D498" s="197"/>
      <c r="E498" s="180"/>
      <c r="F498" s="197"/>
      <c r="G498" s="180"/>
      <c r="H498" s="180"/>
      <c r="I498" s="180"/>
      <c r="J498" s="180"/>
      <c r="K498" s="198"/>
    </row>
    <row r="499" spans="4:11" ht="15" customHeight="1" x14ac:dyDescent="0.2">
      <c r="D499" s="197"/>
      <c r="E499" s="197"/>
      <c r="F499" s="197"/>
    </row>
    <row r="500" spans="4:11" ht="15" customHeight="1" x14ac:dyDescent="0.2">
      <c r="D500" s="197"/>
      <c r="E500" s="197"/>
      <c r="F500" s="197"/>
    </row>
    <row r="501" spans="4:11" ht="15" customHeight="1" x14ac:dyDescent="0.2">
      <c r="D501" s="197"/>
      <c r="E501" s="197"/>
      <c r="F501" s="197"/>
    </row>
    <row r="502" spans="4:11" ht="15" customHeight="1" x14ac:dyDescent="0.2">
      <c r="D502" s="197"/>
      <c r="E502" s="197"/>
      <c r="F502" s="197"/>
    </row>
    <row r="503" spans="4:11" ht="15" customHeight="1" x14ac:dyDescent="0.2">
      <c r="D503" s="197"/>
      <c r="E503" s="197"/>
      <c r="F503" s="197"/>
    </row>
    <row r="504" spans="4:11" ht="15" customHeight="1" x14ac:dyDescent="0.2">
      <c r="D504" s="197"/>
      <c r="E504" s="197"/>
      <c r="F504" s="197"/>
    </row>
    <row r="505" spans="4:11" ht="15" customHeight="1" x14ac:dyDescent="0.2">
      <c r="D505" s="197"/>
      <c r="E505" s="197"/>
      <c r="F505" s="197"/>
    </row>
    <row r="506" spans="4:11" ht="15" customHeight="1" x14ac:dyDescent="0.2">
      <c r="D506" s="197"/>
      <c r="E506" s="197"/>
      <c r="F506" s="197"/>
    </row>
    <row r="507" spans="4:11" ht="15" customHeight="1" x14ac:dyDescent="0.2">
      <c r="D507" s="197"/>
      <c r="E507" s="197"/>
      <c r="F507" s="197"/>
    </row>
    <row r="508" spans="4:11" ht="15" customHeight="1" x14ac:dyDescent="0.2">
      <c r="D508" s="197"/>
      <c r="E508" s="197"/>
      <c r="F508" s="197"/>
    </row>
    <row r="509" spans="4:11" ht="15" customHeight="1" x14ac:dyDescent="0.2">
      <c r="D509" s="197"/>
      <c r="E509" s="197"/>
      <c r="F509" s="197"/>
    </row>
    <row r="510" spans="4:11" ht="15" customHeight="1" x14ac:dyDescent="0.2">
      <c r="D510" s="197"/>
      <c r="E510" s="197"/>
      <c r="F510" s="197"/>
    </row>
    <row r="511" spans="4:11" ht="15" customHeight="1" x14ac:dyDescent="0.2">
      <c r="D511" s="197"/>
      <c r="E511" s="197"/>
      <c r="F511" s="197"/>
    </row>
    <row r="512" spans="4:11" ht="15" customHeight="1" x14ac:dyDescent="0.2">
      <c r="D512" s="197"/>
      <c r="E512" s="197"/>
      <c r="F512" s="197"/>
    </row>
    <row r="513" spans="4:6" ht="15" customHeight="1" x14ac:dyDescent="0.2">
      <c r="D513" s="197"/>
      <c r="E513" s="197"/>
      <c r="F513" s="197"/>
    </row>
    <row r="514" spans="4:6" ht="15" customHeight="1" x14ac:dyDescent="0.2">
      <c r="D514" s="197"/>
      <c r="E514" s="197"/>
      <c r="F514" s="197"/>
    </row>
    <row r="515" spans="4:6" ht="15" customHeight="1" x14ac:dyDescent="0.2">
      <c r="D515" s="197"/>
      <c r="E515" s="197"/>
      <c r="F515" s="197"/>
    </row>
    <row r="516" spans="4:6" ht="15" customHeight="1" x14ac:dyDescent="0.2">
      <c r="D516" s="197"/>
      <c r="E516" s="197"/>
      <c r="F516" s="197"/>
    </row>
    <row r="517" spans="4:6" ht="15" customHeight="1" x14ac:dyDescent="0.2">
      <c r="D517" s="197"/>
      <c r="E517" s="197"/>
      <c r="F517" s="197"/>
    </row>
    <row r="518" spans="4:6" ht="15" customHeight="1" x14ac:dyDescent="0.2">
      <c r="D518" s="197"/>
      <c r="E518" s="197"/>
      <c r="F518" s="197"/>
    </row>
    <row r="519" spans="4:6" ht="15" customHeight="1" x14ac:dyDescent="0.2">
      <c r="D519" s="197"/>
      <c r="E519" s="197"/>
      <c r="F519" s="197"/>
    </row>
    <row r="520" spans="4:6" ht="15" customHeight="1" x14ac:dyDescent="0.2">
      <c r="D520" s="197"/>
      <c r="E520" s="197"/>
      <c r="F520" s="197"/>
    </row>
    <row r="521" spans="4:6" ht="15" customHeight="1" x14ac:dyDescent="0.2">
      <c r="D521" s="197"/>
      <c r="E521" s="197"/>
      <c r="F521" s="197"/>
    </row>
    <row r="522" spans="4:6" ht="15" customHeight="1" x14ac:dyDescent="0.2">
      <c r="D522" s="197"/>
      <c r="E522" s="197"/>
      <c r="F522" s="197"/>
    </row>
    <row r="523" spans="4:6" ht="15" customHeight="1" x14ac:dyDescent="0.2">
      <c r="D523" s="197"/>
      <c r="E523" s="197"/>
      <c r="F523" s="197"/>
    </row>
    <row r="524" spans="4:6" ht="15" customHeight="1" x14ac:dyDescent="0.2">
      <c r="D524" s="197"/>
      <c r="E524" s="197"/>
      <c r="F524" s="197"/>
    </row>
    <row r="525" spans="4:6" ht="15" customHeight="1" x14ac:dyDescent="0.2">
      <c r="D525" s="197"/>
      <c r="E525" s="197"/>
      <c r="F525" s="197"/>
    </row>
    <row r="526" spans="4:6" ht="15" customHeight="1" x14ac:dyDescent="0.2">
      <c r="D526" s="197"/>
      <c r="E526" s="197"/>
      <c r="F526" s="197"/>
    </row>
    <row r="527" spans="4:6" ht="15" customHeight="1" x14ac:dyDescent="0.2">
      <c r="D527" s="197"/>
      <c r="E527" s="197"/>
      <c r="F527" s="197"/>
    </row>
    <row r="528" spans="4:6" ht="15" customHeight="1" x14ac:dyDescent="0.2">
      <c r="D528" s="197"/>
      <c r="E528" s="197"/>
      <c r="F528" s="197"/>
    </row>
    <row r="529" spans="4:6" ht="15" customHeight="1" x14ac:dyDescent="0.2">
      <c r="D529" s="197"/>
      <c r="E529" s="197"/>
      <c r="F529" s="197"/>
    </row>
    <row r="530" spans="4:6" ht="15" customHeight="1" x14ac:dyDescent="0.2">
      <c r="D530" s="197"/>
      <c r="E530" s="197"/>
      <c r="F530" s="197"/>
    </row>
    <row r="531" spans="4:6" ht="15" customHeight="1" x14ac:dyDescent="0.2">
      <c r="D531" s="197"/>
      <c r="E531" s="197"/>
      <c r="F531" s="197"/>
    </row>
    <row r="532" spans="4:6" ht="15" customHeight="1" x14ac:dyDescent="0.2">
      <c r="D532" s="197"/>
      <c r="E532" s="197"/>
      <c r="F532" s="197"/>
    </row>
    <row r="533" spans="4:6" ht="15" customHeight="1" x14ac:dyDescent="0.2">
      <c r="D533" s="197"/>
      <c r="E533" s="197"/>
      <c r="F533" s="197"/>
    </row>
    <row r="534" spans="4:6" ht="15" customHeight="1" x14ac:dyDescent="0.2">
      <c r="D534" s="197"/>
      <c r="E534" s="197"/>
      <c r="F534" s="197"/>
    </row>
    <row r="535" spans="4:6" ht="15" customHeight="1" x14ac:dyDescent="0.2">
      <c r="D535" s="197"/>
      <c r="E535" s="197"/>
      <c r="F535" s="197"/>
    </row>
    <row r="536" spans="4:6" ht="15" customHeight="1" x14ac:dyDescent="0.2">
      <c r="D536" s="197"/>
      <c r="E536" s="197"/>
      <c r="F536" s="197"/>
    </row>
    <row r="537" spans="4:6" ht="15" customHeight="1" x14ac:dyDescent="0.2">
      <c r="D537" s="197"/>
      <c r="E537" s="197"/>
      <c r="F537" s="197"/>
    </row>
    <row r="538" spans="4:6" ht="15" customHeight="1" x14ac:dyDescent="0.2">
      <c r="D538" s="197"/>
      <c r="E538" s="197"/>
      <c r="F538" s="197"/>
    </row>
    <row r="539" spans="4:6" ht="15" customHeight="1" x14ac:dyDescent="0.2">
      <c r="D539" s="197"/>
      <c r="E539" s="197"/>
      <c r="F539" s="197"/>
    </row>
    <row r="540" spans="4:6" ht="15" customHeight="1" x14ac:dyDescent="0.2">
      <c r="D540" s="197"/>
      <c r="E540" s="197"/>
      <c r="F540" s="197"/>
    </row>
    <row r="541" spans="4:6" ht="15" customHeight="1" x14ac:dyDescent="0.2">
      <c r="D541" s="197"/>
      <c r="E541" s="197"/>
      <c r="F541" s="197"/>
    </row>
    <row r="542" spans="4:6" ht="15" customHeight="1" x14ac:dyDescent="0.2">
      <c r="D542" s="197"/>
      <c r="E542" s="197"/>
      <c r="F542" s="197"/>
    </row>
    <row r="543" spans="4:6" ht="15" customHeight="1" x14ac:dyDescent="0.2">
      <c r="D543" s="197"/>
      <c r="E543" s="197"/>
      <c r="F543" s="197"/>
    </row>
    <row r="544" spans="4:6" ht="15" customHeight="1" x14ac:dyDescent="0.2">
      <c r="D544" s="197"/>
      <c r="E544" s="197"/>
      <c r="F544" s="197"/>
    </row>
    <row r="545" spans="4:6" ht="15" customHeight="1" x14ac:dyDescent="0.2">
      <c r="D545" s="197"/>
      <c r="E545" s="197"/>
      <c r="F545" s="197"/>
    </row>
    <row r="546" spans="4:6" ht="15" customHeight="1" x14ac:dyDescent="0.2">
      <c r="D546" s="197"/>
      <c r="E546" s="197"/>
      <c r="F546" s="197"/>
    </row>
    <row r="547" spans="4:6" ht="15" customHeight="1" x14ac:dyDescent="0.2">
      <c r="D547" s="197"/>
      <c r="E547" s="197"/>
      <c r="F547" s="197"/>
    </row>
    <row r="548" spans="4:6" ht="15" customHeight="1" x14ac:dyDescent="0.2">
      <c r="D548" s="197"/>
      <c r="E548" s="197"/>
      <c r="F548" s="197"/>
    </row>
    <row r="549" spans="4:6" ht="15" customHeight="1" x14ac:dyDescent="0.2">
      <c r="D549" s="197"/>
      <c r="E549" s="197"/>
      <c r="F549" s="197"/>
    </row>
    <row r="550" spans="4:6" ht="15" customHeight="1" x14ac:dyDescent="0.2">
      <c r="D550" s="197"/>
      <c r="E550" s="197"/>
      <c r="F550" s="197"/>
    </row>
    <row r="551" spans="4:6" ht="15" customHeight="1" x14ac:dyDescent="0.2">
      <c r="D551" s="197"/>
      <c r="E551" s="197"/>
      <c r="F551" s="197"/>
    </row>
    <row r="552" spans="4:6" ht="15" customHeight="1" x14ac:dyDescent="0.2">
      <c r="D552" s="197"/>
      <c r="E552" s="197"/>
      <c r="F552" s="197"/>
    </row>
    <row r="553" spans="4:6" ht="15" customHeight="1" x14ac:dyDescent="0.2">
      <c r="D553" s="197"/>
      <c r="E553" s="197"/>
      <c r="F553" s="197"/>
    </row>
    <row r="554" spans="4:6" ht="15" customHeight="1" x14ac:dyDescent="0.2">
      <c r="D554" s="197"/>
      <c r="E554" s="197"/>
      <c r="F554" s="197"/>
    </row>
    <row r="555" spans="4:6" ht="15" customHeight="1" x14ac:dyDescent="0.2">
      <c r="D555" s="197"/>
      <c r="E555" s="197"/>
      <c r="F555" s="197"/>
    </row>
    <row r="556" spans="4:6" ht="15" customHeight="1" x14ac:dyDescent="0.2">
      <c r="D556" s="197"/>
      <c r="E556" s="197"/>
      <c r="F556" s="197"/>
    </row>
    <row r="557" spans="4:6" ht="15" customHeight="1" x14ac:dyDescent="0.2">
      <c r="D557" s="197"/>
      <c r="E557" s="197"/>
      <c r="F557" s="197"/>
    </row>
    <row r="558" spans="4:6" ht="15" customHeight="1" x14ac:dyDescent="0.2">
      <c r="D558" s="197"/>
      <c r="E558" s="197"/>
      <c r="F558" s="197"/>
    </row>
    <row r="559" spans="4:6" ht="15" customHeight="1" x14ac:dyDescent="0.2">
      <c r="D559" s="197"/>
      <c r="E559" s="197"/>
      <c r="F559" s="197"/>
    </row>
    <row r="560" spans="4:6" ht="15" customHeight="1" x14ac:dyDescent="0.2">
      <c r="D560" s="197"/>
      <c r="E560" s="197"/>
      <c r="F560" s="197"/>
    </row>
    <row r="561" spans="4:6" ht="15" customHeight="1" x14ac:dyDescent="0.2">
      <c r="D561" s="197"/>
      <c r="E561" s="197"/>
      <c r="F561" s="197"/>
    </row>
    <row r="562" spans="4:6" ht="15" customHeight="1" x14ac:dyDescent="0.2">
      <c r="D562" s="197"/>
      <c r="E562" s="197"/>
      <c r="F562" s="197"/>
    </row>
    <row r="563" spans="4:6" ht="15" customHeight="1" x14ac:dyDescent="0.2">
      <c r="D563" s="197"/>
      <c r="E563" s="197"/>
      <c r="F563" s="197"/>
    </row>
    <row r="564" spans="4:6" ht="15" customHeight="1" x14ac:dyDescent="0.2">
      <c r="D564" s="197"/>
      <c r="E564" s="197"/>
      <c r="F564" s="197"/>
    </row>
    <row r="565" spans="4:6" ht="15" customHeight="1" x14ac:dyDescent="0.2">
      <c r="D565" s="197"/>
      <c r="E565" s="197"/>
      <c r="F565" s="197"/>
    </row>
    <row r="566" spans="4:6" ht="15" customHeight="1" x14ac:dyDescent="0.2">
      <c r="D566" s="197"/>
      <c r="E566" s="197"/>
      <c r="F566" s="197"/>
    </row>
    <row r="567" spans="4:6" ht="15" customHeight="1" x14ac:dyDescent="0.2">
      <c r="D567" s="197"/>
      <c r="E567" s="197"/>
      <c r="F567" s="197"/>
    </row>
    <row r="568" spans="4:6" ht="15" customHeight="1" x14ac:dyDescent="0.2">
      <c r="D568" s="197"/>
      <c r="E568" s="197"/>
      <c r="F568" s="197"/>
    </row>
    <row r="569" spans="4:6" ht="15" customHeight="1" x14ac:dyDescent="0.2">
      <c r="D569" s="197"/>
      <c r="E569" s="197"/>
      <c r="F569" s="197"/>
    </row>
    <row r="570" spans="4:6" ht="15" customHeight="1" x14ac:dyDescent="0.2">
      <c r="D570" s="197"/>
      <c r="E570" s="197"/>
      <c r="F570" s="197"/>
    </row>
    <row r="571" spans="4:6" ht="15" customHeight="1" x14ac:dyDescent="0.2">
      <c r="D571" s="197"/>
      <c r="E571" s="197"/>
      <c r="F571" s="197"/>
    </row>
    <row r="572" spans="4:6" ht="15" customHeight="1" x14ac:dyDescent="0.2">
      <c r="D572" s="197"/>
      <c r="E572" s="197"/>
      <c r="F572" s="197"/>
    </row>
    <row r="573" spans="4:6" ht="15" customHeight="1" x14ac:dyDescent="0.2">
      <c r="D573" s="197"/>
      <c r="E573" s="197"/>
      <c r="F573" s="197"/>
    </row>
    <row r="574" spans="4:6" ht="15" customHeight="1" x14ac:dyDescent="0.2">
      <c r="D574" s="197"/>
      <c r="E574" s="197"/>
      <c r="F574" s="197"/>
    </row>
    <row r="575" spans="4:6" ht="15" customHeight="1" x14ac:dyDescent="0.2">
      <c r="D575" s="197"/>
      <c r="E575" s="197"/>
      <c r="F575" s="197"/>
    </row>
    <row r="576" spans="4:6" ht="15" customHeight="1" x14ac:dyDescent="0.2">
      <c r="D576" s="197"/>
      <c r="E576" s="197"/>
      <c r="F576" s="197"/>
    </row>
    <row r="577" spans="4:6" ht="15" customHeight="1" x14ac:dyDescent="0.2">
      <c r="D577" s="197"/>
      <c r="E577" s="197"/>
      <c r="F577" s="197"/>
    </row>
    <row r="578" spans="4:6" ht="15" customHeight="1" x14ac:dyDescent="0.2">
      <c r="D578" s="197"/>
      <c r="E578" s="197"/>
      <c r="F578" s="197"/>
    </row>
    <row r="579" spans="4:6" ht="15" customHeight="1" x14ac:dyDescent="0.2">
      <c r="D579" s="197"/>
      <c r="E579" s="197"/>
      <c r="F579" s="197"/>
    </row>
    <row r="580" spans="4:6" ht="15" customHeight="1" x14ac:dyDescent="0.2">
      <c r="D580" s="197"/>
      <c r="E580" s="197"/>
      <c r="F580" s="197"/>
    </row>
    <row r="581" spans="4:6" ht="15" customHeight="1" x14ac:dyDescent="0.2">
      <c r="D581" s="197"/>
      <c r="E581" s="197"/>
      <c r="F581" s="197"/>
    </row>
    <row r="582" spans="4:6" ht="15" customHeight="1" x14ac:dyDescent="0.2">
      <c r="D582" s="197"/>
      <c r="E582" s="197"/>
      <c r="F582" s="197"/>
    </row>
    <row r="583" spans="4:6" ht="15" customHeight="1" x14ac:dyDescent="0.2">
      <c r="D583" s="197"/>
      <c r="E583" s="197"/>
      <c r="F583" s="197"/>
    </row>
    <row r="584" spans="4:6" ht="15" customHeight="1" x14ac:dyDescent="0.2">
      <c r="D584" s="197"/>
      <c r="E584" s="197"/>
      <c r="F584" s="197"/>
    </row>
    <row r="585" spans="4:6" ht="15" customHeight="1" x14ac:dyDescent="0.2">
      <c r="D585" s="197"/>
      <c r="E585" s="197"/>
      <c r="F585" s="197"/>
    </row>
    <row r="586" spans="4:6" ht="15" customHeight="1" x14ac:dyDescent="0.2">
      <c r="D586" s="197"/>
      <c r="E586" s="197"/>
      <c r="F586" s="197"/>
    </row>
    <row r="587" spans="4:6" ht="15" customHeight="1" x14ac:dyDescent="0.2">
      <c r="D587" s="197"/>
      <c r="E587" s="197"/>
      <c r="F587" s="197"/>
    </row>
    <row r="588" spans="4:6" ht="15" customHeight="1" x14ac:dyDescent="0.2">
      <c r="D588" s="197"/>
      <c r="E588" s="197"/>
      <c r="F588" s="197"/>
    </row>
    <row r="589" spans="4:6" ht="15" customHeight="1" x14ac:dyDescent="0.2">
      <c r="D589" s="197"/>
      <c r="E589" s="197"/>
      <c r="F589" s="197"/>
    </row>
    <row r="590" spans="4:6" ht="15" customHeight="1" x14ac:dyDescent="0.2">
      <c r="D590" s="197"/>
      <c r="E590" s="197"/>
      <c r="F590" s="197"/>
    </row>
    <row r="591" spans="4:6" ht="15" customHeight="1" x14ac:dyDescent="0.2">
      <c r="D591" s="197"/>
      <c r="E591" s="197"/>
      <c r="F591" s="197"/>
    </row>
    <row r="592" spans="4:6" ht="15" customHeight="1" x14ac:dyDescent="0.2">
      <c r="D592" s="197"/>
      <c r="E592" s="197"/>
      <c r="F592" s="197"/>
    </row>
    <row r="593" spans="4:6" ht="15" customHeight="1" x14ac:dyDescent="0.2">
      <c r="D593" s="197"/>
      <c r="E593" s="197"/>
      <c r="F593" s="197"/>
    </row>
    <row r="594" spans="4:6" ht="15" customHeight="1" x14ac:dyDescent="0.2">
      <c r="D594" s="197"/>
      <c r="E594" s="197"/>
      <c r="F594" s="197"/>
    </row>
    <row r="595" spans="4:6" ht="15" customHeight="1" x14ac:dyDescent="0.2">
      <c r="D595" s="197"/>
      <c r="E595" s="197"/>
      <c r="F595" s="197"/>
    </row>
    <row r="596" spans="4:6" ht="15" customHeight="1" x14ac:dyDescent="0.2">
      <c r="D596" s="197"/>
      <c r="E596" s="197"/>
      <c r="F596" s="197"/>
    </row>
    <row r="597" spans="4:6" ht="15" customHeight="1" x14ac:dyDescent="0.2">
      <c r="D597" s="197"/>
      <c r="E597" s="197"/>
      <c r="F597" s="197"/>
    </row>
    <row r="598" spans="4:6" ht="15" customHeight="1" x14ac:dyDescent="0.2">
      <c r="D598" s="197"/>
      <c r="E598" s="197"/>
      <c r="F598" s="197"/>
    </row>
    <row r="599" spans="4:6" ht="15" customHeight="1" x14ac:dyDescent="0.2">
      <c r="D599" s="197"/>
      <c r="E599" s="197"/>
      <c r="F599" s="197"/>
    </row>
    <row r="600" spans="4:6" ht="15" customHeight="1" x14ac:dyDescent="0.2">
      <c r="D600" s="197"/>
      <c r="E600" s="197"/>
      <c r="F600" s="197"/>
    </row>
    <row r="601" spans="4:6" ht="15" customHeight="1" x14ac:dyDescent="0.2">
      <c r="D601" s="197"/>
      <c r="E601" s="197"/>
      <c r="F601" s="197"/>
    </row>
    <row r="602" spans="4:6" ht="15" customHeight="1" x14ac:dyDescent="0.2">
      <c r="D602" s="197"/>
      <c r="E602" s="197"/>
      <c r="F602" s="197"/>
    </row>
    <row r="603" spans="4:6" ht="15" customHeight="1" x14ac:dyDescent="0.2">
      <c r="D603" s="197"/>
      <c r="E603" s="197"/>
      <c r="F603" s="197"/>
    </row>
    <row r="604" spans="4:6" ht="15" customHeight="1" x14ac:dyDescent="0.2">
      <c r="D604" s="197"/>
      <c r="E604" s="197"/>
      <c r="F604" s="197"/>
    </row>
    <row r="605" spans="4:6" ht="15" customHeight="1" x14ac:dyDescent="0.2">
      <c r="D605" s="197"/>
      <c r="E605" s="197"/>
      <c r="F605" s="197"/>
    </row>
    <row r="606" spans="4:6" ht="15" customHeight="1" x14ac:dyDescent="0.2">
      <c r="D606" s="197"/>
      <c r="E606" s="197"/>
      <c r="F606" s="197"/>
    </row>
    <row r="607" spans="4:6" ht="15" customHeight="1" x14ac:dyDescent="0.2">
      <c r="D607" s="197"/>
      <c r="E607" s="197"/>
      <c r="F607" s="197"/>
    </row>
    <row r="608" spans="4:6" ht="15" customHeight="1" x14ac:dyDescent="0.2">
      <c r="D608" s="197"/>
      <c r="E608" s="197"/>
      <c r="F608" s="197"/>
    </row>
    <row r="609" spans="4:6" ht="15" customHeight="1" x14ac:dyDescent="0.2">
      <c r="D609" s="197"/>
      <c r="E609" s="197"/>
      <c r="F609" s="197"/>
    </row>
    <row r="610" spans="4:6" ht="15" customHeight="1" x14ac:dyDescent="0.2">
      <c r="D610" s="197"/>
      <c r="E610" s="197"/>
      <c r="F610" s="197"/>
    </row>
    <row r="611" spans="4:6" ht="15" customHeight="1" x14ac:dyDescent="0.2">
      <c r="D611" s="197"/>
      <c r="E611" s="197"/>
      <c r="F611" s="197"/>
    </row>
    <row r="612" spans="4:6" ht="15" customHeight="1" x14ac:dyDescent="0.2">
      <c r="D612" s="197"/>
      <c r="E612" s="197"/>
      <c r="F612" s="197"/>
    </row>
    <row r="613" spans="4:6" ht="15" customHeight="1" x14ac:dyDescent="0.2">
      <c r="D613" s="197"/>
      <c r="E613" s="197"/>
      <c r="F613" s="197"/>
    </row>
    <row r="614" spans="4:6" ht="15" customHeight="1" x14ac:dyDescent="0.2">
      <c r="D614" s="197"/>
      <c r="E614" s="197"/>
      <c r="F614" s="197"/>
    </row>
    <row r="615" spans="4:6" ht="15" customHeight="1" x14ac:dyDescent="0.2">
      <c r="D615" s="197"/>
      <c r="E615" s="197"/>
      <c r="F615" s="197"/>
    </row>
    <row r="616" spans="4:6" ht="15" customHeight="1" x14ac:dyDescent="0.2">
      <c r="D616" s="197"/>
      <c r="E616" s="197"/>
      <c r="F616" s="197"/>
    </row>
    <row r="617" spans="4:6" ht="15" customHeight="1" x14ac:dyDescent="0.2">
      <c r="D617" s="197"/>
      <c r="E617" s="197"/>
      <c r="F617" s="197"/>
    </row>
    <row r="618" spans="4:6" ht="15" customHeight="1" x14ac:dyDescent="0.2">
      <c r="D618" s="197"/>
      <c r="E618" s="197"/>
      <c r="F618" s="197"/>
    </row>
    <row r="619" spans="4:6" ht="15" customHeight="1" x14ac:dyDescent="0.2">
      <c r="D619" s="197"/>
      <c r="E619" s="197"/>
      <c r="F619" s="197"/>
    </row>
    <row r="620" spans="4:6" ht="15" customHeight="1" x14ac:dyDescent="0.2">
      <c r="D620" s="197"/>
      <c r="E620" s="197"/>
      <c r="F620" s="197"/>
    </row>
    <row r="621" spans="4:6" ht="15" customHeight="1" x14ac:dyDescent="0.2">
      <c r="D621" s="197"/>
      <c r="E621" s="197"/>
      <c r="F621" s="197"/>
    </row>
    <row r="622" spans="4:6" ht="15" customHeight="1" x14ac:dyDescent="0.2">
      <c r="D622" s="197"/>
      <c r="E622" s="197"/>
      <c r="F622" s="197"/>
    </row>
    <row r="623" spans="4:6" ht="15" customHeight="1" x14ac:dyDescent="0.2">
      <c r="D623" s="197"/>
      <c r="E623" s="197"/>
      <c r="F623" s="197"/>
    </row>
    <row r="624" spans="4:6" ht="15" customHeight="1" x14ac:dyDescent="0.2">
      <c r="D624" s="197"/>
      <c r="E624" s="197"/>
      <c r="F624" s="197"/>
    </row>
    <row r="625" spans="4:6" ht="15" customHeight="1" x14ac:dyDescent="0.2">
      <c r="D625" s="197"/>
      <c r="E625" s="197"/>
      <c r="F625" s="197"/>
    </row>
    <row r="626" spans="4:6" ht="15" customHeight="1" x14ac:dyDescent="0.2">
      <c r="D626" s="197"/>
      <c r="E626" s="197"/>
      <c r="F626" s="197"/>
    </row>
    <row r="627" spans="4:6" ht="15" customHeight="1" x14ac:dyDescent="0.2">
      <c r="D627" s="197"/>
      <c r="E627" s="197"/>
      <c r="F627" s="197"/>
    </row>
    <row r="628" spans="4:6" ht="15" customHeight="1" x14ac:dyDescent="0.2">
      <c r="D628" s="197"/>
      <c r="E628" s="197"/>
      <c r="F628" s="197"/>
    </row>
    <row r="629" spans="4:6" ht="15" customHeight="1" x14ac:dyDescent="0.2">
      <c r="D629" s="197"/>
      <c r="E629" s="197"/>
      <c r="F629" s="197"/>
    </row>
    <row r="630" spans="4:6" ht="15" customHeight="1" x14ac:dyDescent="0.2">
      <c r="D630" s="197"/>
      <c r="E630" s="197"/>
      <c r="F630" s="197"/>
    </row>
    <row r="631" spans="4:6" ht="15" customHeight="1" x14ac:dyDescent="0.2">
      <c r="D631" s="197"/>
      <c r="E631" s="197"/>
      <c r="F631" s="197"/>
    </row>
    <row r="632" spans="4:6" ht="15" customHeight="1" x14ac:dyDescent="0.2">
      <c r="D632" s="197"/>
      <c r="E632" s="197"/>
      <c r="F632" s="197"/>
    </row>
    <row r="633" spans="4:6" ht="15" customHeight="1" x14ac:dyDescent="0.2">
      <c r="D633" s="197"/>
      <c r="E633" s="197"/>
      <c r="F633" s="197"/>
    </row>
    <row r="634" spans="4:6" ht="15" customHeight="1" x14ac:dyDescent="0.2">
      <c r="D634" s="197"/>
      <c r="E634" s="197"/>
      <c r="F634" s="197"/>
    </row>
    <row r="635" spans="4:6" ht="15" customHeight="1" x14ac:dyDescent="0.2">
      <c r="D635" s="197"/>
      <c r="E635" s="197"/>
      <c r="F635" s="197"/>
    </row>
    <row r="636" spans="4:6" ht="15" customHeight="1" x14ac:dyDescent="0.2">
      <c r="D636" s="197"/>
      <c r="E636" s="197"/>
      <c r="F636" s="197"/>
    </row>
    <row r="637" spans="4:6" ht="15" customHeight="1" x14ac:dyDescent="0.2">
      <c r="D637" s="197"/>
      <c r="E637" s="197"/>
      <c r="F637" s="197"/>
    </row>
    <row r="638" spans="4:6" ht="15" customHeight="1" x14ac:dyDescent="0.2">
      <c r="D638" s="197"/>
      <c r="E638" s="197"/>
      <c r="F638" s="197"/>
    </row>
    <row r="639" spans="4:6" ht="15" customHeight="1" x14ac:dyDescent="0.2">
      <c r="D639" s="197"/>
      <c r="E639" s="197"/>
      <c r="F639" s="197"/>
    </row>
    <row r="640" spans="4:6" ht="15" customHeight="1" x14ac:dyDescent="0.2">
      <c r="D640" s="197"/>
      <c r="E640" s="197"/>
      <c r="F640" s="197"/>
    </row>
    <row r="641" spans="4:6" ht="15" customHeight="1" x14ac:dyDescent="0.2">
      <c r="D641" s="197"/>
      <c r="E641" s="197"/>
      <c r="F641" s="197"/>
    </row>
    <row r="642" spans="4:6" ht="15" customHeight="1" x14ac:dyDescent="0.2">
      <c r="D642" s="197"/>
      <c r="E642" s="197"/>
      <c r="F642" s="197"/>
    </row>
    <row r="643" spans="4:6" ht="15" customHeight="1" x14ac:dyDescent="0.2">
      <c r="D643" s="197"/>
      <c r="E643" s="197"/>
      <c r="F643" s="197"/>
    </row>
    <row r="644" spans="4:6" ht="15" customHeight="1" x14ac:dyDescent="0.2">
      <c r="D644" s="197"/>
      <c r="E644" s="197"/>
      <c r="F644" s="197"/>
    </row>
    <row r="645" spans="4:6" ht="15" customHeight="1" x14ac:dyDescent="0.2">
      <c r="D645" s="197"/>
      <c r="E645" s="197"/>
      <c r="F645" s="197"/>
    </row>
    <row r="646" spans="4:6" ht="15" customHeight="1" x14ac:dyDescent="0.2">
      <c r="D646" s="197"/>
      <c r="E646" s="197"/>
      <c r="F646" s="197"/>
    </row>
    <row r="647" spans="4:6" ht="15" customHeight="1" x14ac:dyDescent="0.2">
      <c r="D647" s="197"/>
      <c r="E647" s="197"/>
      <c r="F647" s="197"/>
    </row>
    <row r="648" spans="4:6" ht="15" customHeight="1" x14ac:dyDescent="0.2">
      <c r="D648" s="197"/>
      <c r="E648" s="197"/>
      <c r="F648" s="197"/>
    </row>
    <row r="649" spans="4:6" ht="15" customHeight="1" x14ac:dyDescent="0.2">
      <c r="D649" s="197"/>
      <c r="E649" s="197"/>
      <c r="F649" s="197"/>
    </row>
    <row r="650" spans="4:6" ht="15" customHeight="1" x14ac:dyDescent="0.2">
      <c r="D650" s="197"/>
      <c r="E650" s="197"/>
      <c r="F650" s="197"/>
    </row>
    <row r="651" spans="4:6" ht="15" customHeight="1" x14ac:dyDescent="0.2">
      <c r="D651" s="197"/>
      <c r="E651" s="197"/>
      <c r="F651" s="197"/>
    </row>
    <row r="652" spans="4:6" ht="15" customHeight="1" x14ac:dyDescent="0.2">
      <c r="D652" s="197"/>
      <c r="E652" s="197"/>
      <c r="F652" s="197"/>
    </row>
    <row r="653" spans="4:6" ht="15" customHeight="1" x14ac:dyDescent="0.2">
      <c r="D653" s="197"/>
      <c r="E653" s="197"/>
      <c r="F653" s="197"/>
    </row>
    <row r="654" spans="4:6" ht="15" customHeight="1" x14ac:dyDescent="0.2">
      <c r="D654" s="197"/>
      <c r="E654" s="197"/>
      <c r="F654" s="197"/>
    </row>
    <row r="655" spans="4:6" ht="15" customHeight="1" x14ac:dyDescent="0.2">
      <c r="D655" s="197"/>
      <c r="E655" s="197"/>
      <c r="F655" s="197"/>
    </row>
    <row r="656" spans="4:6" ht="15" customHeight="1" x14ac:dyDescent="0.2">
      <c r="D656" s="197"/>
      <c r="E656" s="197"/>
      <c r="F656" s="197"/>
    </row>
    <row r="657" spans="4:6" ht="15" customHeight="1" x14ac:dyDescent="0.2">
      <c r="D657" s="197"/>
      <c r="E657" s="197"/>
      <c r="F657" s="197"/>
    </row>
    <row r="658" spans="4:6" ht="15" customHeight="1" x14ac:dyDescent="0.2">
      <c r="D658" s="197"/>
      <c r="E658" s="197"/>
      <c r="F658" s="197"/>
    </row>
    <row r="659" spans="4:6" ht="15" customHeight="1" x14ac:dyDescent="0.2">
      <c r="D659" s="197"/>
      <c r="E659" s="197"/>
      <c r="F659" s="197"/>
    </row>
    <row r="660" spans="4:6" ht="15" customHeight="1" x14ac:dyDescent="0.2">
      <c r="D660" s="197"/>
      <c r="E660" s="197"/>
      <c r="F660" s="197"/>
    </row>
    <row r="661" spans="4:6" ht="15" customHeight="1" x14ac:dyDescent="0.2">
      <c r="D661" s="197"/>
      <c r="E661" s="197"/>
      <c r="F661" s="197"/>
    </row>
    <row r="662" spans="4:6" ht="15" customHeight="1" x14ac:dyDescent="0.2">
      <c r="D662" s="197"/>
      <c r="E662" s="197"/>
      <c r="F662" s="197"/>
    </row>
    <row r="663" spans="4:6" ht="15" customHeight="1" x14ac:dyDescent="0.2">
      <c r="D663" s="197"/>
      <c r="E663" s="197"/>
      <c r="F663" s="197"/>
    </row>
    <row r="664" spans="4:6" ht="15" customHeight="1" x14ac:dyDescent="0.2">
      <c r="D664" s="197"/>
      <c r="E664" s="197"/>
      <c r="F664" s="197"/>
    </row>
    <row r="665" spans="4:6" ht="15" customHeight="1" x14ac:dyDescent="0.2">
      <c r="D665" s="197"/>
      <c r="E665" s="197"/>
      <c r="F665" s="197"/>
    </row>
    <row r="666" spans="4:6" ht="15" customHeight="1" x14ac:dyDescent="0.2">
      <c r="D666" s="197"/>
      <c r="E666" s="197"/>
      <c r="F666" s="197"/>
    </row>
    <row r="667" spans="4:6" ht="15" customHeight="1" x14ac:dyDescent="0.2">
      <c r="D667" s="197"/>
      <c r="E667" s="197"/>
      <c r="F667" s="197"/>
    </row>
    <row r="668" spans="4:6" ht="15" customHeight="1" x14ac:dyDescent="0.2">
      <c r="D668" s="197"/>
      <c r="E668" s="197"/>
      <c r="F668" s="197"/>
    </row>
    <row r="669" spans="4:6" ht="15" customHeight="1" x14ac:dyDescent="0.2">
      <c r="D669" s="197"/>
      <c r="E669" s="197"/>
      <c r="F669" s="197"/>
    </row>
    <row r="670" spans="4:6" ht="15" customHeight="1" x14ac:dyDescent="0.2">
      <c r="D670" s="197"/>
      <c r="E670" s="197"/>
      <c r="F670" s="197"/>
    </row>
    <row r="671" spans="4:6" ht="15" customHeight="1" x14ac:dyDescent="0.2">
      <c r="D671" s="197"/>
      <c r="E671" s="197"/>
      <c r="F671" s="197"/>
    </row>
    <row r="672" spans="4:6" ht="15" customHeight="1" x14ac:dyDescent="0.2">
      <c r="D672" s="197"/>
      <c r="E672" s="197"/>
      <c r="F672" s="197"/>
    </row>
    <row r="673" spans="4:6" ht="15" customHeight="1" x14ac:dyDescent="0.2">
      <c r="D673" s="197"/>
      <c r="E673" s="197"/>
      <c r="F673" s="197"/>
    </row>
    <row r="674" spans="4:6" ht="15" customHeight="1" x14ac:dyDescent="0.2">
      <c r="D674" s="197"/>
      <c r="E674" s="197"/>
      <c r="F674" s="197"/>
    </row>
    <row r="675" spans="4:6" ht="15" customHeight="1" x14ac:dyDescent="0.2">
      <c r="D675" s="197"/>
      <c r="E675" s="197"/>
      <c r="F675" s="197"/>
    </row>
    <row r="676" spans="4:6" ht="15" customHeight="1" x14ac:dyDescent="0.2">
      <c r="D676" s="197"/>
      <c r="E676" s="197"/>
      <c r="F676" s="197"/>
    </row>
    <row r="677" spans="4:6" ht="15" customHeight="1" x14ac:dyDescent="0.2">
      <c r="D677" s="197"/>
      <c r="E677" s="197"/>
      <c r="F677" s="197"/>
    </row>
    <row r="678" spans="4:6" ht="15" customHeight="1" x14ac:dyDescent="0.2">
      <c r="D678" s="197"/>
      <c r="E678" s="197"/>
      <c r="F678" s="197"/>
    </row>
    <row r="679" spans="4:6" ht="15" customHeight="1" x14ac:dyDescent="0.2">
      <c r="D679" s="197"/>
      <c r="E679" s="197"/>
      <c r="F679" s="197"/>
    </row>
    <row r="680" spans="4:6" ht="15" customHeight="1" x14ac:dyDescent="0.2">
      <c r="D680" s="197"/>
      <c r="E680" s="197"/>
      <c r="F680" s="197"/>
    </row>
    <row r="681" spans="4:6" ht="15" customHeight="1" x14ac:dyDescent="0.2">
      <c r="D681" s="197"/>
      <c r="E681" s="197"/>
      <c r="F681" s="197"/>
    </row>
    <row r="682" spans="4:6" ht="15" customHeight="1" x14ac:dyDescent="0.2">
      <c r="D682" s="197"/>
      <c r="E682" s="197"/>
      <c r="F682" s="197"/>
    </row>
    <row r="683" spans="4:6" ht="15" customHeight="1" x14ac:dyDescent="0.2">
      <c r="D683" s="197"/>
      <c r="E683" s="197"/>
      <c r="F683" s="197"/>
    </row>
    <row r="684" spans="4:6" ht="15" customHeight="1" x14ac:dyDescent="0.2">
      <c r="D684" s="197"/>
      <c r="E684" s="197"/>
      <c r="F684" s="197"/>
    </row>
    <row r="685" spans="4:6" ht="15" customHeight="1" x14ac:dyDescent="0.2">
      <c r="D685" s="197"/>
      <c r="E685" s="197"/>
      <c r="F685" s="197"/>
    </row>
    <row r="686" spans="4:6" ht="15" customHeight="1" x14ac:dyDescent="0.2">
      <c r="D686" s="197"/>
      <c r="E686" s="197"/>
      <c r="F686" s="197"/>
    </row>
    <row r="687" spans="4:6" ht="15" customHeight="1" x14ac:dyDescent="0.2">
      <c r="D687" s="197"/>
      <c r="E687" s="197"/>
      <c r="F687" s="197"/>
    </row>
    <row r="688" spans="4:6" ht="15" customHeight="1" x14ac:dyDescent="0.2">
      <c r="D688" s="197"/>
      <c r="E688" s="197"/>
      <c r="F688" s="197"/>
    </row>
    <row r="689" spans="4:6" ht="15" customHeight="1" x14ac:dyDescent="0.2">
      <c r="D689" s="197"/>
      <c r="E689" s="197"/>
      <c r="F689" s="197"/>
    </row>
    <row r="690" spans="4:6" ht="15" customHeight="1" x14ac:dyDescent="0.2">
      <c r="D690" s="197"/>
      <c r="E690" s="197"/>
      <c r="F690" s="197"/>
    </row>
    <row r="691" spans="4:6" ht="15" customHeight="1" x14ac:dyDescent="0.2">
      <c r="D691" s="197"/>
      <c r="E691" s="197"/>
      <c r="F691" s="197"/>
    </row>
    <row r="692" spans="4:6" ht="15" customHeight="1" x14ac:dyDescent="0.2">
      <c r="D692" s="197"/>
      <c r="E692" s="197"/>
      <c r="F692" s="197"/>
    </row>
    <row r="693" spans="4:6" ht="15" customHeight="1" x14ac:dyDescent="0.2">
      <c r="D693" s="197"/>
      <c r="E693" s="197"/>
      <c r="F693" s="197"/>
    </row>
    <row r="694" spans="4:6" ht="15" customHeight="1" x14ac:dyDescent="0.2">
      <c r="D694" s="197"/>
      <c r="E694" s="197"/>
      <c r="F694" s="197"/>
    </row>
    <row r="695" spans="4:6" ht="15" customHeight="1" x14ac:dyDescent="0.2">
      <c r="D695" s="197"/>
      <c r="E695" s="197"/>
      <c r="F695" s="197"/>
    </row>
    <row r="696" spans="4:6" ht="15" customHeight="1" x14ac:dyDescent="0.2">
      <c r="D696" s="197"/>
      <c r="E696" s="197"/>
      <c r="F696" s="197"/>
    </row>
    <row r="697" spans="4:6" ht="15" customHeight="1" x14ac:dyDescent="0.2">
      <c r="D697" s="197"/>
      <c r="E697" s="197"/>
      <c r="F697" s="197"/>
    </row>
    <row r="698" spans="4:6" ht="15" customHeight="1" x14ac:dyDescent="0.2">
      <c r="D698" s="197"/>
      <c r="E698" s="197"/>
      <c r="F698" s="197"/>
    </row>
    <row r="699" spans="4:6" ht="15" customHeight="1" x14ac:dyDescent="0.2">
      <c r="D699" s="197"/>
      <c r="E699" s="197"/>
      <c r="F699" s="197"/>
    </row>
    <row r="700" spans="4:6" ht="15" customHeight="1" x14ac:dyDescent="0.2">
      <c r="D700" s="197"/>
      <c r="E700" s="197"/>
      <c r="F700" s="197"/>
    </row>
    <row r="701" spans="4:6" ht="15" customHeight="1" x14ac:dyDescent="0.2">
      <c r="D701" s="197"/>
      <c r="E701" s="197"/>
      <c r="F701" s="197"/>
    </row>
    <row r="702" spans="4:6" ht="15" customHeight="1" x14ac:dyDescent="0.2">
      <c r="D702" s="197"/>
      <c r="E702" s="197"/>
      <c r="F702" s="197"/>
    </row>
    <row r="703" spans="4:6" ht="15" customHeight="1" x14ac:dyDescent="0.2">
      <c r="D703" s="197"/>
      <c r="E703" s="197"/>
      <c r="F703" s="197"/>
    </row>
    <row r="704" spans="4:6" ht="15" customHeight="1" x14ac:dyDescent="0.2">
      <c r="D704" s="197"/>
      <c r="E704" s="197"/>
      <c r="F704" s="197"/>
    </row>
    <row r="705" spans="4:6" ht="15" customHeight="1" x14ac:dyDescent="0.2">
      <c r="D705" s="197"/>
      <c r="E705" s="197"/>
      <c r="F705" s="197"/>
    </row>
    <row r="706" spans="4:6" ht="15" customHeight="1" x14ac:dyDescent="0.2">
      <c r="D706" s="197"/>
      <c r="E706" s="197"/>
      <c r="F706" s="197"/>
    </row>
    <row r="707" spans="4:6" ht="15" customHeight="1" x14ac:dyDescent="0.2">
      <c r="D707" s="197"/>
      <c r="E707" s="197"/>
      <c r="F707" s="197"/>
    </row>
    <row r="708" spans="4:6" ht="15" customHeight="1" x14ac:dyDescent="0.2">
      <c r="D708" s="197"/>
      <c r="E708" s="197"/>
      <c r="F708" s="197"/>
    </row>
    <row r="709" spans="4:6" ht="15" customHeight="1" x14ac:dyDescent="0.2">
      <c r="D709" s="197"/>
      <c r="E709" s="197"/>
      <c r="F709" s="197"/>
    </row>
    <row r="710" spans="4:6" ht="15" customHeight="1" x14ac:dyDescent="0.2">
      <c r="D710" s="197"/>
      <c r="E710" s="197"/>
      <c r="F710" s="197"/>
    </row>
    <row r="711" spans="4:6" ht="15" customHeight="1" x14ac:dyDescent="0.2">
      <c r="D711" s="197"/>
      <c r="E711" s="197"/>
      <c r="F711" s="197"/>
    </row>
    <row r="712" spans="4:6" ht="15" customHeight="1" x14ac:dyDescent="0.2">
      <c r="D712" s="197"/>
      <c r="E712" s="197"/>
      <c r="F712" s="197"/>
    </row>
    <row r="713" spans="4:6" ht="15" customHeight="1" x14ac:dyDescent="0.2">
      <c r="D713" s="197"/>
      <c r="E713" s="197"/>
      <c r="F713" s="197"/>
    </row>
    <row r="714" spans="4:6" ht="15" customHeight="1" x14ac:dyDescent="0.2">
      <c r="D714" s="197"/>
      <c r="E714" s="197"/>
      <c r="F714" s="197"/>
    </row>
    <row r="715" spans="4:6" ht="15" customHeight="1" x14ac:dyDescent="0.2">
      <c r="D715" s="197"/>
      <c r="E715" s="197"/>
      <c r="F715" s="197"/>
    </row>
    <row r="716" spans="4:6" ht="15" customHeight="1" x14ac:dyDescent="0.2">
      <c r="D716" s="197"/>
      <c r="E716" s="197"/>
      <c r="F716" s="197"/>
    </row>
    <row r="717" spans="4:6" ht="15" customHeight="1" x14ac:dyDescent="0.2">
      <c r="D717" s="197"/>
      <c r="E717" s="197"/>
      <c r="F717" s="197"/>
    </row>
    <row r="718" spans="4:6" ht="15" customHeight="1" x14ac:dyDescent="0.2">
      <c r="D718" s="197"/>
      <c r="E718" s="197"/>
      <c r="F718" s="197"/>
    </row>
    <row r="719" spans="4:6" ht="15" customHeight="1" x14ac:dyDescent="0.2">
      <c r="D719" s="197"/>
      <c r="E719" s="197"/>
      <c r="F719" s="197"/>
    </row>
    <row r="720" spans="4:6" ht="15" customHeight="1" x14ac:dyDescent="0.2">
      <c r="D720" s="197"/>
      <c r="E720" s="197"/>
      <c r="F720" s="197"/>
    </row>
    <row r="721" spans="4:6" ht="15" customHeight="1" x14ac:dyDescent="0.2">
      <c r="D721" s="197"/>
      <c r="E721" s="197"/>
      <c r="F721" s="197"/>
    </row>
    <row r="722" spans="4:6" ht="15" customHeight="1" x14ac:dyDescent="0.2">
      <c r="D722" s="197"/>
      <c r="E722" s="197"/>
      <c r="F722" s="197"/>
    </row>
    <row r="723" spans="4:6" ht="15" customHeight="1" x14ac:dyDescent="0.2">
      <c r="D723" s="197"/>
      <c r="E723" s="197"/>
      <c r="F723" s="197"/>
    </row>
    <row r="724" spans="4:6" ht="15" customHeight="1" x14ac:dyDescent="0.2">
      <c r="D724" s="197"/>
      <c r="E724" s="197"/>
      <c r="F724" s="197"/>
    </row>
    <row r="725" spans="4:6" ht="15" customHeight="1" x14ac:dyDescent="0.2">
      <c r="D725" s="197"/>
      <c r="E725" s="197"/>
      <c r="F725" s="197"/>
    </row>
    <row r="726" spans="4:6" ht="15" customHeight="1" x14ac:dyDescent="0.2">
      <c r="D726" s="197"/>
      <c r="E726" s="197"/>
      <c r="F726" s="197"/>
    </row>
    <row r="727" spans="4:6" ht="15" customHeight="1" x14ac:dyDescent="0.2">
      <c r="D727" s="197"/>
      <c r="E727" s="197"/>
      <c r="F727" s="197"/>
    </row>
    <row r="728" spans="4:6" ht="15" customHeight="1" x14ac:dyDescent="0.2">
      <c r="D728" s="197"/>
      <c r="E728" s="197"/>
      <c r="F728" s="197"/>
    </row>
    <row r="729" spans="4:6" ht="15" customHeight="1" x14ac:dyDescent="0.2">
      <c r="D729" s="197"/>
      <c r="E729" s="197"/>
      <c r="F729" s="197"/>
    </row>
    <row r="730" spans="4:6" ht="15" customHeight="1" x14ac:dyDescent="0.2">
      <c r="D730" s="197"/>
      <c r="E730" s="197"/>
      <c r="F730" s="197"/>
    </row>
    <row r="731" spans="4:6" ht="15" customHeight="1" x14ac:dyDescent="0.2">
      <c r="D731" s="197"/>
      <c r="E731" s="197"/>
      <c r="F731" s="197"/>
    </row>
    <row r="732" spans="4:6" ht="15" customHeight="1" x14ac:dyDescent="0.2">
      <c r="D732" s="197"/>
      <c r="E732" s="197"/>
      <c r="F732" s="197"/>
    </row>
    <row r="733" spans="4:6" ht="15" customHeight="1" x14ac:dyDescent="0.2">
      <c r="D733" s="197"/>
      <c r="E733" s="197"/>
      <c r="F733" s="197"/>
    </row>
    <row r="734" spans="4:6" ht="15" customHeight="1" x14ac:dyDescent="0.2">
      <c r="D734" s="197"/>
      <c r="E734" s="197"/>
      <c r="F734" s="197"/>
    </row>
    <row r="735" spans="4:6" ht="15" customHeight="1" x14ac:dyDescent="0.2">
      <c r="D735" s="197"/>
      <c r="E735" s="197"/>
      <c r="F735" s="197"/>
    </row>
    <row r="736" spans="4:6" ht="15" customHeight="1" x14ac:dyDescent="0.2">
      <c r="D736" s="197"/>
      <c r="E736" s="197"/>
      <c r="F736" s="197"/>
    </row>
    <row r="737" spans="4:6" ht="15" customHeight="1" x14ac:dyDescent="0.2">
      <c r="D737" s="197"/>
      <c r="E737" s="197"/>
      <c r="F737" s="197"/>
    </row>
    <row r="738" spans="4:6" ht="15" customHeight="1" x14ac:dyDescent="0.2">
      <c r="D738" s="197"/>
      <c r="E738" s="197"/>
      <c r="F738" s="197"/>
    </row>
    <row r="739" spans="4:6" ht="15" customHeight="1" x14ac:dyDescent="0.2">
      <c r="D739" s="197"/>
      <c r="E739" s="197"/>
      <c r="F739" s="197"/>
    </row>
    <row r="740" spans="4:6" ht="15" customHeight="1" x14ac:dyDescent="0.2">
      <c r="D740" s="197"/>
      <c r="E740" s="197"/>
      <c r="F740" s="197"/>
    </row>
    <row r="741" spans="4:6" ht="15" customHeight="1" x14ac:dyDescent="0.2">
      <c r="D741" s="197"/>
      <c r="E741" s="197"/>
      <c r="F741" s="197"/>
    </row>
    <row r="742" spans="4:6" ht="15" customHeight="1" x14ac:dyDescent="0.2">
      <c r="D742" s="197"/>
      <c r="E742" s="197"/>
      <c r="F742" s="197"/>
    </row>
    <row r="743" spans="4:6" ht="15" customHeight="1" x14ac:dyDescent="0.2">
      <c r="D743" s="197"/>
      <c r="E743" s="197"/>
      <c r="F743" s="197"/>
    </row>
    <row r="744" spans="4:6" ht="15" customHeight="1" x14ac:dyDescent="0.2">
      <c r="D744" s="197"/>
      <c r="E744" s="197"/>
      <c r="F744" s="197"/>
    </row>
    <row r="745" spans="4:6" ht="15" customHeight="1" x14ac:dyDescent="0.2">
      <c r="D745" s="197"/>
      <c r="E745" s="197"/>
      <c r="F745" s="197"/>
    </row>
    <row r="746" spans="4:6" ht="15" customHeight="1" x14ac:dyDescent="0.2">
      <c r="D746" s="197"/>
      <c r="E746" s="197"/>
      <c r="F746" s="197"/>
    </row>
    <row r="747" spans="4:6" ht="15" customHeight="1" x14ac:dyDescent="0.2">
      <c r="D747" s="197"/>
      <c r="E747" s="197"/>
      <c r="F747" s="197"/>
    </row>
    <row r="748" spans="4:6" ht="15" customHeight="1" x14ac:dyDescent="0.2">
      <c r="D748" s="197"/>
      <c r="E748" s="197"/>
      <c r="F748" s="197"/>
    </row>
    <row r="749" spans="4:6" ht="15" customHeight="1" x14ac:dyDescent="0.2">
      <c r="D749" s="197"/>
      <c r="E749" s="197"/>
      <c r="F749" s="197"/>
    </row>
    <row r="750" spans="4:6" ht="15" customHeight="1" x14ac:dyDescent="0.2">
      <c r="D750" s="197"/>
      <c r="E750" s="197"/>
      <c r="F750" s="197"/>
    </row>
    <row r="751" spans="4:6" ht="15" customHeight="1" x14ac:dyDescent="0.2">
      <c r="D751" s="197"/>
      <c r="E751" s="197"/>
      <c r="F751" s="197"/>
    </row>
    <row r="752" spans="4:6" ht="15" customHeight="1" x14ac:dyDescent="0.2">
      <c r="D752" s="197"/>
      <c r="E752" s="197"/>
      <c r="F752" s="197"/>
    </row>
    <row r="753" spans="4:6" ht="15" customHeight="1" x14ac:dyDescent="0.2">
      <c r="D753" s="197"/>
      <c r="E753" s="197"/>
      <c r="F753" s="197"/>
    </row>
    <row r="754" spans="4:6" ht="15" customHeight="1" x14ac:dyDescent="0.2">
      <c r="D754" s="197"/>
      <c r="E754" s="197"/>
      <c r="F754" s="197"/>
    </row>
    <row r="755" spans="4:6" ht="15" customHeight="1" x14ac:dyDescent="0.2">
      <c r="D755" s="197"/>
      <c r="E755" s="197"/>
      <c r="F755" s="197"/>
    </row>
    <row r="756" spans="4:6" ht="15" customHeight="1" x14ac:dyDescent="0.2">
      <c r="D756" s="197"/>
      <c r="E756" s="197"/>
      <c r="F756" s="197"/>
    </row>
    <row r="757" spans="4:6" ht="15" customHeight="1" x14ac:dyDescent="0.2">
      <c r="D757" s="197"/>
      <c r="E757" s="197"/>
      <c r="F757" s="197"/>
    </row>
    <row r="758" spans="4:6" ht="15" customHeight="1" x14ac:dyDescent="0.2">
      <c r="D758" s="197"/>
      <c r="E758" s="197"/>
      <c r="F758" s="197"/>
    </row>
    <row r="759" spans="4:6" ht="15" customHeight="1" x14ac:dyDescent="0.2">
      <c r="D759" s="197"/>
      <c r="E759" s="197"/>
      <c r="F759" s="197"/>
    </row>
    <row r="760" spans="4:6" ht="15" customHeight="1" x14ac:dyDescent="0.2">
      <c r="D760" s="197"/>
      <c r="E760" s="197"/>
      <c r="F760" s="197"/>
    </row>
    <row r="761" spans="4:6" ht="15" customHeight="1" x14ac:dyDescent="0.2">
      <c r="D761" s="197"/>
      <c r="E761" s="197"/>
      <c r="F761" s="197"/>
    </row>
    <row r="762" spans="4:6" ht="15" customHeight="1" x14ac:dyDescent="0.2">
      <c r="D762" s="197"/>
      <c r="E762" s="197"/>
      <c r="F762" s="197"/>
    </row>
    <row r="763" spans="4:6" ht="15" customHeight="1" x14ac:dyDescent="0.2">
      <c r="D763" s="197"/>
      <c r="E763" s="197"/>
      <c r="F763" s="197"/>
    </row>
    <row r="764" spans="4:6" ht="15" customHeight="1" x14ac:dyDescent="0.2">
      <c r="D764" s="197"/>
      <c r="E764" s="197"/>
      <c r="F764" s="197"/>
    </row>
    <row r="765" spans="4:6" ht="15" customHeight="1" x14ac:dyDescent="0.2">
      <c r="D765" s="197"/>
      <c r="E765" s="197"/>
      <c r="F765" s="197"/>
    </row>
    <row r="766" spans="4:6" ht="15" customHeight="1" x14ac:dyDescent="0.2">
      <c r="D766" s="197"/>
      <c r="E766" s="197"/>
      <c r="F766" s="197"/>
    </row>
    <row r="767" spans="4:6" ht="15" customHeight="1" x14ac:dyDescent="0.2">
      <c r="D767" s="197"/>
      <c r="E767" s="197"/>
      <c r="F767" s="197"/>
    </row>
    <row r="768" spans="4:6" ht="15" customHeight="1" x14ac:dyDescent="0.2">
      <c r="D768" s="197"/>
      <c r="E768" s="197"/>
      <c r="F768" s="197"/>
    </row>
    <row r="769" spans="4:6" ht="15" customHeight="1" x14ac:dyDescent="0.2">
      <c r="D769" s="197"/>
      <c r="E769" s="197"/>
      <c r="F769" s="197"/>
    </row>
    <row r="770" spans="4:6" ht="15" customHeight="1" x14ac:dyDescent="0.2">
      <c r="D770" s="197"/>
      <c r="E770" s="197"/>
      <c r="F770" s="197"/>
    </row>
    <row r="771" spans="4:6" ht="15" customHeight="1" x14ac:dyDescent="0.2">
      <c r="D771" s="197"/>
      <c r="E771" s="197"/>
      <c r="F771" s="197"/>
    </row>
    <row r="772" spans="4:6" ht="15" customHeight="1" x14ac:dyDescent="0.2">
      <c r="D772" s="197"/>
      <c r="E772" s="197"/>
      <c r="F772" s="197"/>
    </row>
    <row r="773" spans="4:6" ht="15" customHeight="1" x14ac:dyDescent="0.2">
      <c r="D773" s="197"/>
      <c r="E773" s="197"/>
      <c r="F773" s="197"/>
    </row>
    <row r="774" spans="4:6" ht="15" customHeight="1" x14ac:dyDescent="0.2">
      <c r="D774" s="197"/>
      <c r="E774" s="197"/>
      <c r="F774" s="197"/>
    </row>
    <row r="775" spans="4:6" ht="15" customHeight="1" x14ac:dyDescent="0.2">
      <c r="D775" s="197"/>
      <c r="E775" s="197"/>
      <c r="F775" s="197"/>
    </row>
    <row r="776" spans="4:6" ht="15" customHeight="1" x14ac:dyDescent="0.2">
      <c r="D776" s="197"/>
      <c r="E776" s="197"/>
      <c r="F776" s="197"/>
    </row>
    <row r="777" spans="4:6" ht="15" customHeight="1" x14ac:dyDescent="0.2">
      <c r="D777" s="197"/>
      <c r="E777" s="197"/>
      <c r="F777" s="197"/>
    </row>
    <row r="778" spans="4:6" ht="15" customHeight="1" x14ac:dyDescent="0.2">
      <c r="D778" s="197"/>
      <c r="E778" s="197"/>
      <c r="F778" s="197"/>
    </row>
    <row r="779" spans="4:6" ht="15" customHeight="1" x14ac:dyDescent="0.2">
      <c r="D779" s="197"/>
      <c r="E779" s="197"/>
      <c r="F779" s="197"/>
    </row>
    <row r="780" spans="4:6" ht="15" customHeight="1" x14ac:dyDescent="0.2">
      <c r="D780" s="197"/>
      <c r="E780" s="197"/>
      <c r="F780" s="197"/>
    </row>
    <row r="781" spans="4:6" ht="15" customHeight="1" x14ac:dyDescent="0.2">
      <c r="D781" s="197"/>
      <c r="E781" s="197"/>
      <c r="F781" s="197"/>
    </row>
    <row r="782" spans="4:6" ht="15" customHeight="1" x14ac:dyDescent="0.2">
      <c r="D782" s="197"/>
      <c r="E782" s="197"/>
      <c r="F782" s="197"/>
    </row>
    <row r="783" spans="4:6" ht="15" customHeight="1" x14ac:dyDescent="0.2">
      <c r="D783" s="197"/>
      <c r="E783" s="197"/>
      <c r="F783" s="197"/>
    </row>
    <row r="784" spans="4:6" ht="15" customHeight="1" x14ac:dyDescent="0.2">
      <c r="D784" s="197"/>
      <c r="E784" s="197"/>
      <c r="F784" s="197"/>
    </row>
    <row r="785" spans="4:6" ht="15" customHeight="1" x14ac:dyDescent="0.2">
      <c r="D785" s="197"/>
      <c r="E785" s="197"/>
      <c r="F785" s="197"/>
    </row>
    <row r="786" spans="4:6" ht="15" customHeight="1" x14ac:dyDescent="0.2">
      <c r="D786" s="197"/>
      <c r="E786" s="197"/>
      <c r="F786" s="197"/>
    </row>
    <row r="787" spans="4:6" ht="15" customHeight="1" x14ac:dyDescent="0.2">
      <c r="D787" s="197"/>
      <c r="E787" s="197"/>
      <c r="F787" s="197"/>
    </row>
    <row r="788" spans="4:6" ht="15" customHeight="1" x14ac:dyDescent="0.2">
      <c r="D788" s="197"/>
      <c r="E788" s="197"/>
      <c r="F788" s="197"/>
    </row>
    <row r="789" spans="4:6" ht="15" customHeight="1" x14ac:dyDescent="0.2">
      <c r="D789" s="197"/>
      <c r="E789" s="197"/>
      <c r="F789" s="197"/>
    </row>
    <row r="790" spans="4:6" ht="15" customHeight="1" x14ac:dyDescent="0.2">
      <c r="D790" s="197"/>
      <c r="E790" s="197"/>
      <c r="F790" s="197"/>
    </row>
    <row r="791" spans="4:6" ht="15" customHeight="1" x14ac:dyDescent="0.2">
      <c r="D791" s="197"/>
      <c r="E791" s="197"/>
      <c r="F791" s="197"/>
    </row>
    <row r="792" spans="4:6" ht="15" customHeight="1" x14ac:dyDescent="0.2">
      <c r="D792" s="197"/>
      <c r="E792" s="197"/>
      <c r="F792" s="197"/>
    </row>
    <row r="793" spans="4:6" ht="15" customHeight="1" x14ac:dyDescent="0.2">
      <c r="D793" s="197"/>
      <c r="E793" s="197"/>
      <c r="F793" s="197"/>
    </row>
    <row r="794" spans="4:6" ht="15" customHeight="1" x14ac:dyDescent="0.2">
      <c r="D794" s="197"/>
      <c r="E794" s="197"/>
      <c r="F794" s="197"/>
    </row>
    <row r="795" spans="4:6" ht="15" customHeight="1" x14ac:dyDescent="0.2">
      <c r="D795" s="197"/>
      <c r="E795" s="197"/>
      <c r="F795" s="197"/>
    </row>
    <row r="796" spans="4:6" ht="15" customHeight="1" x14ac:dyDescent="0.2">
      <c r="D796" s="197"/>
      <c r="E796" s="197"/>
      <c r="F796" s="197"/>
    </row>
    <row r="797" spans="4:6" ht="15" customHeight="1" x14ac:dyDescent="0.2">
      <c r="D797" s="197"/>
      <c r="E797" s="197"/>
      <c r="F797" s="197"/>
    </row>
    <row r="798" spans="4:6" ht="15" customHeight="1" x14ac:dyDescent="0.2">
      <c r="D798" s="197"/>
      <c r="E798" s="197"/>
      <c r="F798" s="197"/>
    </row>
    <row r="799" spans="4:6" ht="15" customHeight="1" x14ac:dyDescent="0.2">
      <c r="D799" s="197"/>
      <c r="E799" s="197"/>
      <c r="F799" s="197"/>
    </row>
    <row r="800" spans="4:6" ht="15" customHeight="1" x14ac:dyDescent="0.2">
      <c r="D800" s="197"/>
      <c r="E800" s="197"/>
      <c r="F800" s="197"/>
    </row>
    <row r="801" spans="4:6" ht="15" customHeight="1" x14ac:dyDescent="0.2">
      <c r="D801" s="197"/>
      <c r="E801" s="197"/>
      <c r="F801" s="197"/>
    </row>
    <row r="802" spans="4:6" ht="15" customHeight="1" x14ac:dyDescent="0.2">
      <c r="D802" s="197"/>
      <c r="E802" s="197"/>
      <c r="F802" s="197"/>
    </row>
    <row r="803" spans="4:6" ht="15" customHeight="1" x14ac:dyDescent="0.2">
      <c r="D803" s="197"/>
      <c r="E803" s="197"/>
      <c r="F803" s="197"/>
    </row>
    <row r="804" spans="4:6" ht="15" customHeight="1" x14ac:dyDescent="0.2">
      <c r="D804" s="197"/>
      <c r="E804" s="197"/>
      <c r="F804" s="197"/>
    </row>
    <row r="805" spans="4:6" ht="15" customHeight="1" x14ac:dyDescent="0.2">
      <c r="D805" s="197"/>
      <c r="E805" s="197"/>
      <c r="F805" s="197"/>
    </row>
    <row r="806" spans="4:6" ht="15" customHeight="1" x14ac:dyDescent="0.2">
      <c r="D806" s="197"/>
      <c r="E806" s="197"/>
      <c r="F806" s="197"/>
    </row>
    <row r="807" spans="4:6" ht="15" customHeight="1" x14ac:dyDescent="0.2">
      <c r="D807" s="197"/>
      <c r="E807" s="197"/>
      <c r="F807" s="197"/>
    </row>
    <row r="808" spans="4:6" ht="15" customHeight="1" x14ac:dyDescent="0.2">
      <c r="D808" s="197"/>
      <c r="E808" s="197"/>
      <c r="F808" s="197"/>
    </row>
    <row r="809" spans="4:6" ht="15" customHeight="1" x14ac:dyDescent="0.2">
      <c r="D809" s="197"/>
      <c r="E809" s="197"/>
      <c r="F809" s="197"/>
    </row>
    <row r="810" spans="4:6" ht="15" customHeight="1" x14ac:dyDescent="0.2">
      <c r="D810" s="197"/>
      <c r="E810" s="197"/>
      <c r="F810" s="197"/>
    </row>
    <row r="811" spans="4:6" ht="15" customHeight="1" x14ac:dyDescent="0.2">
      <c r="D811" s="197"/>
      <c r="E811" s="197"/>
      <c r="F811" s="197"/>
    </row>
    <row r="812" spans="4:6" ht="15" customHeight="1" x14ac:dyDescent="0.2">
      <c r="D812" s="197"/>
      <c r="E812" s="197"/>
      <c r="F812" s="197"/>
    </row>
    <row r="813" spans="4:6" ht="15" customHeight="1" x14ac:dyDescent="0.2">
      <c r="D813" s="197"/>
      <c r="E813" s="197"/>
      <c r="F813" s="197"/>
    </row>
    <row r="814" spans="4:6" ht="15" customHeight="1" x14ac:dyDescent="0.2">
      <c r="D814" s="197"/>
      <c r="E814" s="197"/>
      <c r="F814" s="197"/>
    </row>
    <row r="815" spans="4:6" ht="15" customHeight="1" x14ac:dyDescent="0.2">
      <c r="D815" s="197"/>
      <c r="E815" s="197"/>
      <c r="F815" s="197"/>
    </row>
    <row r="816" spans="4:6" ht="15" customHeight="1" x14ac:dyDescent="0.2">
      <c r="D816" s="197"/>
      <c r="E816" s="197"/>
      <c r="F816" s="197"/>
    </row>
    <row r="817" spans="4:6" ht="15" customHeight="1" x14ac:dyDescent="0.2">
      <c r="D817" s="197"/>
      <c r="E817" s="197"/>
      <c r="F817" s="197"/>
    </row>
    <row r="818" spans="4:6" ht="15" customHeight="1" x14ac:dyDescent="0.2">
      <c r="D818" s="197"/>
      <c r="E818" s="197"/>
      <c r="F818" s="197"/>
    </row>
    <row r="819" spans="4:6" ht="15" customHeight="1" x14ac:dyDescent="0.2">
      <c r="D819" s="197"/>
      <c r="E819" s="197"/>
      <c r="F819" s="197"/>
    </row>
    <row r="820" spans="4:6" ht="15" customHeight="1" x14ac:dyDescent="0.2">
      <c r="D820" s="197"/>
      <c r="E820" s="197"/>
      <c r="F820" s="197"/>
    </row>
    <row r="821" spans="4:6" ht="15" customHeight="1" x14ac:dyDescent="0.2">
      <c r="D821" s="197"/>
      <c r="E821" s="197"/>
      <c r="F821" s="197"/>
    </row>
    <row r="822" spans="4:6" ht="15" customHeight="1" x14ac:dyDescent="0.2">
      <c r="D822" s="197"/>
      <c r="E822" s="197"/>
      <c r="F822" s="197"/>
    </row>
    <row r="823" spans="4:6" ht="15" customHeight="1" x14ac:dyDescent="0.2">
      <c r="D823" s="197"/>
      <c r="E823" s="197"/>
      <c r="F823" s="197"/>
    </row>
    <row r="824" spans="4:6" ht="15" customHeight="1" x14ac:dyDescent="0.2">
      <c r="D824" s="197"/>
      <c r="E824" s="197"/>
      <c r="F824" s="197"/>
    </row>
    <row r="825" spans="4:6" ht="15" customHeight="1" x14ac:dyDescent="0.2">
      <c r="D825" s="197"/>
      <c r="E825" s="197"/>
      <c r="F825" s="197"/>
    </row>
    <row r="826" spans="4:6" ht="15" customHeight="1" x14ac:dyDescent="0.2">
      <c r="D826" s="197"/>
      <c r="E826" s="197"/>
      <c r="F826" s="197"/>
    </row>
    <row r="827" spans="4:6" ht="15" customHeight="1" x14ac:dyDescent="0.2">
      <c r="D827" s="197"/>
      <c r="E827" s="197"/>
      <c r="F827" s="197"/>
    </row>
    <row r="828" spans="4:6" ht="15" customHeight="1" x14ac:dyDescent="0.2">
      <c r="D828" s="197"/>
      <c r="E828" s="197"/>
      <c r="F828" s="197"/>
    </row>
    <row r="829" spans="4:6" ht="15" customHeight="1" x14ac:dyDescent="0.2">
      <c r="D829" s="197"/>
      <c r="E829" s="197"/>
      <c r="F829" s="197"/>
    </row>
    <row r="830" spans="4:6" ht="15" customHeight="1" x14ac:dyDescent="0.2">
      <c r="D830" s="197"/>
      <c r="E830" s="197"/>
      <c r="F830" s="197"/>
    </row>
    <row r="831" spans="4:6" ht="15" customHeight="1" x14ac:dyDescent="0.2">
      <c r="D831" s="197"/>
      <c r="E831" s="197"/>
      <c r="F831" s="197"/>
    </row>
    <row r="832" spans="4:6" ht="15" customHeight="1" x14ac:dyDescent="0.2">
      <c r="D832" s="197"/>
      <c r="E832" s="197"/>
      <c r="F832" s="197"/>
    </row>
    <row r="833" spans="4:6" ht="15" customHeight="1" x14ac:dyDescent="0.2">
      <c r="D833" s="197"/>
      <c r="E833" s="197"/>
      <c r="F833" s="197"/>
    </row>
    <row r="834" spans="4:6" ht="15" customHeight="1" x14ac:dyDescent="0.2">
      <c r="D834" s="197"/>
      <c r="E834" s="197"/>
      <c r="F834" s="197"/>
    </row>
    <row r="835" spans="4:6" ht="15" customHeight="1" x14ac:dyDescent="0.2">
      <c r="D835" s="197"/>
      <c r="E835" s="197"/>
      <c r="F835" s="197"/>
    </row>
    <row r="836" spans="4:6" ht="15" customHeight="1" x14ac:dyDescent="0.2">
      <c r="D836" s="197"/>
      <c r="E836" s="197"/>
      <c r="F836" s="197"/>
    </row>
    <row r="837" spans="4:6" ht="15" customHeight="1" x14ac:dyDescent="0.2">
      <c r="D837" s="197"/>
      <c r="E837" s="197"/>
      <c r="F837" s="197"/>
    </row>
    <row r="838" spans="4:6" ht="15" customHeight="1" x14ac:dyDescent="0.2">
      <c r="D838" s="197"/>
      <c r="E838" s="197"/>
      <c r="F838" s="197"/>
    </row>
    <row r="839" spans="4:6" ht="15" customHeight="1" x14ac:dyDescent="0.2">
      <c r="D839" s="197"/>
      <c r="E839" s="197"/>
      <c r="F839" s="197"/>
    </row>
    <row r="840" spans="4:6" ht="15" customHeight="1" x14ac:dyDescent="0.2">
      <c r="D840" s="197"/>
      <c r="E840" s="197"/>
      <c r="F840" s="197"/>
    </row>
    <row r="841" spans="4:6" ht="15" customHeight="1" x14ac:dyDescent="0.2">
      <c r="D841" s="197"/>
      <c r="E841" s="197"/>
      <c r="F841" s="197"/>
    </row>
    <row r="842" spans="4:6" ht="15" customHeight="1" x14ac:dyDescent="0.2">
      <c r="D842" s="197"/>
      <c r="E842" s="197"/>
      <c r="F842" s="197"/>
    </row>
    <row r="843" spans="4:6" ht="15" customHeight="1" x14ac:dyDescent="0.2">
      <c r="D843" s="197"/>
      <c r="E843" s="197"/>
      <c r="F843" s="197"/>
    </row>
    <row r="844" spans="4:6" ht="15" customHeight="1" x14ac:dyDescent="0.2">
      <c r="D844" s="197"/>
      <c r="E844" s="197"/>
      <c r="F844" s="197"/>
    </row>
    <row r="845" spans="4:6" ht="15" customHeight="1" x14ac:dyDescent="0.2">
      <c r="D845" s="197"/>
      <c r="E845" s="197"/>
      <c r="F845" s="197"/>
    </row>
    <row r="846" spans="4:6" ht="15" customHeight="1" x14ac:dyDescent="0.2">
      <c r="D846" s="197"/>
      <c r="E846" s="197"/>
      <c r="F846" s="197"/>
    </row>
    <row r="847" spans="4:6" ht="15" customHeight="1" x14ac:dyDescent="0.2">
      <c r="D847" s="197"/>
      <c r="E847" s="197"/>
      <c r="F847" s="197"/>
    </row>
    <row r="848" spans="4:6" ht="15" customHeight="1" x14ac:dyDescent="0.2">
      <c r="D848" s="197"/>
      <c r="E848" s="197"/>
      <c r="F848" s="197"/>
    </row>
    <row r="849" spans="4:6" ht="15" customHeight="1" x14ac:dyDescent="0.2">
      <c r="D849" s="197"/>
      <c r="E849" s="197"/>
      <c r="F849" s="197"/>
    </row>
    <row r="850" spans="4:6" ht="15" customHeight="1" x14ac:dyDescent="0.2">
      <c r="D850" s="197"/>
      <c r="E850" s="197"/>
      <c r="F850" s="197"/>
    </row>
    <row r="851" spans="4:6" ht="15" customHeight="1" x14ac:dyDescent="0.2">
      <c r="D851" s="197"/>
      <c r="E851" s="197"/>
      <c r="F851" s="197"/>
    </row>
    <row r="852" spans="4:6" ht="15" customHeight="1" x14ac:dyDescent="0.2">
      <c r="D852" s="197"/>
      <c r="E852" s="197"/>
      <c r="F852" s="197"/>
    </row>
    <row r="853" spans="4:6" ht="15" customHeight="1" x14ac:dyDescent="0.2">
      <c r="D853" s="197"/>
      <c r="E853" s="197"/>
      <c r="F853" s="197"/>
    </row>
    <row r="854" spans="4:6" ht="15" customHeight="1" x14ac:dyDescent="0.2">
      <c r="D854" s="197"/>
      <c r="E854" s="197"/>
      <c r="F854" s="197"/>
    </row>
    <row r="855" spans="4:6" ht="15" customHeight="1" x14ac:dyDescent="0.2">
      <c r="D855" s="197"/>
      <c r="E855" s="197"/>
      <c r="F855" s="197"/>
    </row>
    <row r="856" spans="4:6" ht="15" customHeight="1" x14ac:dyDescent="0.2">
      <c r="D856" s="197"/>
      <c r="E856" s="197"/>
      <c r="F856" s="197"/>
    </row>
    <row r="857" spans="4:6" ht="15" customHeight="1" x14ac:dyDescent="0.2">
      <c r="D857" s="197"/>
      <c r="E857" s="197"/>
      <c r="F857" s="197"/>
    </row>
    <row r="858" spans="4:6" ht="15" customHeight="1" x14ac:dyDescent="0.2">
      <c r="D858" s="197"/>
      <c r="E858" s="197"/>
      <c r="F858" s="197"/>
    </row>
    <row r="859" spans="4:6" ht="15" customHeight="1" x14ac:dyDescent="0.2">
      <c r="D859" s="197"/>
      <c r="E859" s="197"/>
      <c r="F859" s="197"/>
    </row>
    <row r="860" spans="4:6" ht="15" customHeight="1" x14ac:dyDescent="0.2">
      <c r="D860" s="197"/>
      <c r="E860" s="197"/>
      <c r="F860" s="197"/>
    </row>
    <row r="861" spans="4:6" ht="15" customHeight="1" x14ac:dyDescent="0.2">
      <c r="D861" s="197"/>
      <c r="E861" s="197"/>
      <c r="F861" s="197"/>
    </row>
    <row r="862" spans="4:6" ht="15" customHeight="1" x14ac:dyDescent="0.2">
      <c r="D862" s="197"/>
      <c r="E862" s="197"/>
      <c r="F862" s="197"/>
    </row>
    <row r="863" spans="4:6" ht="15" customHeight="1" x14ac:dyDescent="0.2">
      <c r="D863" s="197"/>
      <c r="E863" s="197"/>
      <c r="F863" s="197"/>
    </row>
    <row r="864" spans="4:6" ht="15" customHeight="1" x14ac:dyDescent="0.2">
      <c r="D864" s="197"/>
      <c r="E864" s="197"/>
      <c r="F864" s="197"/>
    </row>
    <row r="865" spans="4:6" ht="15" customHeight="1" x14ac:dyDescent="0.2">
      <c r="D865" s="197"/>
      <c r="E865" s="197"/>
      <c r="F865" s="197"/>
    </row>
    <row r="866" spans="4:6" ht="15" customHeight="1" x14ac:dyDescent="0.2">
      <c r="D866" s="197"/>
      <c r="E866" s="197"/>
      <c r="F866" s="197"/>
    </row>
    <row r="867" spans="4:6" ht="15" customHeight="1" x14ac:dyDescent="0.2">
      <c r="D867" s="197"/>
      <c r="E867" s="197"/>
      <c r="F867" s="197"/>
    </row>
    <row r="868" spans="4:6" ht="15" customHeight="1" x14ac:dyDescent="0.2">
      <c r="D868" s="197"/>
      <c r="E868" s="197"/>
      <c r="F868" s="197"/>
    </row>
    <row r="869" spans="4:6" ht="15" customHeight="1" x14ac:dyDescent="0.2">
      <c r="D869" s="197"/>
      <c r="E869" s="197"/>
      <c r="F869" s="197"/>
    </row>
    <row r="870" spans="4:6" ht="15" customHeight="1" x14ac:dyDescent="0.2">
      <c r="D870" s="197"/>
      <c r="E870" s="197"/>
      <c r="F870" s="197"/>
    </row>
    <row r="871" spans="4:6" ht="15" customHeight="1" x14ac:dyDescent="0.2">
      <c r="D871" s="197"/>
      <c r="E871" s="197"/>
      <c r="F871" s="197"/>
    </row>
    <row r="872" spans="4:6" ht="15" customHeight="1" x14ac:dyDescent="0.2">
      <c r="D872" s="197"/>
      <c r="E872" s="197"/>
      <c r="F872" s="197"/>
    </row>
    <row r="873" spans="4:6" ht="15" customHeight="1" x14ac:dyDescent="0.2">
      <c r="D873" s="197"/>
      <c r="E873" s="197"/>
      <c r="F873" s="197"/>
    </row>
    <row r="874" spans="4:6" ht="15" customHeight="1" x14ac:dyDescent="0.2">
      <c r="D874" s="197"/>
      <c r="E874" s="197"/>
      <c r="F874" s="197"/>
    </row>
    <row r="875" spans="4:6" ht="15" customHeight="1" x14ac:dyDescent="0.2">
      <c r="D875" s="197"/>
      <c r="E875" s="197"/>
      <c r="F875" s="197"/>
    </row>
    <row r="876" spans="4:6" ht="15" customHeight="1" x14ac:dyDescent="0.2">
      <c r="D876" s="197"/>
      <c r="E876" s="197"/>
      <c r="F876" s="197"/>
    </row>
    <row r="877" spans="4:6" ht="15" customHeight="1" x14ac:dyDescent="0.2">
      <c r="D877" s="197"/>
      <c r="E877" s="197"/>
      <c r="F877" s="197"/>
    </row>
    <row r="878" spans="4:6" ht="15" customHeight="1" x14ac:dyDescent="0.2">
      <c r="D878" s="197"/>
      <c r="E878" s="197"/>
      <c r="F878" s="197"/>
    </row>
    <row r="879" spans="4:6" ht="15" customHeight="1" x14ac:dyDescent="0.2">
      <c r="D879" s="197"/>
      <c r="E879" s="197"/>
      <c r="F879" s="197"/>
    </row>
    <row r="880" spans="4:6" ht="15" customHeight="1" x14ac:dyDescent="0.2">
      <c r="D880" s="197"/>
      <c r="E880" s="197"/>
      <c r="F880" s="197"/>
    </row>
    <row r="881" spans="4:6" ht="15" customHeight="1" x14ac:dyDescent="0.2">
      <c r="D881" s="197"/>
      <c r="E881" s="197"/>
      <c r="F881" s="197"/>
    </row>
    <row r="882" spans="4:6" ht="15" customHeight="1" x14ac:dyDescent="0.2">
      <c r="D882" s="197"/>
      <c r="E882" s="197"/>
      <c r="F882" s="197"/>
    </row>
    <row r="883" spans="4:6" ht="15" customHeight="1" x14ac:dyDescent="0.2">
      <c r="D883" s="197"/>
      <c r="E883" s="197"/>
      <c r="F883" s="197"/>
    </row>
    <row r="884" spans="4:6" ht="15" customHeight="1" x14ac:dyDescent="0.2">
      <c r="D884" s="197"/>
      <c r="E884" s="197"/>
      <c r="F884" s="197"/>
    </row>
    <row r="885" spans="4:6" ht="15" customHeight="1" x14ac:dyDescent="0.2">
      <c r="D885" s="197"/>
      <c r="E885" s="197"/>
      <c r="F885" s="197"/>
    </row>
    <row r="886" spans="4:6" ht="15" customHeight="1" x14ac:dyDescent="0.2">
      <c r="D886" s="197"/>
      <c r="E886" s="197"/>
      <c r="F886" s="197"/>
    </row>
    <row r="887" spans="4:6" ht="15" customHeight="1" x14ac:dyDescent="0.2">
      <c r="D887" s="197"/>
      <c r="E887" s="197"/>
      <c r="F887" s="197"/>
    </row>
    <row r="888" spans="4:6" ht="15" customHeight="1" x14ac:dyDescent="0.2">
      <c r="D888" s="197"/>
      <c r="E888" s="197"/>
      <c r="F888" s="197"/>
    </row>
    <row r="889" spans="4:6" ht="15" customHeight="1" x14ac:dyDescent="0.2">
      <c r="D889" s="197"/>
      <c r="E889" s="197"/>
      <c r="F889" s="197"/>
    </row>
    <row r="890" spans="4:6" ht="15" customHeight="1" x14ac:dyDescent="0.2">
      <c r="D890" s="197"/>
      <c r="E890" s="197"/>
      <c r="F890" s="197"/>
    </row>
    <row r="891" spans="4:6" ht="15" customHeight="1" x14ac:dyDescent="0.2">
      <c r="D891" s="197"/>
      <c r="E891" s="197"/>
      <c r="F891" s="197"/>
    </row>
    <row r="892" spans="4:6" ht="15" customHeight="1" x14ac:dyDescent="0.2">
      <c r="D892" s="197"/>
      <c r="E892" s="197"/>
      <c r="F892" s="197"/>
    </row>
    <row r="893" spans="4:6" ht="15" customHeight="1" x14ac:dyDescent="0.2">
      <c r="D893" s="197"/>
      <c r="E893" s="197"/>
      <c r="F893" s="197"/>
    </row>
    <row r="894" spans="4:6" ht="15" customHeight="1" x14ac:dyDescent="0.2">
      <c r="D894" s="197"/>
      <c r="E894" s="197"/>
      <c r="F894" s="197"/>
    </row>
    <row r="895" spans="4:6" ht="15" customHeight="1" x14ac:dyDescent="0.2">
      <c r="D895" s="197"/>
      <c r="E895" s="197"/>
      <c r="F895" s="197"/>
    </row>
    <row r="896" spans="4:6" ht="15" customHeight="1" x14ac:dyDescent="0.2">
      <c r="D896" s="197"/>
      <c r="E896" s="197"/>
      <c r="F896" s="197"/>
    </row>
    <row r="897" spans="4:6" ht="15" customHeight="1" x14ac:dyDescent="0.2">
      <c r="D897" s="197"/>
      <c r="E897" s="197"/>
      <c r="F897" s="197"/>
    </row>
    <row r="898" spans="4:6" ht="15" customHeight="1" x14ac:dyDescent="0.2">
      <c r="D898" s="197"/>
      <c r="E898" s="197"/>
      <c r="F898" s="197"/>
    </row>
    <row r="899" spans="4:6" ht="15" customHeight="1" x14ac:dyDescent="0.2">
      <c r="D899" s="197"/>
      <c r="E899" s="197"/>
      <c r="F899" s="197"/>
    </row>
    <row r="900" spans="4:6" ht="15" customHeight="1" x14ac:dyDescent="0.2">
      <c r="D900" s="197"/>
      <c r="E900" s="197"/>
      <c r="F900" s="197"/>
    </row>
    <row r="901" spans="4:6" ht="15" customHeight="1" x14ac:dyDescent="0.2">
      <c r="D901" s="197"/>
      <c r="E901" s="197"/>
      <c r="F901" s="197"/>
    </row>
    <row r="902" spans="4:6" ht="15" customHeight="1" x14ac:dyDescent="0.2">
      <c r="D902" s="197"/>
      <c r="E902" s="197"/>
      <c r="F902" s="197"/>
    </row>
    <row r="903" spans="4:6" ht="15" customHeight="1" x14ac:dyDescent="0.2">
      <c r="D903" s="197"/>
      <c r="E903" s="197"/>
      <c r="F903" s="197"/>
    </row>
    <row r="904" spans="4:6" ht="15" customHeight="1" x14ac:dyDescent="0.2">
      <c r="D904" s="197"/>
      <c r="E904" s="197"/>
      <c r="F904" s="197"/>
    </row>
    <row r="905" spans="4:6" ht="15" customHeight="1" x14ac:dyDescent="0.2">
      <c r="D905" s="197"/>
      <c r="E905" s="197"/>
      <c r="F905" s="197"/>
    </row>
    <row r="906" spans="4:6" ht="15" customHeight="1" x14ac:dyDescent="0.2">
      <c r="D906" s="197"/>
      <c r="E906" s="197"/>
      <c r="F906" s="197"/>
    </row>
    <row r="907" spans="4:6" ht="15" customHeight="1" x14ac:dyDescent="0.2">
      <c r="D907" s="197"/>
      <c r="E907" s="197"/>
      <c r="F907" s="197"/>
    </row>
    <row r="908" spans="4:6" ht="15" customHeight="1" x14ac:dyDescent="0.2">
      <c r="D908" s="197"/>
      <c r="E908" s="197"/>
      <c r="F908" s="197"/>
    </row>
    <row r="909" spans="4:6" ht="15" customHeight="1" x14ac:dyDescent="0.2">
      <c r="D909" s="197"/>
      <c r="E909" s="197"/>
      <c r="F909" s="197"/>
    </row>
    <row r="910" spans="4:6" ht="15" customHeight="1" x14ac:dyDescent="0.2">
      <c r="D910" s="197"/>
      <c r="E910" s="197"/>
      <c r="F910" s="197"/>
    </row>
    <row r="911" spans="4:6" ht="15" customHeight="1" x14ac:dyDescent="0.2">
      <c r="D911" s="197"/>
      <c r="E911" s="197"/>
      <c r="F911" s="197"/>
    </row>
    <row r="912" spans="4:6" ht="15" customHeight="1" x14ac:dyDescent="0.2">
      <c r="D912" s="197"/>
      <c r="E912" s="197"/>
      <c r="F912" s="197"/>
    </row>
    <row r="913" spans="4:6" ht="15" customHeight="1" x14ac:dyDescent="0.2">
      <c r="D913" s="197"/>
      <c r="E913" s="197"/>
      <c r="F913" s="197"/>
    </row>
    <row r="914" spans="4:6" ht="15" customHeight="1" x14ac:dyDescent="0.2">
      <c r="D914" s="197"/>
      <c r="E914" s="197"/>
      <c r="F914" s="197"/>
    </row>
    <row r="915" spans="4:6" ht="15" customHeight="1" x14ac:dyDescent="0.2">
      <c r="D915" s="197"/>
      <c r="E915" s="197"/>
      <c r="F915" s="197"/>
    </row>
    <row r="916" spans="4:6" ht="15" customHeight="1" x14ac:dyDescent="0.2">
      <c r="D916" s="197"/>
      <c r="E916" s="197"/>
      <c r="F916" s="197"/>
    </row>
    <row r="917" spans="4:6" ht="15" customHeight="1" x14ac:dyDescent="0.2">
      <c r="D917" s="197"/>
      <c r="E917" s="197"/>
      <c r="F917" s="197"/>
    </row>
    <row r="918" spans="4:6" ht="15" customHeight="1" x14ac:dyDescent="0.2">
      <c r="D918" s="197"/>
      <c r="E918" s="197"/>
      <c r="F918" s="197"/>
    </row>
    <row r="919" spans="4:6" ht="15" customHeight="1" x14ac:dyDescent="0.2">
      <c r="D919" s="197"/>
      <c r="E919" s="197"/>
      <c r="F919" s="197"/>
    </row>
    <row r="920" spans="4:6" ht="15" customHeight="1" x14ac:dyDescent="0.2">
      <c r="D920" s="197"/>
      <c r="E920" s="197"/>
      <c r="F920" s="197"/>
    </row>
    <row r="921" spans="4:6" ht="15" customHeight="1" x14ac:dyDescent="0.2">
      <c r="D921" s="197"/>
      <c r="E921" s="197"/>
      <c r="F921" s="197"/>
    </row>
    <row r="922" spans="4:6" ht="15" customHeight="1" x14ac:dyDescent="0.2">
      <c r="D922" s="197"/>
      <c r="E922" s="197"/>
      <c r="F922" s="197"/>
    </row>
    <row r="923" spans="4:6" ht="15" customHeight="1" x14ac:dyDescent="0.2">
      <c r="D923" s="197"/>
      <c r="E923" s="197"/>
      <c r="F923" s="197"/>
    </row>
    <row r="924" spans="4:6" ht="15" customHeight="1" x14ac:dyDescent="0.2">
      <c r="D924" s="197"/>
      <c r="E924" s="197"/>
      <c r="F924" s="197"/>
    </row>
    <row r="925" spans="4:6" ht="15" customHeight="1" x14ac:dyDescent="0.2">
      <c r="D925" s="197"/>
      <c r="E925" s="197"/>
      <c r="F925" s="197"/>
    </row>
    <row r="926" spans="4:6" ht="15" customHeight="1" x14ac:dyDescent="0.2">
      <c r="D926" s="197"/>
      <c r="E926" s="197"/>
      <c r="F926" s="197"/>
    </row>
    <row r="927" spans="4:6" ht="15" customHeight="1" x14ac:dyDescent="0.2">
      <c r="D927" s="197"/>
      <c r="E927" s="197"/>
      <c r="F927" s="197"/>
    </row>
    <row r="928" spans="4:6" ht="15" customHeight="1" x14ac:dyDescent="0.2">
      <c r="D928" s="197"/>
      <c r="E928" s="197"/>
      <c r="F928" s="197"/>
    </row>
    <row r="929" spans="4:6" ht="15" customHeight="1" x14ac:dyDescent="0.2">
      <c r="D929" s="197"/>
      <c r="E929" s="197"/>
      <c r="F929" s="197"/>
    </row>
    <row r="930" spans="4:6" ht="15" customHeight="1" x14ac:dyDescent="0.2">
      <c r="D930" s="197"/>
      <c r="E930" s="197"/>
      <c r="F930" s="197"/>
    </row>
    <row r="931" spans="4:6" ht="15" customHeight="1" x14ac:dyDescent="0.2">
      <c r="D931" s="197"/>
      <c r="E931" s="197"/>
      <c r="F931" s="197"/>
    </row>
    <row r="932" spans="4:6" ht="15" customHeight="1" x14ac:dyDescent="0.2">
      <c r="D932" s="197"/>
      <c r="E932" s="197"/>
      <c r="F932" s="197"/>
    </row>
    <row r="933" spans="4:6" ht="15" customHeight="1" x14ac:dyDescent="0.2">
      <c r="D933" s="197"/>
      <c r="E933" s="197"/>
      <c r="F933" s="197"/>
    </row>
    <row r="934" spans="4:6" ht="15" customHeight="1" x14ac:dyDescent="0.2">
      <c r="D934" s="197"/>
      <c r="E934" s="197"/>
      <c r="F934" s="197"/>
    </row>
  </sheetData>
  <mergeCells count="1">
    <mergeCell ref="A2:A3"/>
  </mergeCells>
  <pageMargins left="0.511811024" right="0.511811024" top="0.78740157499999996" bottom="0.78740157499999996"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X991"/>
  <sheetViews>
    <sheetView showGridLines="0" zoomScaleNormal="100" workbookViewId="0">
      <pane xSplit="3" ySplit="3" topLeftCell="D4" activePane="bottomRight" state="frozen"/>
      <selection activeCell="P34" sqref="P34"/>
      <selection pane="topRight" activeCell="P34" sqref="P34"/>
      <selection pane="bottomLeft" activeCell="P34" sqref="P34"/>
      <selection pane="bottomRight" activeCell="F13" sqref="F13"/>
    </sheetView>
  </sheetViews>
  <sheetFormatPr defaultColWidth="12.625" defaultRowHeight="15" customHeight="1" x14ac:dyDescent="0.2"/>
  <cols>
    <col min="1" max="1" width="3.375" customWidth="1"/>
    <col min="2" max="2" width="30.625" bestFit="1" customWidth="1"/>
    <col min="3" max="3" width="28.625" bestFit="1" customWidth="1"/>
    <col min="4" max="26" width="11.375" customWidth="1"/>
  </cols>
  <sheetData>
    <row r="1" spans="2:24" ht="29.45" customHeight="1" x14ac:dyDescent="0.2"/>
    <row r="2" spans="2:24" ht="16.350000000000001" customHeight="1" x14ac:dyDescent="0.25">
      <c r="B2" s="298" t="s">
        <v>607</v>
      </c>
      <c r="C2" s="298"/>
    </row>
    <row r="3" spans="2:24" ht="32.25" customHeight="1" x14ac:dyDescent="0.2">
      <c r="B3" s="22" t="s">
        <v>83</v>
      </c>
      <c r="C3" s="22" t="s">
        <v>84</v>
      </c>
      <c r="D3" s="20" t="s">
        <v>552</v>
      </c>
      <c r="E3" s="20" t="s">
        <v>541</v>
      </c>
      <c r="F3" s="20" t="s">
        <v>77</v>
      </c>
      <c r="G3" s="20" t="s">
        <v>78</v>
      </c>
      <c r="H3" s="20" t="s">
        <v>79</v>
      </c>
      <c r="I3" s="20" t="s">
        <v>80</v>
      </c>
      <c r="J3" s="20" t="s">
        <v>81</v>
      </c>
      <c r="K3" s="20" t="s">
        <v>82</v>
      </c>
      <c r="L3" s="21" t="s">
        <v>6</v>
      </c>
      <c r="M3" s="21" t="s">
        <v>7</v>
      </c>
      <c r="N3" s="21" t="s">
        <v>8</v>
      </c>
      <c r="O3" s="21" t="s">
        <v>9</v>
      </c>
      <c r="P3" s="21" t="s">
        <v>10</v>
      </c>
      <c r="Q3" s="21" t="s">
        <v>11</v>
      </c>
      <c r="R3" s="21" t="s">
        <v>12</v>
      </c>
      <c r="S3" s="21" t="s">
        <v>13</v>
      </c>
      <c r="U3" s="23">
        <v>2017</v>
      </c>
      <c r="V3" s="23">
        <v>2018</v>
      </c>
      <c r="W3" s="23" t="s">
        <v>741</v>
      </c>
      <c r="X3" s="23" t="s">
        <v>550</v>
      </c>
    </row>
    <row r="4" spans="2:24" ht="14.25" x14ac:dyDescent="0.2">
      <c r="B4" s="6" t="s">
        <v>88</v>
      </c>
      <c r="C4" s="6" t="s">
        <v>89</v>
      </c>
      <c r="D4" s="2">
        <v>1374020</v>
      </c>
      <c r="E4" s="2">
        <v>724281</v>
      </c>
      <c r="F4" s="2">
        <v>312859</v>
      </c>
      <c r="G4" s="2">
        <v>639395</v>
      </c>
      <c r="H4" s="2">
        <v>1065689</v>
      </c>
      <c r="I4" s="2">
        <v>777335</v>
      </c>
      <c r="J4" s="2">
        <v>685769</v>
      </c>
      <c r="K4" s="2">
        <v>664273</v>
      </c>
      <c r="L4" s="2">
        <v>908521.40560999885</v>
      </c>
      <c r="M4" s="2">
        <v>707407.50207000005</v>
      </c>
      <c r="N4" s="2">
        <v>648891.67522000044</v>
      </c>
      <c r="O4" s="2">
        <v>579979.41710000078</v>
      </c>
      <c r="P4" s="2">
        <v>778964.21305999998</v>
      </c>
      <c r="Q4" s="2">
        <v>610749.27028000017</v>
      </c>
      <c r="R4" s="2">
        <v>549113.24590999982</v>
      </c>
      <c r="S4" s="2">
        <v>539644.29209</v>
      </c>
      <c r="U4" s="2">
        <v>2478471.02134</v>
      </c>
      <c r="V4" s="2">
        <v>2844800</v>
      </c>
      <c r="W4" s="2">
        <v>3193066</v>
      </c>
      <c r="X4" s="2">
        <v>3050555</v>
      </c>
    </row>
    <row r="5" spans="2:24" ht="14.25" x14ac:dyDescent="0.2">
      <c r="B5" s="8" t="s">
        <v>577</v>
      </c>
      <c r="C5" s="8" t="s">
        <v>580</v>
      </c>
      <c r="D5" s="4">
        <v>1163327.05103</v>
      </c>
      <c r="E5" s="4">
        <v>724281</v>
      </c>
      <c r="F5" s="4">
        <v>312859</v>
      </c>
      <c r="G5" s="4">
        <v>639395</v>
      </c>
      <c r="H5" s="4">
        <v>1065689</v>
      </c>
      <c r="I5" s="4">
        <v>777335</v>
      </c>
      <c r="J5" s="4">
        <v>685769</v>
      </c>
      <c r="K5" s="4">
        <v>664273</v>
      </c>
      <c r="L5" s="4">
        <v>908521.40560999885</v>
      </c>
      <c r="M5" s="4">
        <v>707407.50207000005</v>
      </c>
      <c r="N5" s="4">
        <v>648891.67522000044</v>
      </c>
      <c r="O5" s="4">
        <v>579979.41710000078</v>
      </c>
      <c r="P5" s="4">
        <v>778964.21305999998</v>
      </c>
      <c r="Q5" s="4">
        <v>610749.27028000017</v>
      </c>
      <c r="R5" s="4">
        <v>549113.24590999982</v>
      </c>
      <c r="S5" s="4">
        <v>539644.29209</v>
      </c>
      <c r="U5" s="4">
        <v>2478471.02134</v>
      </c>
      <c r="V5" s="4">
        <v>2844800</v>
      </c>
      <c r="W5" s="4">
        <v>3193066</v>
      </c>
      <c r="X5" s="4">
        <v>2839862.0510299997</v>
      </c>
    </row>
    <row r="6" spans="2:24" ht="14.25" x14ac:dyDescent="0.2">
      <c r="B6" s="8" t="s">
        <v>578</v>
      </c>
      <c r="C6" s="8" t="s">
        <v>581</v>
      </c>
      <c r="D6" s="4">
        <v>240330</v>
      </c>
      <c r="E6" s="17" t="s">
        <v>166</v>
      </c>
      <c r="F6" s="17" t="s">
        <v>166</v>
      </c>
      <c r="G6" s="17" t="s">
        <v>166</v>
      </c>
      <c r="H6" s="17" t="s">
        <v>166</v>
      </c>
      <c r="I6" s="17" t="s">
        <v>166</v>
      </c>
      <c r="J6" s="17" t="s">
        <v>166</v>
      </c>
      <c r="K6" s="17" t="s">
        <v>166</v>
      </c>
      <c r="L6" s="17" t="s">
        <v>166</v>
      </c>
      <c r="M6" s="17" t="s">
        <v>166</v>
      </c>
      <c r="N6" s="17" t="s">
        <v>166</v>
      </c>
      <c r="O6" s="17" t="s">
        <v>166</v>
      </c>
      <c r="P6" s="17" t="s">
        <v>166</v>
      </c>
      <c r="Q6" s="17" t="s">
        <v>166</v>
      </c>
      <c r="R6" s="17" t="s">
        <v>166</v>
      </c>
      <c r="S6" s="17" t="s">
        <v>166</v>
      </c>
      <c r="U6" s="17">
        <v>0</v>
      </c>
      <c r="V6" s="17">
        <v>0</v>
      </c>
      <c r="W6" s="4">
        <v>0</v>
      </c>
      <c r="X6" s="17">
        <v>240330</v>
      </c>
    </row>
    <row r="7" spans="2:24" ht="14.25" x14ac:dyDescent="0.2">
      <c r="B7" s="8" t="s">
        <v>579</v>
      </c>
      <c r="C7" s="8" t="s">
        <v>582</v>
      </c>
      <c r="D7" s="4">
        <v>-29637.051029999973</v>
      </c>
      <c r="E7" s="17" t="s">
        <v>166</v>
      </c>
      <c r="F7" s="17" t="s">
        <v>166</v>
      </c>
      <c r="G7" s="17" t="s">
        <v>166</v>
      </c>
      <c r="H7" s="17" t="s">
        <v>166</v>
      </c>
      <c r="I7" s="17" t="s">
        <v>166</v>
      </c>
      <c r="J7" s="17" t="s">
        <v>166</v>
      </c>
      <c r="K7" s="17" t="s">
        <v>166</v>
      </c>
      <c r="L7" s="17" t="s">
        <v>166</v>
      </c>
      <c r="M7" s="17" t="s">
        <v>166</v>
      </c>
      <c r="N7" s="17" t="s">
        <v>166</v>
      </c>
      <c r="O7" s="17" t="s">
        <v>166</v>
      </c>
      <c r="P7" s="17" t="s">
        <v>166</v>
      </c>
      <c r="Q7" s="17" t="s">
        <v>166</v>
      </c>
      <c r="R7" s="17" t="s">
        <v>166</v>
      </c>
      <c r="S7" s="17" t="s">
        <v>166</v>
      </c>
      <c r="U7" s="17">
        <v>0</v>
      </c>
      <c r="V7" s="17">
        <v>0</v>
      </c>
      <c r="W7" s="4">
        <v>0</v>
      </c>
      <c r="X7" s="17">
        <v>-29637.051029999973</v>
      </c>
    </row>
    <row r="8" spans="2:24" x14ac:dyDescent="0.25">
      <c r="B8" s="5"/>
      <c r="C8" s="5"/>
      <c r="D8" s="5"/>
      <c r="E8" s="5"/>
      <c r="F8" s="5"/>
      <c r="G8" s="5"/>
      <c r="H8" s="7"/>
      <c r="I8" s="7"/>
      <c r="J8" s="7"/>
      <c r="K8" s="7"/>
      <c r="L8" s="7"/>
      <c r="M8" s="7"/>
      <c r="N8" s="7"/>
      <c r="O8" s="7"/>
      <c r="P8" s="7"/>
      <c r="Q8" s="4"/>
      <c r="R8" s="4"/>
      <c r="S8" s="4"/>
      <c r="U8" s="4"/>
      <c r="V8" s="4"/>
      <c r="W8" s="4"/>
      <c r="X8" s="4"/>
    </row>
    <row r="9" spans="2:24" ht="14.25" x14ac:dyDescent="0.2">
      <c r="B9" s="6" t="s">
        <v>94</v>
      </c>
      <c r="C9" s="6" t="s">
        <v>95</v>
      </c>
      <c r="D9" s="9">
        <v>1074033</v>
      </c>
      <c r="E9" s="9">
        <v>569039</v>
      </c>
      <c r="F9" s="9">
        <v>239372</v>
      </c>
      <c r="G9" s="9">
        <v>505615</v>
      </c>
      <c r="H9" s="9">
        <v>851709</v>
      </c>
      <c r="I9" s="9">
        <v>621002.92681999947</v>
      </c>
      <c r="J9" s="9">
        <v>545533.17558999942</v>
      </c>
      <c r="K9" s="2">
        <v>527177</v>
      </c>
      <c r="L9" s="2">
        <v>729711</v>
      </c>
      <c r="M9" s="2">
        <v>565292</v>
      </c>
      <c r="N9" s="2">
        <v>519193</v>
      </c>
      <c r="O9" s="2">
        <v>460861</v>
      </c>
      <c r="P9" s="2">
        <v>623570</v>
      </c>
      <c r="Q9" s="2">
        <v>486306</v>
      </c>
      <c r="R9" s="2">
        <v>434172.64930000005</v>
      </c>
      <c r="S9" s="2">
        <v>424523</v>
      </c>
      <c r="U9" s="2">
        <v>1968571.6493000002</v>
      </c>
      <c r="V9" s="2">
        <v>2275057</v>
      </c>
      <c r="W9" s="2">
        <v>2545422.1024099989</v>
      </c>
      <c r="X9" s="2">
        <v>2388059</v>
      </c>
    </row>
    <row r="10" spans="2:24" ht="14.25" x14ac:dyDescent="0.2">
      <c r="B10" s="8" t="s">
        <v>592</v>
      </c>
      <c r="C10" s="8" t="s">
        <v>593</v>
      </c>
      <c r="D10" s="4">
        <v>909792.38634999981</v>
      </c>
      <c r="E10" s="4">
        <v>569039</v>
      </c>
      <c r="F10" s="4">
        <v>239372</v>
      </c>
      <c r="G10" s="4">
        <v>505615</v>
      </c>
      <c r="H10" s="4">
        <v>851709</v>
      </c>
      <c r="I10" s="4">
        <v>621002.92681999947</v>
      </c>
      <c r="J10" s="4">
        <v>545533.17558999942</v>
      </c>
      <c r="K10" s="4">
        <v>527177</v>
      </c>
      <c r="L10" s="4">
        <v>729711</v>
      </c>
      <c r="M10" s="4">
        <v>565292</v>
      </c>
      <c r="N10" s="4">
        <v>519193</v>
      </c>
      <c r="O10" s="4">
        <v>460861</v>
      </c>
      <c r="P10" s="4">
        <v>623570</v>
      </c>
      <c r="Q10" s="4">
        <v>486306</v>
      </c>
      <c r="R10" s="4">
        <v>434172.64930000005</v>
      </c>
      <c r="S10" s="4">
        <v>424523</v>
      </c>
      <c r="U10" s="4">
        <v>1968571.6493000002</v>
      </c>
      <c r="V10" s="4">
        <v>2275057</v>
      </c>
      <c r="W10" s="4">
        <v>2545422.1024099989</v>
      </c>
      <c r="X10" s="17">
        <v>2223818.3863499998</v>
      </c>
    </row>
    <row r="11" spans="2:24" ht="14.25" x14ac:dyDescent="0.2">
      <c r="B11" s="8" t="s">
        <v>594</v>
      </c>
      <c r="C11" s="8" t="s">
        <v>595</v>
      </c>
      <c r="D11" s="4">
        <v>188294</v>
      </c>
      <c r="E11" s="17" t="s">
        <v>166</v>
      </c>
      <c r="F11" s="17" t="s">
        <v>166</v>
      </c>
      <c r="G11" s="17" t="s">
        <v>166</v>
      </c>
      <c r="H11" s="17" t="s">
        <v>166</v>
      </c>
      <c r="I11" s="17" t="s">
        <v>166</v>
      </c>
      <c r="J11" s="17" t="s">
        <v>166</v>
      </c>
      <c r="K11" s="17" t="s">
        <v>166</v>
      </c>
      <c r="L11" s="17" t="s">
        <v>166</v>
      </c>
      <c r="M11" s="17" t="s">
        <v>166</v>
      </c>
      <c r="N11" s="17" t="s">
        <v>166</v>
      </c>
      <c r="O11" s="17" t="s">
        <v>166</v>
      </c>
      <c r="P11" s="17" t="s">
        <v>166</v>
      </c>
      <c r="Q11" s="17" t="s">
        <v>166</v>
      </c>
      <c r="R11" s="17" t="s">
        <v>166</v>
      </c>
      <c r="S11" s="17" t="s">
        <v>166</v>
      </c>
      <c r="U11" s="4">
        <v>0</v>
      </c>
      <c r="V11" s="4">
        <v>0</v>
      </c>
      <c r="W11" s="4">
        <v>0</v>
      </c>
      <c r="X11" s="17">
        <v>188294</v>
      </c>
    </row>
    <row r="12" spans="2:24" ht="14.25" x14ac:dyDescent="0.2">
      <c r="B12" s="8" t="s">
        <v>579</v>
      </c>
      <c r="C12" s="8" t="s">
        <v>582</v>
      </c>
      <c r="D12" s="11">
        <v>-24053</v>
      </c>
      <c r="E12" s="17" t="s">
        <v>166</v>
      </c>
      <c r="F12" s="17" t="s">
        <v>166</v>
      </c>
      <c r="G12" s="17" t="s">
        <v>166</v>
      </c>
      <c r="H12" s="17" t="s">
        <v>166</v>
      </c>
      <c r="I12" s="17" t="s">
        <v>166</v>
      </c>
      <c r="J12" s="17" t="s">
        <v>166</v>
      </c>
      <c r="K12" s="17" t="s">
        <v>166</v>
      </c>
      <c r="L12" s="17" t="s">
        <v>166</v>
      </c>
      <c r="M12" s="17" t="s">
        <v>166</v>
      </c>
      <c r="N12" s="17" t="s">
        <v>166</v>
      </c>
      <c r="O12" s="17" t="s">
        <v>166</v>
      </c>
      <c r="P12" s="17" t="s">
        <v>166</v>
      </c>
      <c r="Q12" s="17" t="s">
        <v>166</v>
      </c>
      <c r="R12" s="17" t="s">
        <v>166</v>
      </c>
      <c r="S12" s="17" t="s">
        <v>166</v>
      </c>
      <c r="U12" s="4">
        <v>0</v>
      </c>
      <c r="V12" s="4">
        <v>0</v>
      </c>
      <c r="W12" s="4">
        <v>0</v>
      </c>
      <c r="X12" s="17">
        <v>-24053</v>
      </c>
    </row>
    <row r="13" spans="2:24" ht="14.25" x14ac:dyDescent="0.2">
      <c r="B13" s="8" t="s">
        <v>96</v>
      </c>
      <c r="C13" s="8" t="s">
        <v>97</v>
      </c>
      <c r="D13" s="4">
        <v>-609863</v>
      </c>
      <c r="E13" s="4">
        <v>-321115</v>
      </c>
      <c r="F13" s="4">
        <v>-155861</v>
      </c>
      <c r="G13" s="4">
        <v>-259232</v>
      </c>
      <c r="H13" s="4">
        <v>-441355</v>
      </c>
      <c r="I13" s="4">
        <v>-314016</v>
      </c>
      <c r="J13" s="4">
        <v>-268420</v>
      </c>
      <c r="K13" s="4">
        <v>-263019</v>
      </c>
      <c r="L13" s="4">
        <v>-375318</v>
      </c>
      <c r="M13" s="4">
        <v>-291974</v>
      </c>
      <c r="N13" s="4">
        <v>-256825</v>
      </c>
      <c r="O13" s="4">
        <v>-235007</v>
      </c>
      <c r="P13" s="4">
        <v>-314457</v>
      </c>
      <c r="Q13" s="4">
        <v>-251679</v>
      </c>
      <c r="R13" s="4">
        <v>-216648</v>
      </c>
      <c r="S13" s="4">
        <v>-223818</v>
      </c>
      <c r="U13" s="4">
        <v>-1006602</v>
      </c>
      <c r="V13" s="4">
        <v>-1159124</v>
      </c>
      <c r="W13" s="4">
        <v>-1286810</v>
      </c>
      <c r="X13" s="17">
        <v>-1346071</v>
      </c>
    </row>
    <row r="14" spans="2:24" x14ac:dyDescent="0.25">
      <c r="B14" s="10"/>
      <c r="C14" s="10"/>
      <c r="D14" s="11"/>
      <c r="E14" s="11"/>
      <c r="F14" s="11"/>
      <c r="G14" s="10"/>
      <c r="H14" s="11"/>
      <c r="I14" s="11"/>
      <c r="J14" s="11"/>
      <c r="K14" s="7"/>
      <c r="L14" s="7"/>
      <c r="M14" s="7"/>
      <c r="N14" s="7"/>
      <c r="O14" s="7"/>
      <c r="P14" s="7"/>
      <c r="Q14" s="7"/>
      <c r="R14" s="7"/>
      <c r="S14" s="7"/>
      <c r="U14" s="7"/>
      <c r="V14" s="7"/>
      <c r="W14" s="7"/>
      <c r="X14" s="7"/>
    </row>
    <row r="15" spans="2:24" ht="14.25" x14ac:dyDescent="0.2">
      <c r="B15" s="6" t="s">
        <v>98</v>
      </c>
      <c r="C15" s="6" t="s">
        <v>99</v>
      </c>
      <c r="D15" s="24">
        <v>464170</v>
      </c>
      <c r="E15" s="2">
        <v>247923</v>
      </c>
      <c r="F15" s="2">
        <v>83511</v>
      </c>
      <c r="G15" s="2">
        <v>246383</v>
      </c>
      <c r="H15" s="2">
        <v>410354</v>
      </c>
      <c r="I15" s="2">
        <v>306987</v>
      </c>
      <c r="J15" s="2">
        <v>277113</v>
      </c>
      <c r="K15" s="2">
        <v>264158</v>
      </c>
      <c r="L15" s="2">
        <v>354393</v>
      </c>
      <c r="M15" s="2">
        <v>273318</v>
      </c>
      <c r="N15" s="2">
        <v>262368</v>
      </c>
      <c r="O15" s="2">
        <v>225854</v>
      </c>
      <c r="P15" s="2">
        <v>309113</v>
      </c>
      <c r="Q15" s="2">
        <v>234627</v>
      </c>
      <c r="R15" s="2">
        <v>217525</v>
      </c>
      <c r="S15" s="2">
        <v>200705</v>
      </c>
      <c r="U15" s="2">
        <v>961970</v>
      </c>
      <c r="V15" s="2">
        <v>1115933</v>
      </c>
      <c r="W15" s="2">
        <v>1258612</v>
      </c>
      <c r="X15" s="2">
        <v>1041987</v>
      </c>
    </row>
    <row r="16" spans="2:24" ht="14.25" x14ac:dyDescent="0.2">
      <c r="B16" s="28" t="s">
        <v>697</v>
      </c>
      <c r="C16" s="28" t="s">
        <v>698</v>
      </c>
      <c r="D16" s="29">
        <v>0.4321748028226321</v>
      </c>
      <c r="E16" s="29">
        <v>0.43568718488539449</v>
      </c>
      <c r="F16" s="29">
        <v>0.3488753906054175</v>
      </c>
      <c r="G16" s="29">
        <v>0.48729369184062971</v>
      </c>
      <c r="H16" s="29">
        <v>0.4818007089275797</v>
      </c>
      <c r="I16" s="29">
        <v>0.49434066530411308</v>
      </c>
      <c r="J16" s="29">
        <v>0.50796727385149332</v>
      </c>
      <c r="K16" s="29">
        <v>0.5010802823340168</v>
      </c>
      <c r="L16" s="29">
        <v>0.48566213199472119</v>
      </c>
      <c r="M16" s="29">
        <v>0.4834987935438676</v>
      </c>
      <c r="N16" s="29">
        <v>0.50533809200046997</v>
      </c>
      <c r="O16" s="29">
        <v>0.49006967393639295</v>
      </c>
      <c r="P16" s="29">
        <v>0.49571499591064355</v>
      </c>
      <c r="Q16" s="29">
        <v>0.48246782889785444</v>
      </c>
      <c r="R16" s="29">
        <v>0.50101037076081889</v>
      </c>
      <c r="S16" s="29">
        <v>0.47277768224572048</v>
      </c>
      <c r="U16" s="29">
        <v>0.48866395101344912</v>
      </c>
      <c r="V16" s="29">
        <v>0.490507710356268</v>
      </c>
      <c r="W16" s="29">
        <v>0.49446101642959317</v>
      </c>
      <c r="X16" s="29">
        <v>0.43633218442257915</v>
      </c>
    </row>
    <row r="17" spans="2:24" ht="14.25" x14ac:dyDescent="0.2">
      <c r="B17" s="26"/>
      <c r="C17" s="26"/>
      <c r="D17" s="27"/>
      <c r="E17" s="27"/>
      <c r="F17" s="27"/>
      <c r="G17" s="27"/>
      <c r="H17" s="27"/>
      <c r="I17" s="27"/>
      <c r="J17" s="27"/>
      <c r="K17" s="27"/>
      <c r="L17" s="27"/>
      <c r="M17" s="27"/>
      <c r="N17" s="27"/>
      <c r="O17" s="27"/>
      <c r="P17" s="27"/>
      <c r="Q17" s="27"/>
      <c r="R17" s="27"/>
      <c r="S17" s="27"/>
      <c r="U17" s="27"/>
      <c r="V17" s="29"/>
      <c r="W17" s="27"/>
      <c r="X17" s="27"/>
    </row>
    <row r="18" spans="2:24" ht="14.25" x14ac:dyDescent="0.2">
      <c r="B18" s="12" t="s">
        <v>100</v>
      </c>
      <c r="C18" s="12" t="s">
        <v>101</v>
      </c>
      <c r="D18" s="25">
        <v>-362080.57419503201</v>
      </c>
      <c r="E18" s="25">
        <v>-238866.16249999998</v>
      </c>
      <c r="F18" s="25">
        <v>-152796</v>
      </c>
      <c r="G18" s="25">
        <v>-214445</v>
      </c>
      <c r="H18" s="25">
        <v>-132739.55481</v>
      </c>
      <c r="I18" s="25">
        <v>-203741.00474</v>
      </c>
      <c r="J18" s="25">
        <v>-113564</v>
      </c>
      <c r="K18" s="25">
        <v>-195129</v>
      </c>
      <c r="L18" s="25">
        <v>-241262</v>
      </c>
      <c r="M18" s="25">
        <v>-171647</v>
      </c>
      <c r="N18" s="25">
        <v>-190980</v>
      </c>
      <c r="O18" s="25">
        <v>-170565</v>
      </c>
      <c r="P18" s="25">
        <v>-224402.33798000013</v>
      </c>
      <c r="Q18" s="25">
        <v>-177163.35816999988</v>
      </c>
      <c r="R18" s="25">
        <v>-165038.82153999992</v>
      </c>
      <c r="S18" s="25">
        <v>-151106</v>
      </c>
      <c r="U18" s="4">
        <v>-717710.51768999989</v>
      </c>
      <c r="V18" s="4">
        <v>-774454</v>
      </c>
      <c r="W18" s="4">
        <v>-645173.55955000001</v>
      </c>
      <c r="X18" s="17">
        <v>-968187.73669503198</v>
      </c>
    </row>
    <row r="19" spans="2:24" ht="14.25" x14ac:dyDescent="0.2">
      <c r="B19" s="8" t="s">
        <v>719</v>
      </c>
      <c r="C19" s="8" t="s">
        <v>720</v>
      </c>
      <c r="D19" s="25">
        <v>-343814.46455503203</v>
      </c>
      <c r="E19" s="25">
        <v>-223228.16249999998</v>
      </c>
      <c r="F19" s="25">
        <v>-147061</v>
      </c>
      <c r="G19" s="25">
        <v>-218637</v>
      </c>
      <c r="H19" s="25">
        <v>-434186.55481</v>
      </c>
      <c r="I19" s="25">
        <v>-211330.00474</v>
      </c>
      <c r="J19" s="25">
        <v>-198175</v>
      </c>
      <c r="K19" s="25">
        <v>-195130</v>
      </c>
      <c r="L19" s="25">
        <v>-245302</v>
      </c>
      <c r="M19" s="25">
        <v>-169996</v>
      </c>
      <c r="N19" s="25">
        <v>-191288</v>
      </c>
      <c r="O19" s="25">
        <v>-170571</v>
      </c>
      <c r="P19" s="25">
        <v>-213198.33798000013</v>
      </c>
      <c r="Q19" s="25">
        <v>-179078.35816999988</v>
      </c>
      <c r="R19" s="25">
        <v>-165100.82153999992</v>
      </c>
      <c r="S19" s="25">
        <v>-149183</v>
      </c>
      <c r="U19" s="4">
        <v>-706560.51768999989</v>
      </c>
      <c r="V19" s="4">
        <v>-777157</v>
      </c>
      <c r="W19" s="4">
        <v>-1038821.55955</v>
      </c>
      <c r="X19" s="17">
        <v>-932740.62705503195</v>
      </c>
    </row>
    <row r="20" spans="2:24" ht="14.25" x14ac:dyDescent="0.2">
      <c r="B20" s="8" t="s">
        <v>103</v>
      </c>
      <c r="C20" s="8" t="s">
        <v>104</v>
      </c>
      <c r="D20" s="25">
        <v>-18266.109640000002</v>
      </c>
      <c r="E20" s="4">
        <v>-15638</v>
      </c>
      <c r="F20" s="4">
        <v>-5735</v>
      </c>
      <c r="G20" s="4">
        <v>4192</v>
      </c>
      <c r="H20" s="4">
        <v>301447</v>
      </c>
      <c r="I20" s="4">
        <v>7589</v>
      </c>
      <c r="J20" s="4">
        <v>84611</v>
      </c>
      <c r="K20" s="4">
        <v>1</v>
      </c>
      <c r="L20" s="4">
        <v>4040</v>
      </c>
      <c r="M20" s="4">
        <v>-1651</v>
      </c>
      <c r="N20" s="4">
        <v>308</v>
      </c>
      <c r="O20" s="4">
        <v>6</v>
      </c>
      <c r="P20" s="4">
        <v>-11204</v>
      </c>
      <c r="Q20" s="4">
        <v>1915</v>
      </c>
      <c r="R20" s="4">
        <v>62</v>
      </c>
      <c r="S20" s="4">
        <v>-1923</v>
      </c>
      <c r="U20" s="4">
        <v>-11150</v>
      </c>
      <c r="V20" s="4">
        <v>2703</v>
      </c>
      <c r="W20" s="4">
        <v>393648</v>
      </c>
      <c r="X20" s="17">
        <v>-35447.109640000002</v>
      </c>
    </row>
    <row r="21" spans="2:24" ht="14.25" x14ac:dyDescent="0.2">
      <c r="B21" s="8"/>
      <c r="C21" s="8"/>
      <c r="D21" s="8"/>
      <c r="E21" s="8"/>
      <c r="F21" s="8"/>
      <c r="G21" s="8"/>
      <c r="H21" s="13"/>
      <c r="I21" s="13"/>
      <c r="J21" s="13"/>
      <c r="K21" s="4"/>
      <c r="L21" s="4"/>
      <c r="M21" s="4"/>
      <c r="N21" s="4"/>
      <c r="O21" s="4"/>
      <c r="P21" s="4"/>
      <c r="Q21" s="4"/>
      <c r="R21" s="4"/>
      <c r="S21" s="4"/>
      <c r="U21" s="4"/>
      <c r="V21" s="4"/>
      <c r="W21" s="4"/>
      <c r="X21" s="4"/>
    </row>
    <row r="22" spans="2:24" ht="14.25" x14ac:dyDescent="0.2">
      <c r="B22" s="6" t="s">
        <v>105</v>
      </c>
      <c r="C22" s="6" t="s">
        <v>105</v>
      </c>
      <c r="D22" s="24">
        <v>65247.146599999876</v>
      </c>
      <c r="E22" s="2">
        <v>-16034.547679999956</v>
      </c>
      <c r="F22" s="2">
        <v>-94073</v>
      </c>
      <c r="G22" s="2">
        <v>7493</v>
      </c>
      <c r="H22" s="2">
        <v>253705</v>
      </c>
      <c r="I22" s="2">
        <v>80549.997629999983</v>
      </c>
      <c r="J22" s="2">
        <v>141361</v>
      </c>
      <c r="K22" s="2">
        <v>46705</v>
      </c>
      <c r="L22" s="2">
        <v>92936</v>
      </c>
      <c r="M22" s="2">
        <v>82004</v>
      </c>
      <c r="N22" s="2">
        <v>50914</v>
      </c>
      <c r="O22" s="2">
        <v>34859</v>
      </c>
      <c r="P22" s="2">
        <v>65310.331009999936</v>
      </c>
      <c r="Q22" s="2">
        <v>36866.668990000064</v>
      </c>
      <c r="R22" s="2">
        <v>32583</v>
      </c>
      <c r="S22" s="2">
        <v>29910</v>
      </c>
      <c r="U22" s="2">
        <v>164670</v>
      </c>
      <c r="V22" s="2">
        <v>260713</v>
      </c>
      <c r="W22" s="2">
        <v>522320.99763</v>
      </c>
      <c r="X22" s="2">
        <v>-37367.401080000083</v>
      </c>
    </row>
    <row r="23" spans="2:24" s="18" customFormat="1" ht="14.25" x14ac:dyDescent="0.2">
      <c r="B23" s="30" t="s">
        <v>699</v>
      </c>
      <c r="C23" s="30" t="s">
        <v>702</v>
      </c>
      <c r="D23" s="29">
        <f>D22/D$9</f>
        <v>6.074966653724781E-2</v>
      </c>
      <c r="E23" s="29">
        <f>E22/E$9</f>
        <v>-2.8178293016823022E-2</v>
      </c>
      <c r="F23" s="29">
        <f t="shared" ref="F23:S23" si="0">F22/F$9</f>
        <v>-0.39299918119078253</v>
      </c>
      <c r="G23" s="29">
        <f t="shared" si="0"/>
        <v>1.4819576159726273E-2</v>
      </c>
      <c r="H23" s="29">
        <f t="shared" si="0"/>
        <v>0.29787756146759048</v>
      </c>
      <c r="I23" s="29">
        <f t="shared" si="0"/>
        <v>0.12970952978028036</v>
      </c>
      <c r="J23" s="29">
        <f t="shared" si="0"/>
        <v>0.25912447917968823</v>
      </c>
      <c r="K23" s="29">
        <f t="shared" si="0"/>
        <v>8.8594532766034934E-2</v>
      </c>
      <c r="L23" s="29">
        <f t="shared" si="0"/>
        <v>0.12736000964765504</v>
      </c>
      <c r="M23" s="29">
        <f t="shared" si="0"/>
        <v>0.14506485143960998</v>
      </c>
      <c r="N23" s="29">
        <f t="shared" si="0"/>
        <v>9.8063725820648581E-2</v>
      </c>
      <c r="O23" s="29">
        <f t="shared" si="0"/>
        <v>7.563885857123949E-2</v>
      </c>
      <c r="P23" s="29">
        <f t="shared" si="0"/>
        <v>0.1047361659637249</v>
      </c>
      <c r="Q23" s="29">
        <f t="shared" si="0"/>
        <v>7.5809611623134543E-2</v>
      </c>
      <c r="R23" s="29">
        <f t="shared" si="0"/>
        <v>7.5046182785885582E-2</v>
      </c>
      <c r="S23" s="29">
        <f t="shared" si="0"/>
        <v>7.0455546578159486E-2</v>
      </c>
      <c r="U23" s="29">
        <v>8.364948263811206E-2</v>
      </c>
      <c r="V23" s="29">
        <v>0.11459624967638174</v>
      </c>
      <c r="W23" s="29">
        <v>0.20520015015799065</v>
      </c>
      <c r="X23" s="29">
        <v>-1.5647603798733652E-2</v>
      </c>
    </row>
    <row r="24" spans="2:24" x14ac:dyDescent="0.25">
      <c r="B24" s="5"/>
      <c r="C24" s="5"/>
      <c r="D24" s="5"/>
      <c r="E24" s="7"/>
      <c r="F24" s="5"/>
      <c r="G24" s="5"/>
      <c r="H24" s="7"/>
      <c r="I24" s="7"/>
      <c r="J24" s="7"/>
      <c r="K24" s="14"/>
      <c r="L24" s="14"/>
      <c r="M24" s="14"/>
      <c r="N24" s="14"/>
      <c r="O24" s="14"/>
      <c r="P24" s="14"/>
      <c r="Q24" s="14"/>
      <c r="R24" s="14"/>
      <c r="S24" s="14"/>
      <c r="U24" s="14"/>
      <c r="V24" s="14"/>
      <c r="W24" s="14"/>
      <c r="X24" s="14"/>
    </row>
    <row r="25" spans="2:24" ht="14.25" x14ac:dyDescent="0.2">
      <c r="B25" s="6" t="s">
        <v>106</v>
      </c>
      <c r="C25" s="6" t="s">
        <v>107</v>
      </c>
      <c r="D25" s="24">
        <v>-36841.836204968</v>
      </c>
      <c r="E25" s="2">
        <v>-25091.385180000001</v>
      </c>
      <c r="F25" s="2">
        <v>-24788</v>
      </c>
      <c r="G25" s="2">
        <v>-24445</v>
      </c>
      <c r="H25" s="2">
        <v>-23909</v>
      </c>
      <c r="I25" s="2">
        <v>-22695.997629999987</v>
      </c>
      <c r="J25" s="2">
        <v>-22188</v>
      </c>
      <c r="K25" s="2">
        <v>-22324</v>
      </c>
      <c r="L25" s="2">
        <v>-20195</v>
      </c>
      <c r="M25" s="2">
        <v>-19667</v>
      </c>
      <c r="N25" s="2">
        <v>-20474</v>
      </c>
      <c r="O25" s="2">
        <v>-20430</v>
      </c>
      <c r="P25" s="2">
        <v>-19400.331009999943</v>
      </c>
      <c r="Q25" s="2">
        <v>-20596.668990000057</v>
      </c>
      <c r="R25" s="2">
        <v>-19903.589230000038</v>
      </c>
      <c r="S25" s="2">
        <v>-19689</v>
      </c>
      <c r="U25" s="2">
        <v>-79589.589230000041</v>
      </c>
      <c r="V25" s="2">
        <v>-80766</v>
      </c>
      <c r="W25" s="2">
        <v>-91116.997629999983</v>
      </c>
      <c r="X25" s="2">
        <v>-111166.221384968</v>
      </c>
    </row>
    <row r="26" spans="2:24" ht="15.75" customHeight="1" x14ac:dyDescent="0.25">
      <c r="B26" s="5"/>
      <c r="C26" s="5"/>
      <c r="D26" s="7"/>
      <c r="E26" s="7"/>
      <c r="F26" s="7"/>
      <c r="G26" s="7"/>
      <c r="H26" s="7"/>
      <c r="I26" s="7"/>
      <c r="J26" s="7"/>
      <c r="K26" s="14"/>
      <c r="L26" s="14"/>
      <c r="M26" s="14"/>
      <c r="N26" s="14"/>
      <c r="O26" s="14"/>
      <c r="P26" s="14"/>
      <c r="Q26" s="14"/>
      <c r="R26" s="14"/>
      <c r="S26" s="14"/>
      <c r="U26" s="14"/>
      <c r="V26" s="14"/>
      <c r="W26" s="14"/>
      <c r="X26" s="14"/>
    </row>
    <row r="27" spans="2:24" ht="15.75" customHeight="1" x14ac:dyDescent="0.2">
      <c r="B27" s="1" t="s">
        <v>108</v>
      </c>
      <c r="C27" s="1" t="s">
        <v>109</v>
      </c>
      <c r="D27" s="24">
        <v>28405.310395031876</v>
      </c>
      <c r="E27" s="2">
        <v>-41125.932859999957</v>
      </c>
      <c r="F27" s="2">
        <v>-118861</v>
      </c>
      <c r="G27" s="2">
        <v>-16952</v>
      </c>
      <c r="H27" s="2">
        <v>229796</v>
      </c>
      <c r="I27" s="2">
        <v>57854</v>
      </c>
      <c r="J27" s="2">
        <v>119173</v>
      </c>
      <c r="K27" s="2">
        <v>24381</v>
      </c>
      <c r="L27" s="2">
        <v>72741</v>
      </c>
      <c r="M27" s="2">
        <v>62337</v>
      </c>
      <c r="N27" s="2">
        <v>30440</v>
      </c>
      <c r="O27" s="2">
        <v>14429</v>
      </c>
      <c r="P27" s="2">
        <v>45910</v>
      </c>
      <c r="Q27" s="2">
        <v>16270.303849999997</v>
      </c>
      <c r="R27" s="2">
        <v>12679</v>
      </c>
      <c r="S27" s="2">
        <v>10221</v>
      </c>
      <c r="U27" s="2">
        <v>85080.303849999997</v>
      </c>
      <c r="V27" s="2">
        <v>179947</v>
      </c>
      <c r="W27" s="2">
        <v>431204</v>
      </c>
      <c r="X27" s="2">
        <v>-148533.62246496807</v>
      </c>
    </row>
    <row r="28" spans="2:24" ht="15.75" customHeight="1" x14ac:dyDescent="0.2">
      <c r="B28" s="3" t="s">
        <v>110</v>
      </c>
      <c r="C28" s="3" t="s">
        <v>111</v>
      </c>
      <c r="D28" s="4">
        <v>-32550.483244329811</v>
      </c>
      <c r="E28" s="4">
        <v>-6506</v>
      </c>
      <c r="F28" s="4">
        <v>-18746</v>
      </c>
      <c r="G28" s="4">
        <v>25822</v>
      </c>
      <c r="H28" s="4">
        <v>28941</v>
      </c>
      <c r="I28" s="4">
        <v>-2495</v>
      </c>
      <c r="J28" s="4">
        <v>17637</v>
      </c>
      <c r="K28" s="4">
        <v>-21536</v>
      </c>
      <c r="L28" s="4">
        <v>-23877</v>
      </c>
      <c r="M28" s="4">
        <v>-21570</v>
      </c>
      <c r="N28" s="4">
        <v>-22208</v>
      </c>
      <c r="O28" s="4">
        <v>-24075</v>
      </c>
      <c r="P28" s="4">
        <v>-45395</v>
      </c>
      <c r="Q28" s="4">
        <v>-34651</v>
      </c>
      <c r="R28" s="4">
        <v>-78294.04289000007</v>
      </c>
      <c r="S28" s="4">
        <v>-45175</v>
      </c>
      <c r="U28" s="4">
        <v>-203515.04289000007</v>
      </c>
      <c r="V28" s="4">
        <v>-91730</v>
      </c>
      <c r="W28" s="4">
        <v>22547</v>
      </c>
      <c r="X28" s="17">
        <v>-31980.483244329807</v>
      </c>
    </row>
    <row r="29" spans="2:24" ht="15.75" customHeight="1" x14ac:dyDescent="0.25">
      <c r="B29" s="10"/>
      <c r="C29" s="10"/>
      <c r="D29" s="11"/>
      <c r="E29" s="11"/>
      <c r="F29" s="11"/>
      <c r="G29" s="11"/>
      <c r="H29" s="11"/>
      <c r="I29" s="11"/>
      <c r="J29" s="11"/>
      <c r="K29" s="7"/>
      <c r="L29" s="7"/>
      <c r="M29" s="7"/>
      <c r="N29" s="7"/>
      <c r="O29" s="7"/>
      <c r="P29" s="7"/>
      <c r="Q29" s="7"/>
      <c r="R29" s="7"/>
      <c r="S29" s="7"/>
      <c r="U29" s="7"/>
      <c r="V29" s="7"/>
      <c r="W29" s="7"/>
      <c r="X29" s="7"/>
    </row>
    <row r="30" spans="2:24" ht="15.75" customHeight="1" x14ac:dyDescent="0.2">
      <c r="B30" s="6" t="s">
        <v>112</v>
      </c>
      <c r="C30" s="6" t="s">
        <v>113</v>
      </c>
      <c r="D30" s="24">
        <v>-4145.172849297931</v>
      </c>
      <c r="E30" s="2">
        <v>-47631.932859999957</v>
      </c>
      <c r="F30" s="2">
        <v>-137607</v>
      </c>
      <c r="G30" s="2">
        <v>8870</v>
      </c>
      <c r="H30" s="2">
        <v>258737</v>
      </c>
      <c r="I30" s="2">
        <v>55359</v>
      </c>
      <c r="J30" s="2">
        <v>136810</v>
      </c>
      <c r="K30" s="2">
        <v>2845</v>
      </c>
      <c r="L30" s="2">
        <v>48864</v>
      </c>
      <c r="M30" s="2">
        <v>40767</v>
      </c>
      <c r="N30" s="2">
        <v>8232</v>
      </c>
      <c r="O30" s="2">
        <v>-9645</v>
      </c>
      <c r="P30" s="2">
        <v>515</v>
      </c>
      <c r="Q30" s="2">
        <v>-18380.696150000003</v>
      </c>
      <c r="R30" s="2">
        <v>-65615.04289000007</v>
      </c>
      <c r="S30" s="2">
        <v>-34954.094679999776</v>
      </c>
      <c r="U30" s="2">
        <v>-118434.83371999985</v>
      </c>
      <c r="V30" s="2">
        <v>88218</v>
      </c>
      <c r="W30" s="2">
        <v>453751</v>
      </c>
      <c r="X30" s="2">
        <v>-180514.10570929787</v>
      </c>
    </row>
    <row r="31" spans="2:24" ht="15.75" customHeight="1" x14ac:dyDescent="0.2">
      <c r="B31" s="3" t="s">
        <v>114</v>
      </c>
      <c r="C31" s="3" t="s">
        <v>115</v>
      </c>
      <c r="D31" s="4">
        <v>3528.2206799999694</v>
      </c>
      <c r="E31" s="4">
        <v>20852</v>
      </c>
      <c r="F31" s="4">
        <v>48501</v>
      </c>
      <c r="G31" s="4">
        <v>2192</v>
      </c>
      <c r="H31" s="4">
        <v>-87521</v>
      </c>
      <c r="I31" s="4">
        <v>-8605.5</v>
      </c>
      <c r="J31" s="4">
        <v>-17877.5</v>
      </c>
      <c r="K31" s="4">
        <v>-585</v>
      </c>
      <c r="L31" s="4">
        <v>74028</v>
      </c>
      <c r="M31" s="4">
        <v>-2380</v>
      </c>
      <c r="N31" s="4">
        <v>-10671</v>
      </c>
      <c r="O31" s="4">
        <v>-446</v>
      </c>
      <c r="P31" s="4">
        <v>9286</v>
      </c>
      <c r="Q31" s="4">
        <v>199667</v>
      </c>
      <c r="R31" s="4">
        <v>149428</v>
      </c>
      <c r="S31" s="4">
        <v>1065</v>
      </c>
      <c r="U31" s="4">
        <v>359446</v>
      </c>
      <c r="V31" s="4">
        <v>60531</v>
      </c>
      <c r="W31" s="4">
        <v>-114589</v>
      </c>
      <c r="X31" s="17">
        <v>75073.220679999969</v>
      </c>
    </row>
    <row r="32" spans="2:24" ht="15.75" customHeight="1" x14ac:dyDescent="0.25">
      <c r="B32" s="10"/>
      <c r="C32" s="10"/>
      <c r="D32" s="11"/>
      <c r="E32" s="11"/>
      <c r="F32" s="11"/>
      <c r="G32" s="11"/>
      <c r="H32" s="11"/>
      <c r="I32" s="11"/>
      <c r="J32" s="11"/>
      <c r="K32" s="7"/>
      <c r="L32" s="7"/>
      <c r="M32" s="7"/>
      <c r="N32" s="7"/>
      <c r="O32" s="7"/>
      <c r="P32" s="7"/>
      <c r="Q32" s="7"/>
      <c r="R32" s="7"/>
      <c r="S32" s="7"/>
      <c r="U32" s="7"/>
      <c r="V32" s="7"/>
      <c r="W32" s="7"/>
      <c r="X32" s="7"/>
    </row>
    <row r="33" spans="2:24" ht="15.75" customHeight="1" x14ac:dyDescent="0.2">
      <c r="B33" s="6" t="s">
        <v>116</v>
      </c>
      <c r="C33" s="6" t="s">
        <v>117</v>
      </c>
      <c r="D33" s="24">
        <v>-616.95216929806338</v>
      </c>
      <c r="E33" s="2">
        <v>-26779.932859999957</v>
      </c>
      <c r="F33" s="2">
        <v>-89106</v>
      </c>
      <c r="G33" s="2">
        <v>11062</v>
      </c>
      <c r="H33" s="2">
        <v>171216</v>
      </c>
      <c r="I33" s="2">
        <v>46753.5</v>
      </c>
      <c r="J33" s="2">
        <v>118932</v>
      </c>
      <c r="K33" s="2">
        <v>2260</v>
      </c>
      <c r="L33" s="2">
        <v>122892</v>
      </c>
      <c r="M33" s="2">
        <v>38387</v>
      </c>
      <c r="N33" s="2">
        <v>-2439</v>
      </c>
      <c r="O33" s="2">
        <v>-10092</v>
      </c>
      <c r="P33" s="2">
        <v>9801</v>
      </c>
      <c r="Q33" s="2">
        <v>181286.30385</v>
      </c>
      <c r="R33" s="2">
        <v>83812.79082999978</v>
      </c>
      <c r="S33" s="2">
        <v>-33889.094679999776</v>
      </c>
      <c r="U33" s="2">
        <v>241010.99999999997</v>
      </c>
      <c r="V33" s="2">
        <v>148748</v>
      </c>
      <c r="W33" s="2">
        <v>339161.5</v>
      </c>
      <c r="X33" s="2">
        <v>-105440.88502929802</v>
      </c>
    </row>
    <row r="34" spans="2:24" s="18" customFormat="1" ht="14.25" x14ac:dyDescent="0.2">
      <c r="B34" s="30" t="s">
        <v>700</v>
      </c>
      <c r="C34" s="30" t="s">
        <v>701</v>
      </c>
      <c r="D34" s="29">
        <f>D33/D$9</f>
        <v>-5.7442571066071847E-4</v>
      </c>
      <c r="E34" s="29">
        <f t="shared" ref="E34:S34" si="1">E33/E$9</f>
        <v>-4.7061682696616501E-2</v>
      </c>
      <c r="F34" s="29">
        <f t="shared" si="1"/>
        <v>-0.37224905168524303</v>
      </c>
      <c r="G34" s="29">
        <f t="shared" si="1"/>
        <v>2.1878306616694522E-2</v>
      </c>
      <c r="H34" s="29">
        <f t="shared" si="1"/>
        <v>0.2010264069065843</v>
      </c>
      <c r="I34" s="29">
        <f t="shared" si="1"/>
        <v>7.5287084779798008E-2</v>
      </c>
      <c r="J34" s="29">
        <f t="shared" si="1"/>
        <v>0.21801057263176321</v>
      </c>
      <c r="K34" s="29">
        <f t="shared" si="1"/>
        <v>4.2869852061072468E-3</v>
      </c>
      <c r="L34" s="29">
        <f t="shared" si="1"/>
        <v>0.16841187812709416</v>
      </c>
      <c r="M34" s="29">
        <f t="shared" si="1"/>
        <v>6.7906497880741282E-2</v>
      </c>
      <c r="N34" s="29">
        <f t="shared" si="1"/>
        <v>-4.6976750456959168E-3</v>
      </c>
      <c r="O34" s="29">
        <f t="shared" si="1"/>
        <v>-2.1898142823975123E-2</v>
      </c>
      <c r="P34" s="29">
        <f t="shared" si="1"/>
        <v>1.5717561781355742E-2</v>
      </c>
      <c r="Q34" s="29">
        <f t="shared" si="1"/>
        <v>0.37278237128474662</v>
      </c>
      <c r="R34" s="29">
        <f t="shared" si="1"/>
        <v>0.19304023633254636</v>
      </c>
      <c r="S34" s="29">
        <f t="shared" si="1"/>
        <v>-7.9828642217264503E-2</v>
      </c>
      <c r="U34" s="29">
        <v>0.12242937669335049</v>
      </c>
      <c r="V34" s="29">
        <v>6.5382098118860324E-2</v>
      </c>
      <c r="W34" s="29">
        <v>0.13324371611249969</v>
      </c>
      <c r="X34" s="29">
        <v>-4.415338357607497E-2</v>
      </c>
    </row>
    <row r="35" spans="2:24" ht="15.75" customHeight="1" x14ac:dyDescent="0.2">
      <c r="B35" s="12"/>
      <c r="C35" s="12"/>
      <c r="D35" s="12"/>
      <c r="E35" s="12"/>
      <c r="F35" s="12"/>
      <c r="G35" s="12"/>
      <c r="H35" s="12"/>
      <c r="I35" s="12"/>
      <c r="J35" s="15"/>
      <c r="K35" s="15"/>
      <c r="L35" s="15"/>
      <c r="M35" s="15"/>
      <c r="N35" s="15"/>
      <c r="O35" s="15"/>
      <c r="P35" s="15"/>
      <c r="Q35" s="15"/>
      <c r="R35" s="15"/>
      <c r="S35" s="15"/>
      <c r="U35" s="15"/>
      <c r="V35" s="15"/>
      <c r="W35" s="15"/>
      <c r="X35" s="15"/>
    </row>
    <row r="36" spans="2:24" ht="15.75" customHeight="1" x14ac:dyDescent="0.25">
      <c r="B36" s="16" t="s">
        <v>118</v>
      </c>
      <c r="C36" s="16" t="s">
        <v>119</v>
      </c>
      <c r="D36" s="5"/>
      <c r="E36" s="5"/>
      <c r="F36" s="5"/>
      <c r="G36" s="5"/>
      <c r="H36" s="5"/>
      <c r="I36" s="5"/>
      <c r="J36" s="5"/>
      <c r="K36" s="7"/>
      <c r="L36" s="7"/>
      <c r="M36" s="7"/>
      <c r="N36" s="7"/>
      <c r="O36" s="7"/>
    </row>
    <row r="37" spans="2:24" ht="15.75" customHeight="1" x14ac:dyDescent="0.2">
      <c r="D37" s="19"/>
      <c r="E37" s="19"/>
    </row>
    <row r="38" spans="2:24" ht="15.75" customHeight="1" x14ac:dyDescent="0.2">
      <c r="D38" s="19"/>
      <c r="E38" s="19"/>
    </row>
    <row r="39" spans="2:24" ht="15.75" customHeight="1" x14ac:dyDescent="0.2"/>
    <row r="40" spans="2:24" ht="15.75" customHeight="1" x14ac:dyDescent="0.2"/>
    <row r="41" spans="2:24" ht="15.75" customHeight="1" x14ac:dyDescent="0.2"/>
    <row r="42" spans="2:24" ht="15.75" customHeight="1" x14ac:dyDescent="0.2"/>
    <row r="43" spans="2:24" ht="15.75" customHeight="1" x14ac:dyDescent="0.2"/>
    <row r="44" spans="2:24" ht="15.75" customHeight="1" x14ac:dyDescent="0.2"/>
    <row r="45" spans="2:24" ht="15.75" customHeight="1" x14ac:dyDescent="0.2"/>
    <row r="46" spans="2:24" ht="15.75" customHeight="1" x14ac:dyDescent="0.2"/>
    <row r="47" spans="2:24" ht="15.75" customHeight="1" x14ac:dyDescent="0.2"/>
    <row r="48" spans="2:2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1">
    <mergeCell ref="B2:C2"/>
  </mergeCells>
  <pageMargins left="0.511811024" right="0.511811024" top="0.78740157499999996" bottom="0.78740157499999996" header="0" footer="0"/>
  <pageSetup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S1004"/>
  <sheetViews>
    <sheetView showGridLines="0" zoomScale="90" zoomScaleNormal="90" workbookViewId="0">
      <pane xSplit="3" ySplit="3" topLeftCell="D4" activePane="bottomRight" state="frozen"/>
      <selection activeCell="P34" sqref="P34"/>
      <selection pane="topRight" activeCell="P34" sqref="P34"/>
      <selection pane="bottomLeft" activeCell="P34" sqref="P34"/>
      <selection pane="bottomRight"/>
    </sheetView>
  </sheetViews>
  <sheetFormatPr defaultColWidth="12.625" defaultRowHeight="15" customHeight="1" x14ac:dyDescent="0.25"/>
  <cols>
    <col min="1" max="1" width="3.5" style="36" customWidth="1"/>
    <col min="2" max="2" width="27" style="36" bestFit="1" customWidth="1"/>
    <col min="3" max="3" width="26.5" style="36" bestFit="1" customWidth="1"/>
    <col min="4" max="28" width="11.375" style="36" customWidth="1"/>
    <col min="29" max="16384" width="12.625" style="36"/>
  </cols>
  <sheetData>
    <row r="1" spans="2:19" ht="37.5" customHeight="1" x14ac:dyDescent="0.25">
      <c r="B1" s="295"/>
      <c r="C1" s="295"/>
    </row>
    <row r="2" spans="2:19" x14ac:dyDescent="0.25">
      <c r="B2" s="299" t="s">
        <v>607</v>
      </c>
      <c r="C2" s="299"/>
    </row>
    <row r="3" spans="2:19" ht="33.75" customHeight="1" x14ac:dyDescent="0.25">
      <c r="B3" s="96" t="s">
        <v>612</v>
      </c>
      <c r="C3" s="96" t="s">
        <v>613</v>
      </c>
      <c r="D3" s="101" t="s">
        <v>550</v>
      </c>
      <c r="E3" s="101" t="s">
        <v>549</v>
      </c>
      <c r="F3" s="101" t="s">
        <v>727</v>
      </c>
      <c r="G3" s="101" t="s">
        <v>78</v>
      </c>
      <c r="H3" s="101" t="s">
        <v>548</v>
      </c>
      <c r="I3" s="101" t="s">
        <v>547</v>
      </c>
      <c r="J3" s="101" t="s">
        <v>728</v>
      </c>
      <c r="K3" s="101" t="s">
        <v>82</v>
      </c>
      <c r="L3" s="102">
        <v>2018</v>
      </c>
      <c r="M3" s="103" t="s">
        <v>545</v>
      </c>
      <c r="N3" s="103" t="s">
        <v>725</v>
      </c>
      <c r="O3" s="103" t="s">
        <v>9</v>
      </c>
      <c r="P3" s="102">
        <v>2017</v>
      </c>
      <c r="Q3" s="103" t="s">
        <v>546</v>
      </c>
      <c r="R3" s="103" t="s">
        <v>726</v>
      </c>
      <c r="S3" s="103" t="s">
        <v>13</v>
      </c>
    </row>
    <row r="4" spans="2:19" x14ac:dyDescent="0.25">
      <c r="B4" s="104" t="s">
        <v>14</v>
      </c>
      <c r="C4" s="104" t="s">
        <v>15</v>
      </c>
      <c r="D4" s="105">
        <v>3289039</v>
      </c>
      <c r="E4" s="105">
        <v>2510738</v>
      </c>
      <c r="F4" s="105">
        <v>2037854</v>
      </c>
      <c r="G4" s="105">
        <v>1076920</v>
      </c>
      <c r="H4" s="105">
        <v>1581124</v>
      </c>
      <c r="I4" s="105">
        <v>1146940</v>
      </c>
      <c r="J4" s="105">
        <v>1114873</v>
      </c>
      <c r="K4" s="105">
        <v>712008</v>
      </c>
      <c r="L4" s="105">
        <v>832866</v>
      </c>
      <c r="M4" s="105">
        <v>675266</v>
      </c>
      <c r="N4" s="105">
        <v>609146</v>
      </c>
      <c r="O4" s="105">
        <v>529076</v>
      </c>
      <c r="P4" s="105">
        <v>735664</v>
      </c>
      <c r="Q4" s="105">
        <v>506838</v>
      </c>
      <c r="R4" s="105">
        <v>515709</v>
      </c>
      <c r="S4" s="105">
        <v>467043</v>
      </c>
    </row>
    <row r="5" spans="2:19" x14ac:dyDescent="0.25">
      <c r="B5" s="53" t="s">
        <v>16</v>
      </c>
      <c r="C5" s="53" t="s">
        <v>17</v>
      </c>
      <c r="D5" s="44">
        <v>514295</v>
      </c>
      <c r="E5" s="44">
        <v>1455159</v>
      </c>
      <c r="F5" s="44">
        <v>1289943</v>
      </c>
      <c r="G5" s="44">
        <v>308127</v>
      </c>
      <c r="H5" s="44">
        <v>105308</v>
      </c>
      <c r="I5" s="44">
        <v>45432</v>
      </c>
      <c r="J5" s="44">
        <v>102102</v>
      </c>
      <c r="K5" s="44">
        <v>5084</v>
      </c>
      <c r="L5" s="44">
        <v>242818</v>
      </c>
      <c r="M5" s="44">
        <v>5239</v>
      </c>
      <c r="N5" s="44">
        <v>8135</v>
      </c>
      <c r="O5" s="44">
        <v>7409</v>
      </c>
      <c r="P5" s="44">
        <v>150066</v>
      </c>
      <c r="Q5" s="44">
        <v>5057</v>
      </c>
      <c r="R5" s="44">
        <v>7054</v>
      </c>
      <c r="S5" s="44">
        <v>15437</v>
      </c>
    </row>
    <row r="6" spans="2:19" x14ac:dyDescent="0.25">
      <c r="B6" s="53" t="s">
        <v>18</v>
      </c>
      <c r="C6" s="53" t="s">
        <v>19</v>
      </c>
      <c r="D6" s="44">
        <v>984491</v>
      </c>
      <c r="E6" s="44">
        <v>389307</v>
      </c>
      <c r="F6" s="44">
        <v>188382</v>
      </c>
      <c r="G6" s="44">
        <v>21678</v>
      </c>
      <c r="H6" s="44">
        <v>586449</v>
      </c>
      <c r="I6" s="44">
        <v>438975</v>
      </c>
      <c r="J6" s="44">
        <v>375096</v>
      </c>
      <c r="K6" s="44">
        <v>156860</v>
      </c>
      <c r="L6" s="44">
        <v>91119</v>
      </c>
      <c r="M6" s="44">
        <v>149675</v>
      </c>
      <c r="N6" s="44">
        <v>109628</v>
      </c>
      <c r="O6" s="44">
        <v>50616</v>
      </c>
      <c r="P6" s="44">
        <v>106799</v>
      </c>
      <c r="Q6" s="44">
        <v>64633</v>
      </c>
      <c r="R6" s="44">
        <v>59398</v>
      </c>
      <c r="S6" s="44">
        <v>88411</v>
      </c>
    </row>
    <row r="7" spans="2:19" x14ac:dyDescent="0.25">
      <c r="B7" s="53" t="s">
        <v>20</v>
      </c>
      <c r="C7" s="53" t="s">
        <v>21</v>
      </c>
      <c r="D7" s="44">
        <v>890780</v>
      </c>
      <c r="E7" s="44">
        <v>418014</v>
      </c>
      <c r="F7" s="44">
        <v>348321</v>
      </c>
      <c r="G7" s="44">
        <v>432599</v>
      </c>
      <c r="H7" s="44">
        <v>428544</v>
      </c>
      <c r="I7" s="44">
        <v>423397</v>
      </c>
      <c r="J7" s="44">
        <v>403141</v>
      </c>
      <c r="K7" s="44">
        <v>367333</v>
      </c>
      <c r="L7" s="44">
        <v>334899</v>
      </c>
      <c r="M7" s="44">
        <v>341600</v>
      </c>
      <c r="N7" s="44">
        <v>328318</v>
      </c>
      <c r="O7" s="44">
        <v>322279</v>
      </c>
      <c r="P7" s="44">
        <v>318919</v>
      </c>
      <c r="Q7" s="44">
        <v>314884</v>
      </c>
      <c r="R7" s="44">
        <v>306794</v>
      </c>
      <c r="S7" s="44">
        <v>267326</v>
      </c>
    </row>
    <row r="8" spans="2:19" x14ac:dyDescent="0.25">
      <c r="B8" s="53" t="s">
        <v>22</v>
      </c>
      <c r="C8" s="53" t="s">
        <v>23</v>
      </c>
      <c r="D8" s="44">
        <v>752800</v>
      </c>
      <c r="E8" s="44">
        <v>220653</v>
      </c>
      <c r="F8" s="44">
        <v>177552</v>
      </c>
      <c r="G8" s="44">
        <v>274084</v>
      </c>
      <c r="H8" s="44">
        <v>437826</v>
      </c>
      <c r="I8" s="44">
        <v>217726</v>
      </c>
      <c r="J8" s="44">
        <v>209678</v>
      </c>
      <c r="K8" s="44">
        <v>142653</v>
      </c>
      <c r="L8" s="44">
        <v>138849</v>
      </c>
      <c r="M8" s="44">
        <v>151413</v>
      </c>
      <c r="N8" s="44">
        <v>133540</v>
      </c>
      <c r="O8" s="44">
        <v>122199</v>
      </c>
      <c r="P8" s="44">
        <v>137798</v>
      </c>
      <c r="Q8" s="44">
        <v>106203</v>
      </c>
      <c r="R8" s="44">
        <v>98830</v>
      </c>
      <c r="S8" s="44">
        <v>73971</v>
      </c>
    </row>
    <row r="9" spans="2:19" x14ac:dyDescent="0.25">
      <c r="B9" s="53" t="s">
        <v>24</v>
      </c>
      <c r="C9" s="53" t="s">
        <v>25</v>
      </c>
      <c r="D9" s="44">
        <v>146673</v>
      </c>
      <c r="E9" s="44">
        <v>27605</v>
      </c>
      <c r="F9" s="44">
        <v>33656</v>
      </c>
      <c r="G9" s="44">
        <v>40432</v>
      </c>
      <c r="H9" s="44">
        <v>22997</v>
      </c>
      <c r="I9" s="44">
        <v>21410</v>
      </c>
      <c r="J9" s="44">
        <v>24856</v>
      </c>
      <c r="K9" s="44">
        <v>40078</v>
      </c>
      <c r="L9" s="44">
        <v>25181</v>
      </c>
      <c r="M9" s="44">
        <v>27339</v>
      </c>
      <c r="N9" s="44">
        <v>29525</v>
      </c>
      <c r="O9" s="44">
        <v>26573</v>
      </c>
      <c r="P9" s="44">
        <v>22082</v>
      </c>
      <c r="Q9" s="44">
        <v>16061</v>
      </c>
      <c r="R9" s="44">
        <v>43633</v>
      </c>
      <c r="S9" s="44">
        <v>21898</v>
      </c>
    </row>
    <row r="10" spans="2:19" x14ac:dyDescent="0.25">
      <c r="B10" s="104" t="s">
        <v>26</v>
      </c>
      <c r="C10" s="104" t="s">
        <v>27</v>
      </c>
      <c r="D10" s="105">
        <v>1769226</v>
      </c>
      <c r="E10" s="105">
        <v>1537859</v>
      </c>
      <c r="F10" s="105">
        <v>1557124</v>
      </c>
      <c r="G10" s="105">
        <v>1545796</v>
      </c>
      <c r="H10" s="105">
        <v>1267634</v>
      </c>
      <c r="I10" s="105">
        <v>1074395</v>
      </c>
      <c r="J10" s="105">
        <v>1050062</v>
      </c>
      <c r="K10" s="105">
        <v>954659</v>
      </c>
      <c r="L10" s="105">
        <v>965434</v>
      </c>
      <c r="M10" s="105">
        <v>880885</v>
      </c>
      <c r="N10" s="105">
        <v>890343</v>
      </c>
      <c r="O10" s="105">
        <v>879550</v>
      </c>
      <c r="P10" s="105">
        <v>889696</v>
      </c>
      <c r="Q10" s="105">
        <v>922136</v>
      </c>
      <c r="R10" s="105">
        <v>793426</v>
      </c>
      <c r="S10" s="105">
        <v>794237</v>
      </c>
    </row>
    <row r="11" spans="2:19" s="82" customFormat="1" x14ac:dyDescent="0.25">
      <c r="B11" s="63" t="s">
        <v>28</v>
      </c>
      <c r="C11" s="63" t="s">
        <v>29</v>
      </c>
      <c r="D11" s="62">
        <v>898361</v>
      </c>
      <c r="E11" s="62">
        <v>884390</v>
      </c>
      <c r="F11" s="62">
        <v>915452</v>
      </c>
      <c r="G11" s="62">
        <v>909783</v>
      </c>
      <c r="H11" s="62">
        <v>648322</v>
      </c>
      <c r="I11" s="62">
        <v>505273</v>
      </c>
      <c r="J11" s="62">
        <v>501287</v>
      </c>
      <c r="K11" s="62">
        <v>412546</v>
      </c>
      <c r="L11" s="62">
        <v>412843</v>
      </c>
      <c r="M11" s="62">
        <v>330995</v>
      </c>
      <c r="N11" s="62">
        <v>336594</v>
      </c>
      <c r="O11" s="62">
        <v>332082</v>
      </c>
      <c r="P11" s="62">
        <v>335570</v>
      </c>
      <c r="Q11" s="62">
        <v>371015</v>
      </c>
      <c r="R11" s="62">
        <v>239181</v>
      </c>
      <c r="S11" s="62">
        <v>231400</v>
      </c>
    </row>
    <row r="12" spans="2:19" s="68" customFormat="1" ht="14.45" customHeight="1" x14ac:dyDescent="0.2">
      <c r="B12" s="83" t="s">
        <v>30</v>
      </c>
      <c r="C12" s="83" t="s">
        <v>31</v>
      </c>
      <c r="D12" s="79">
        <v>324</v>
      </c>
      <c r="E12" s="79">
        <v>536</v>
      </c>
      <c r="F12" s="79">
        <v>536</v>
      </c>
      <c r="G12" s="79">
        <v>536</v>
      </c>
      <c r="H12" s="79">
        <v>536</v>
      </c>
      <c r="I12" s="79">
        <v>536</v>
      </c>
      <c r="J12" s="79">
        <v>536</v>
      </c>
      <c r="K12" s="79">
        <v>536</v>
      </c>
      <c r="L12" s="79">
        <v>536</v>
      </c>
      <c r="M12" s="79">
        <v>536</v>
      </c>
      <c r="N12" s="79">
        <v>536</v>
      </c>
      <c r="O12" s="79">
        <v>536</v>
      </c>
      <c r="P12" s="79">
        <v>3358</v>
      </c>
      <c r="Q12" s="79">
        <v>4030</v>
      </c>
      <c r="R12" s="79">
        <v>4509</v>
      </c>
      <c r="S12" s="79">
        <v>4598</v>
      </c>
    </row>
    <row r="13" spans="2:19" s="68" customFormat="1" ht="14.45" customHeight="1" x14ac:dyDescent="0.2">
      <c r="B13" s="83" t="s">
        <v>32</v>
      </c>
      <c r="C13" s="83" t="s">
        <v>33</v>
      </c>
      <c r="D13" s="79">
        <v>423788</v>
      </c>
      <c r="E13" s="79">
        <v>398141</v>
      </c>
      <c r="F13" s="79">
        <v>377288</v>
      </c>
      <c r="G13" s="79">
        <v>328787</v>
      </c>
      <c r="H13" s="79">
        <v>205644</v>
      </c>
      <c r="I13" s="79">
        <v>303493</v>
      </c>
      <c r="J13" s="79">
        <v>301746</v>
      </c>
      <c r="K13" s="79">
        <v>288160</v>
      </c>
      <c r="L13" s="79">
        <v>288218</v>
      </c>
      <c r="M13" s="79">
        <v>211116</v>
      </c>
      <c r="N13" s="79">
        <v>211116</v>
      </c>
      <c r="O13" s="79">
        <v>211115</v>
      </c>
      <c r="P13" s="79">
        <v>211116</v>
      </c>
      <c r="Q13" s="79">
        <v>211116</v>
      </c>
      <c r="R13" s="79">
        <v>0</v>
      </c>
      <c r="S13" s="79">
        <v>0</v>
      </c>
    </row>
    <row r="14" spans="2:19" s="68" customFormat="1" ht="14.45" customHeight="1" x14ac:dyDescent="0.2">
      <c r="B14" s="83" t="s">
        <v>34</v>
      </c>
      <c r="C14" s="83" t="s">
        <v>35</v>
      </c>
      <c r="D14" s="79">
        <v>473623</v>
      </c>
      <c r="E14" s="79">
        <v>485087</v>
      </c>
      <c r="F14" s="79">
        <v>537002</v>
      </c>
      <c r="G14" s="79">
        <v>579834</v>
      </c>
      <c r="H14" s="79">
        <v>441517</v>
      </c>
      <c r="I14" s="79">
        <v>200618</v>
      </c>
      <c r="J14" s="79">
        <v>198379</v>
      </c>
      <c r="K14" s="79">
        <v>123224</v>
      </c>
      <c r="L14" s="79">
        <v>123463</v>
      </c>
      <c r="M14" s="79">
        <v>118717</v>
      </c>
      <c r="N14" s="79">
        <v>124316</v>
      </c>
      <c r="O14" s="79">
        <v>119805</v>
      </c>
      <c r="P14" s="79">
        <v>120470</v>
      </c>
      <c r="Q14" s="79">
        <v>155243</v>
      </c>
      <c r="R14" s="79">
        <v>234046</v>
      </c>
      <c r="S14" s="79">
        <v>226176</v>
      </c>
    </row>
    <row r="15" spans="2:19" s="68" customFormat="1" ht="14.45" customHeight="1" x14ac:dyDescent="0.2">
      <c r="B15" s="83" t="s">
        <v>18</v>
      </c>
      <c r="C15" s="83" t="s">
        <v>19</v>
      </c>
      <c r="D15" s="79">
        <v>626</v>
      </c>
      <c r="E15" s="79">
        <v>626</v>
      </c>
      <c r="F15" s="79">
        <v>626</v>
      </c>
      <c r="G15" s="79">
        <v>626</v>
      </c>
      <c r="H15" s="79">
        <v>625</v>
      </c>
      <c r="I15" s="79">
        <v>626</v>
      </c>
      <c r="J15" s="79">
        <v>626</v>
      </c>
      <c r="K15" s="79">
        <v>626</v>
      </c>
      <c r="L15" s="79">
        <v>626</v>
      </c>
      <c r="M15" s="79">
        <v>626</v>
      </c>
      <c r="N15" s="79">
        <v>626</v>
      </c>
      <c r="O15" s="79">
        <v>626</v>
      </c>
      <c r="P15" s="79">
        <v>626</v>
      </c>
      <c r="Q15" s="79">
        <v>626</v>
      </c>
      <c r="R15" s="79">
        <v>626</v>
      </c>
      <c r="S15" s="79">
        <v>626</v>
      </c>
    </row>
    <row r="16" spans="2:19" x14ac:dyDescent="0.25">
      <c r="B16" s="53" t="s">
        <v>36</v>
      </c>
      <c r="C16" s="53" t="s">
        <v>37</v>
      </c>
      <c r="D16" s="44">
        <v>554853</v>
      </c>
      <c r="E16" s="44">
        <v>525491</v>
      </c>
      <c r="F16" s="44">
        <v>512836</v>
      </c>
      <c r="G16" s="44">
        <v>505916</v>
      </c>
      <c r="H16" s="44">
        <v>490427</v>
      </c>
      <c r="I16" s="44">
        <v>457986</v>
      </c>
      <c r="J16" s="44">
        <v>440937</v>
      </c>
      <c r="K16" s="44">
        <v>437787</v>
      </c>
      <c r="L16" s="44">
        <v>448019</v>
      </c>
      <c r="M16" s="44">
        <v>445559</v>
      </c>
      <c r="N16" s="44">
        <v>455376</v>
      </c>
      <c r="O16" s="44">
        <v>451172</v>
      </c>
      <c r="P16" s="44">
        <v>463430</v>
      </c>
      <c r="Q16" s="44">
        <v>469590</v>
      </c>
      <c r="R16" s="44">
        <v>478637</v>
      </c>
      <c r="S16" s="44">
        <v>490725</v>
      </c>
    </row>
    <row r="17" spans="2:19" x14ac:dyDescent="0.25">
      <c r="B17" s="53" t="s">
        <v>38</v>
      </c>
      <c r="C17" s="53" t="s">
        <v>39</v>
      </c>
      <c r="D17" s="44">
        <v>316012</v>
      </c>
      <c r="E17" s="44">
        <v>127978</v>
      </c>
      <c r="F17" s="44">
        <v>128836</v>
      </c>
      <c r="G17" s="44">
        <v>130097</v>
      </c>
      <c r="H17" s="44">
        <v>128885</v>
      </c>
      <c r="I17" s="44">
        <v>111136</v>
      </c>
      <c r="J17" s="44">
        <v>107838</v>
      </c>
      <c r="K17" s="44">
        <v>104326</v>
      </c>
      <c r="L17" s="44">
        <v>104572</v>
      </c>
      <c r="M17" s="44">
        <v>104331</v>
      </c>
      <c r="N17" s="44">
        <v>98373</v>
      </c>
      <c r="O17" s="44">
        <v>96296</v>
      </c>
      <c r="P17" s="44">
        <v>90696</v>
      </c>
      <c r="Q17" s="44">
        <v>81531</v>
      </c>
      <c r="R17" s="44">
        <v>75608</v>
      </c>
      <c r="S17" s="44">
        <v>72112</v>
      </c>
    </row>
    <row r="18" spans="2:19" x14ac:dyDescent="0.25">
      <c r="B18" s="104" t="s">
        <v>40</v>
      </c>
      <c r="C18" s="104" t="s">
        <v>41</v>
      </c>
      <c r="D18" s="105">
        <v>5058264</v>
      </c>
      <c r="E18" s="105">
        <v>4048597</v>
      </c>
      <c r="F18" s="105">
        <v>3594978</v>
      </c>
      <c r="G18" s="105">
        <v>2622716</v>
      </c>
      <c r="H18" s="105">
        <v>2848758</v>
      </c>
      <c r="I18" s="105">
        <v>2221335</v>
      </c>
      <c r="J18" s="105">
        <v>2164935</v>
      </c>
      <c r="K18" s="105">
        <v>1666667</v>
      </c>
      <c r="L18" s="105">
        <v>1798300</v>
      </c>
      <c r="M18" s="105">
        <v>1556151</v>
      </c>
      <c r="N18" s="105">
        <v>1499489</v>
      </c>
      <c r="O18" s="105">
        <v>1408626</v>
      </c>
      <c r="P18" s="105">
        <v>1625360</v>
      </c>
      <c r="Q18" s="105">
        <v>1428974</v>
      </c>
      <c r="R18" s="105">
        <v>1309135</v>
      </c>
      <c r="S18" s="105">
        <v>1261280</v>
      </c>
    </row>
    <row r="19" spans="2:19" x14ac:dyDescent="0.25">
      <c r="B19" s="63"/>
      <c r="C19" s="63"/>
      <c r="D19" s="63"/>
      <c r="E19" s="63"/>
      <c r="F19" s="63"/>
      <c r="G19" s="63"/>
      <c r="H19" s="63"/>
      <c r="I19" s="63"/>
      <c r="J19" s="71"/>
      <c r="K19" s="71"/>
      <c r="L19" s="71"/>
      <c r="M19" s="71"/>
      <c r="N19" s="71"/>
      <c r="O19" s="71"/>
    </row>
    <row r="20" spans="2:19" ht="32.25" customHeight="1" x14ac:dyDescent="0.25">
      <c r="B20" s="96" t="s">
        <v>615</v>
      </c>
      <c r="C20" s="96" t="s">
        <v>614</v>
      </c>
      <c r="D20" s="101" t="s">
        <v>550</v>
      </c>
      <c r="E20" s="101" t="s">
        <v>549</v>
      </c>
      <c r="F20" s="101" t="s">
        <v>727</v>
      </c>
      <c r="G20" s="101" t="s">
        <v>78</v>
      </c>
      <c r="H20" s="101" t="s">
        <v>548</v>
      </c>
      <c r="I20" s="101" t="s">
        <v>547</v>
      </c>
      <c r="J20" s="101" t="s">
        <v>728</v>
      </c>
      <c r="K20" s="101" t="s">
        <v>82</v>
      </c>
      <c r="L20" s="102">
        <v>2018</v>
      </c>
      <c r="M20" s="103" t="s">
        <v>545</v>
      </c>
      <c r="N20" s="103" t="s">
        <v>725</v>
      </c>
      <c r="O20" s="103" t="s">
        <v>9</v>
      </c>
      <c r="P20" s="102">
        <v>2017</v>
      </c>
      <c r="Q20" s="103" t="s">
        <v>546</v>
      </c>
      <c r="R20" s="103" t="s">
        <v>726</v>
      </c>
      <c r="S20" s="103" t="s">
        <v>13</v>
      </c>
    </row>
    <row r="21" spans="2:19" x14ac:dyDescent="0.25">
      <c r="B21" s="104" t="s">
        <v>42</v>
      </c>
      <c r="C21" s="104" t="s">
        <v>43</v>
      </c>
      <c r="D21" s="105">
        <v>1734511</v>
      </c>
      <c r="E21" s="105">
        <v>934067</v>
      </c>
      <c r="F21" s="105">
        <v>671869</v>
      </c>
      <c r="G21" s="105">
        <v>788332</v>
      </c>
      <c r="H21" s="105">
        <v>1023672</v>
      </c>
      <c r="I21" s="105">
        <v>803841</v>
      </c>
      <c r="J21" s="105">
        <v>792554</v>
      </c>
      <c r="K21" s="105">
        <v>786796</v>
      </c>
      <c r="L21" s="105">
        <v>931553</v>
      </c>
      <c r="M21" s="105">
        <v>773539</v>
      </c>
      <c r="N21" s="105">
        <v>761722</v>
      </c>
      <c r="O21" s="105">
        <v>653759</v>
      </c>
      <c r="P21" s="105">
        <v>868202</v>
      </c>
      <c r="Q21" s="105">
        <v>692669</v>
      </c>
      <c r="R21" s="105">
        <v>670925</v>
      </c>
      <c r="S21" s="105">
        <v>833115</v>
      </c>
    </row>
    <row r="22" spans="2:19" ht="15.75" customHeight="1" x14ac:dyDescent="0.25">
      <c r="B22" s="85" t="s">
        <v>44</v>
      </c>
      <c r="C22" s="85" t="s">
        <v>45</v>
      </c>
      <c r="D22" s="44">
        <v>93275</v>
      </c>
      <c r="E22" s="44">
        <v>54174</v>
      </c>
      <c r="F22" s="44">
        <v>50551</v>
      </c>
      <c r="G22" s="44">
        <v>7866</v>
      </c>
      <c r="H22" s="44">
        <v>27037</v>
      </c>
      <c r="I22" s="44">
        <v>26348</v>
      </c>
      <c r="J22" s="44">
        <v>27197</v>
      </c>
      <c r="K22" s="44">
        <v>122442</v>
      </c>
      <c r="L22" s="44">
        <v>94658</v>
      </c>
      <c r="M22" s="44">
        <v>79298</v>
      </c>
      <c r="N22" s="44">
        <v>76285</v>
      </c>
      <c r="O22" s="44">
        <v>28314</v>
      </c>
      <c r="P22" s="44">
        <v>23110</v>
      </c>
      <c r="Q22" s="44">
        <v>53418</v>
      </c>
      <c r="R22" s="44">
        <v>54622</v>
      </c>
      <c r="S22" s="44">
        <v>201147</v>
      </c>
    </row>
    <row r="23" spans="2:19" ht="15.75" customHeight="1" x14ac:dyDescent="0.25">
      <c r="B23" s="85" t="s">
        <v>539</v>
      </c>
      <c r="C23" s="85" t="s">
        <v>540</v>
      </c>
      <c r="D23" s="44">
        <v>0</v>
      </c>
      <c r="E23" s="44">
        <v>1716</v>
      </c>
      <c r="F23" s="44"/>
      <c r="G23" s="44"/>
      <c r="H23" s="44"/>
      <c r="I23" s="44"/>
      <c r="J23" s="44"/>
      <c r="K23" s="44"/>
      <c r="L23" s="44"/>
      <c r="M23" s="44"/>
      <c r="N23" s="44"/>
      <c r="O23" s="44"/>
      <c r="P23" s="44"/>
      <c r="Q23" s="44"/>
      <c r="R23" s="44"/>
      <c r="S23" s="44"/>
    </row>
    <row r="24" spans="2:19" ht="15.75" customHeight="1" x14ac:dyDescent="0.25">
      <c r="B24" s="85" t="s">
        <v>46</v>
      </c>
      <c r="C24" s="85" t="s">
        <v>47</v>
      </c>
      <c r="D24" s="44">
        <v>0</v>
      </c>
      <c r="E24" s="44">
        <v>0</v>
      </c>
      <c r="F24" s="44">
        <v>0</v>
      </c>
      <c r="G24" s="44">
        <v>0</v>
      </c>
      <c r="H24" s="44">
        <v>0</v>
      </c>
      <c r="I24" s="44">
        <v>0</v>
      </c>
      <c r="J24" s="44">
        <v>0</v>
      </c>
      <c r="K24" s="44">
        <v>0</v>
      </c>
      <c r="L24" s="44">
        <v>0</v>
      </c>
      <c r="M24" s="44">
        <v>0</v>
      </c>
      <c r="N24" s="44">
        <v>0</v>
      </c>
      <c r="O24" s="44">
        <v>0</v>
      </c>
      <c r="P24" s="44">
        <v>0</v>
      </c>
      <c r="Q24" s="44">
        <v>0</v>
      </c>
      <c r="R24" s="44">
        <v>0</v>
      </c>
      <c r="S24" s="44">
        <v>0</v>
      </c>
    </row>
    <row r="25" spans="2:19" ht="15.75" customHeight="1" x14ac:dyDescent="0.25">
      <c r="B25" s="85" t="s">
        <v>48</v>
      </c>
      <c r="C25" s="85" t="s">
        <v>49</v>
      </c>
      <c r="D25" s="44">
        <v>656973</v>
      </c>
      <c r="E25" s="44">
        <v>611666</v>
      </c>
      <c r="F25" s="44">
        <v>367394</v>
      </c>
      <c r="G25" s="44">
        <v>383414</v>
      </c>
      <c r="H25" s="44">
        <v>661010</v>
      </c>
      <c r="I25" s="44">
        <v>492862</v>
      </c>
      <c r="J25" s="44">
        <v>442864</v>
      </c>
      <c r="K25" s="44">
        <v>397318</v>
      </c>
      <c r="L25" s="44">
        <v>544440</v>
      </c>
      <c r="M25" s="44">
        <v>429311</v>
      </c>
      <c r="N25" s="44">
        <v>400149</v>
      </c>
      <c r="O25" s="44">
        <v>347792</v>
      </c>
      <c r="P25" s="44">
        <v>530382</v>
      </c>
      <c r="Q25" s="44">
        <v>370748</v>
      </c>
      <c r="R25" s="44">
        <v>371430</v>
      </c>
      <c r="S25" s="44">
        <v>334953</v>
      </c>
    </row>
    <row r="26" spans="2:19" ht="15.75" customHeight="1" x14ac:dyDescent="0.25">
      <c r="B26" s="85" t="s">
        <v>50</v>
      </c>
      <c r="C26" s="85" t="s">
        <v>51</v>
      </c>
      <c r="D26" s="44">
        <v>705718</v>
      </c>
      <c r="E26" s="44">
        <v>180195</v>
      </c>
      <c r="F26" s="44">
        <v>174088</v>
      </c>
      <c r="G26" s="44">
        <v>199402</v>
      </c>
      <c r="H26" s="44">
        <v>188429</v>
      </c>
      <c r="I26" s="44">
        <v>169718</v>
      </c>
      <c r="J26" s="44">
        <v>160564</v>
      </c>
      <c r="K26" s="44">
        <v>147046</v>
      </c>
      <c r="L26" s="44">
        <v>168092</v>
      </c>
      <c r="M26" s="44">
        <v>159970</v>
      </c>
      <c r="N26" s="44">
        <v>179930</v>
      </c>
      <c r="O26" s="44">
        <v>169514</v>
      </c>
      <c r="P26" s="44">
        <v>179268</v>
      </c>
      <c r="Q26" s="44">
        <v>139247</v>
      </c>
      <c r="R26" s="44">
        <v>123183</v>
      </c>
      <c r="S26" s="44">
        <v>153937</v>
      </c>
    </row>
    <row r="27" spans="2:19" ht="15.75" customHeight="1" x14ac:dyDescent="0.25">
      <c r="B27" s="85" t="s">
        <v>52</v>
      </c>
      <c r="C27" s="85" t="s">
        <v>53</v>
      </c>
      <c r="D27" s="44">
        <v>54775</v>
      </c>
      <c r="E27" s="44">
        <v>57095</v>
      </c>
      <c r="F27" s="44">
        <v>60777</v>
      </c>
      <c r="G27" s="44">
        <v>58200</v>
      </c>
      <c r="H27" s="44">
        <v>60420</v>
      </c>
      <c r="I27" s="44">
        <v>63336</v>
      </c>
      <c r="J27" s="44">
        <v>62415</v>
      </c>
      <c r="K27" s="44">
        <v>65586</v>
      </c>
      <c r="L27" s="44">
        <v>62679</v>
      </c>
      <c r="M27" s="44">
        <v>65776</v>
      </c>
      <c r="N27" s="44">
        <v>60621</v>
      </c>
      <c r="O27" s="44">
        <v>51256</v>
      </c>
      <c r="P27" s="44">
        <v>71464</v>
      </c>
      <c r="Q27" s="44">
        <v>85836</v>
      </c>
      <c r="R27" s="44">
        <v>85797</v>
      </c>
      <c r="S27" s="44">
        <v>69177</v>
      </c>
    </row>
    <row r="28" spans="2:19" ht="15.75" customHeight="1" x14ac:dyDescent="0.25">
      <c r="B28" s="85" t="s">
        <v>54</v>
      </c>
      <c r="C28" s="85" t="s">
        <v>55</v>
      </c>
      <c r="D28" s="44">
        <v>223770</v>
      </c>
      <c r="E28" s="44">
        <v>29221</v>
      </c>
      <c r="F28" s="44">
        <v>19059</v>
      </c>
      <c r="G28" s="44">
        <v>139450</v>
      </c>
      <c r="H28" s="44">
        <v>86776</v>
      </c>
      <c r="I28" s="44">
        <v>51577</v>
      </c>
      <c r="J28" s="44">
        <v>99514</v>
      </c>
      <c r="K28" s="44">
        <v>54404</v>
      </c>
      <c r="L28" s="44">
        <v>61684</v>
      </c>
      <c r="M28" s="44">
        <v>39184</v>
      </c>
      <c r="N28" s="44">
        <v>44737</v>
      </c>
      <c r="O28" s="44">
        <v>56883</v>
      </c>
      <c r="P28" s="44">
        <v>63978</v>
      </c>
      <c r="Q28" s="44">
        <v>43420</v>
      </c>
      <c r="R28" s="44">
        <v>35893</v>
      </c>
      <c r="S28" s="44">
        <v>73901</v>
      </c>
    </row>
    <row r="29" spans="2:19" ht="15.75" customHeight="1" x14ac:dyDescent="0.25">
      <c r="B29" s="104" t="s">
        <v>56</v>
      </c>
      <c r="C29" s="104" t="s">
        <v>57</v>
      </c>
      <c r="D29" s="105">
        <v>1318047</v>
      </c>
      <c r="E29" s="105">
        <v>1140780</v>
      </c>
      <c r="F29" s="105">
        <v>924196</v>
      </c>
      <c r="G29" s="105">
        <v>619035</v>
      </c>
      <c r="H29" s="105">
        <v>626987</v>
      </c>
      <c r="I29" s="105">
        <v>404495</v>
      </c>
      <c r="J29" s="105">
        <v>405639</v>
      </c>
      <c r="K29" s="105">
        <v>685771</v>
      </c>
      <c r="L29" s="105">
        <v>675283</v>
      </c>
      <c r="M29" s="105">
        <v>713922</v>
      </c>
      <c r="N29" s="105">
        <v>707490</v>
      </c>
      <c r="O29" s="105">
        <v>724924</v>
      </c>
      <c r="P29" s="105">
        <v>717150</v>
      </c>
      <c r="Q29" s="105">
        <v>706181</v>
      </c>
      <c r="R29" s="105">
        <v>700431</v>
      </c>
      <c r="S29" s="105">
        <v>576859</v>
      </c>
    </row>
    <row r="30" spans="2:19" ht="15.75" customHeight="1" x14ac:dyDescent="0.25">
      <c r="B30" s="85" t="s">
        <v>48</v>
      </c>
      <c r="C30" s="85" t="s">
        <v>49</v>
      </c>
      <c r="D30" s="44">
        <v>8792</v>
      </c>
      <c r="E30" s="44">
        <v>0</v>
      </c>
      <c r="F30" s="44">
        <v>0</v>
      </c>
      <c r="G30" s="44">
        <v>0</v>
      </c>
      <c r="H30" s="44">
        <v>0</v>
      </c>
      <c r="I30" s="44">
        <v>0</v>
      </c>
      <c r="J30" s="44">
        <v>0</v>
      </c>
      <c r="K30" s="44">
        <v>0</v>
      </c>
      <c r="L30" s="44">
        <v>0</v>
      </c>
      <c r="M30" s="44">
        <v>0</v>
      </c>
      <c r="N30" s="44">
        <v>0</v>
      </c>
      <c r="O30" s="44">
        <v>0</v>
      </c>
      <c r="P30" s="44">
        <v>0</v>
      </c>
      <c r="Q30" s="44">
        <v>0</v>
      </c>
      <c r="R30" s="44">
        <v>0</v>
      </c>
      <c r="S30" s="44">
        <v>0</v>
      </c>
    </row>
    <row r="31" spans="2:19" ht="15.75" customHeight="1" x14ac:dyDescent="0.25">
      <c r="B31" s="85" t="s">
        <v>44</v>
      </c>
      <c r="C31" s="85" t="s">
        <v>45</v>
      </c>
      <c r="D31" s="44">
        <v>278850</v>
      </c>
      <c r="E31" s="44">
        <v>320918</v>
      </c>
      <c r="F31" s="44">
        <v>321679</v>
      </c>
      <c r="G31" s="44">
        <v>8778</v>
      </c>
      <c r="H31" s="44">
        <v>7553</v>
      </c>
      <c r="I31" s="44">
        <v>8691</v>
      </c>
      <c r="J31" s="44">
        <v>9547</v>
      </c>
      <c r="K31" s="44">
        <v>267499</v>
      </c>
      <c r="L31" s="44">
        <v>263967</v>
      </c>
      <c r="M31" s="44">
        <v>306607</v>
      </c>
      <c r="N31" s="44">
        <v>306041</v>
      </c>
      <c r="O31" s="44">
        <v>350656</v>
      </c>
      <c r="P31" s="44">
        <v>349555</v>
      </c>
      <c r="Q31" s="44">
        <v>333135</v>
      </c>
      <c r="R31" s="44">
        <v>334646</v>
      </c>
      <c r="S31" s="44">
        <v>174743</v>
      </c>
    </row>
    <row r="32" spans="2:19" ht="15.75" customHeight="1" x14ac:dyDescent="0.25">
      <c r="B32" s="85" t="s">
        <v>539</v>
      </c>
      <c r="C32" s="85" t="s">
        <v>540</v>
      </c>
      <c r="D32" s="44">
        <v>226762</v>
      </c>
      <c r="E32" s="44">
        <v>227564</v>
      </c>
      <c r="F32" s="44"/>
      <c r="G32" s="44"/>
      <c r="H32" s="44"/>
      <c r="I32" s="44"/>
      <c r="J32" s="44"/>
      <c r="K32" s="44"/>
      <c r="L32" s="44"/>
      <c r="M32" s="44"/>
      <c r="N32" s="44"/>
      <c r="O32" s="44"/>
      <c r="P32" s="44"/>
      <c r="Q32" s="44"/>
      <c r="R32" s="44"/>
      <c r="S32" s="44"/>
    </row>
    <row r="33" spans="2:19" ht="15.75" customHeight="1" x14ac:dyDescent="0.25">
      <c r="B33" s="85" t="s">
        <v>58</v>
      </c>
      <c r="C33" s="85" t="s">
        <v>59</v>
      </c>
      <c r="D33" s="44">
        <v>0</v>
      </c>
      <c r="E33" s="44">
        <v>0</v>
      </c>
      <c r="F33" s="44">
        <v>0</v>
      </c>
      <c r="G33" s="44">
        <v>0</v>
      </c>
      <c r="H33" s="44">
        <v>0</v>
      </c>
      <c r="I33" s="44">
        <v>0</v>
      </c>
      <c r="J33" s="44">
        <v>0</v>
      </c>
      <c r="K33" s="44">
        <v>10132</v>
      </c>
      <c r="L33" s="44">
        <v>9981</v>
      </c>
      <c r="M33" s="44">
        <v>9830</v>
      </c>
      <c r="N33" s="44">
        <v>9677</v>
      </c>
      <c r="O33" s="44">
        <v>9529</v>
      </c>
      <c r="P33" s="44">
        <v>9217</v>
      </c>
      <c r="Q33" s="44">
        <v>27</v>
      </c>
      <c r="R33" s="44">
        <v>0</v>
      </c>
      <c r="S33" s="44">
        <v>0</v>
      </c>
    </row>
    <row r="34" spans="2:19" ht="15.75" customHeight="1" x14ac:dyDescent="0.25">
      <c r="B34" s="85" t="s">
        <v>60</v>
      </c>
      <c r="C34" s="85" t="s">
        <v>61</v>
      </c>
      <c r="D34" s="44">
        <v>0</v>
      </c>
      <c r="E34" s="44">
        <v>1137</v>
      </c>
      <c r="F34" s="44">
        <v>0</v>
      </c>
      <c r="G34" s="44">
        <v>499</v>
      </c>
      <c r="H34" s="44">
        <v>499</v>
      </c>
      <c r="I34" s="44">
        <v>0</v>
      </c>
      <c r="J34" s="44">
        <v>0</v>
      </c>
      <c r="K34" s="44">
        <v>0</v>
      </c>
      <c r="L34" s="44">
        <v>0</v>
      </c>
      <c r="M34" s="44">
        <v>0</v>
      </c>
      <c r="N34" s="44">
        <v>0</v>
      </c>
      <c r="O34" s="44">
        <v>0</v>
      </c>
      <c r="P34" s="44">
        <v>0</v>
      </c>
      <c r="Q34" s="44">
        <v>0</v>
      </c>
      <c r="R34" s="44">
        <v>0</v>
      </c>
      <c r="S34" s="44">
        <v>0</v>
      </c>
    </row>
    <row r="35" spans="2:19" ht="15.75" customHeight="1" x14ac:dyDescent="0.25">
      <c r="B35" s="85" t="s">
        <v>52</v>
      </c>
      <c r="C35" s="85" t="s">
        <v>62</v>
      </c>
      <c r="D35" s="44">
        <v>101776</v>
      </c>
      <c r="E35" s="44">
        <v>105137</v>
      </c>
      <c r="F35" s="44">
        <v>115584</v>
      </c>
      <c r="G35" s="44">
        <v>124121</v>
      </c>
      <c r="H35" s="44">
        <v>135771</v>
      </c>
      <c r="I35" s="44">
        <v>146522</v>
      </c>
      <c r="J35" s="44">
        <v>137654</v>
      </c>
      <c r="K35" s="44">
        <v>149552</v>
      </c>
      <c r="L35" s="44">
        <v>146875</v>
      </c>
      <c r="M35" s="44">
        <v>145875</v>
      </c>
      <c r="N35" s="44">
        <v>141306</v>
      </c>
      <c r="O35" s="44">
        <v>113507</v>
      </c>
      <c r="P35" s="44">
        <v>106282</v>
      </c>
      <c r="Q35" s="44">
        <v>127092</v>
      </c>
      <c r="R35" s="44">
        <v>136803</v>
      </c>
      <c r="S35" s="44">
        <v>176495</v>
      </c>
    </row>
    <row r="36" spans="2:19" ht="15.75" customHeight="1" x14ac:dyDescent="0.25">
      <c r="B36" s="85" t="s">
        <v>50</v>
      </c>
      <c r="C36" s="85" t="s">
        <v>51</v>
      </c>
      <c r="D36" s="44">
        <v>154732</v>
      </c>
      <c r="E36" s="44">
        <v>9479</v>
      </c>
      <c r="F36" s="44">
        <v>10440</v>
      </c>
      <c r="G36" s="44">
        <v>11340</v>
      </c>
      <c r="H36" s="44">
        <v>10800</v>
      </c>
      <c r="I36" s="44">
        <v>0</v>
      </c>
      <c r="J36" s="44">
        <v>0</v>
      </c>
      <c r="K36" s="44">
        <v>2787</v>
      </c>
      <c r="L36" s="44">
        <v>0</v>
      </c>
      <c r="M36" s="44">
        <v>0</v>
      </c>
      <c r="N36" s="44">
        <v>0</v>
      </c>
      <c r="O36" s="44">
        <v>0</v>
      </c>
      <c r="P36" s="44">
        <v>0</v>
      </c>
      <c r="Q36" s="44">
        <v>4115</v>
      </c>
      <c r="R36" s="44">
        <v>4115</v>
      </c>
      <c r="S36" s="44">
        <v>4115</v>
      </c>
    </row>
    <row r="37" spans="2:19" ht="15.75" customHeight="1" x14ac:dyDescent="0.25">
      <c r="B37" s="85" t="s">
        <v>46</v>
      </c>
      <c r="C37" s="85" t="s">
        <v>47</v>
      </c>
      <c r="D37" s="44">
        <v>0</v>
      </c>
      <c r="E37" s="44">
        <v>0</v>
      </c>
      <c r="F37" s="44">
        <v>0</v>
      </c>
      <c r="G37" s="44">
        <v>0</v>
      </c>
      <c r="H37" s="44">
        <v>0</v>
      </c>
      <c r="I37" s="44">
        <v>0</v>
      </c>
      <c r="J37" s="44">
        <v>0</v>
      </c>
      <c r="K37" s="44">
        <v>0</v>
      </c>
      <c r="L37" s="44">
        <v>0</v>
      </c>
      <c r="M37" s="44">
        <v>0</v>
      </c>
      <c r="N37" s="44">
        <v>0</v>
      </c>
      <c r="O37" s="44">
        <v>0</v>
      </c>
      <c r="P37" s="44">
        <v>0</v>
      </c>
      <c r="Q37" s="44">
        <v>0</v>
      </c>
      <c r="R37" s="44">
        <v>0</v>
      </c>
      <c r="S37" s="44">
        <v>0</v>
      </c>
    </row>
    <row r="38" spans="2:19" ht="15.75" customHeight="1" x14ac:dyDescent="0.25">
      <c r="B38" s="85" t="s">
        <v>63</v>
      </c>
      <c r="C38" s="85" t="s">
        <v>64</v>
      </c>
      <c r="D38" s="44">
        <v>547135</v>
      </c>
      <c r="E38" s="44">
        <v>476545</v>
      </c>
      <c r="F38" s="44">
        <v>476493</v>
      </c>
      <c r="G38" s="44">
        <v>474297</v>
      </c>
      <c r="H38" s="44">
        <v>472364</v>
      </c>
      <c r="I38" s="44">
        <v>249282</v>
      </c>
      <c r="J38" s="44">
        <v>258438</v>
      </c>
      <c r="K38" s="44">
        <v>255801</v>
      </c>
      <c r="L38" s="44">
        <v>254460</v>
      </c>
      <c r="M38" s="44">
        <v>251610</v>
      </c>
      <c r="N38" s="44">
        <v>250466</v>
      </c>
      <c r="O38" s="44">
        <v>251232</v>
      </c>
      <c r="P38" s="44">
        <v>252096</v>
      </c>
      <c r="Q38" s="44">
        <v>241812</v>
      </c>
      <c r="R38" s="44">
        <v>224867</v>
      </c>
      <c r="S38" s="44">
        <v>221506</v>
      </c>
    </row>
    <row r="39" spans="2:19" ht="15.75" customHeight="1" x14ac:dyDescent="0.25">
      <c r="B39" s="104" t="s">
        <v>65</v>
      </c>
      <c r="C39" s="104" t="s">
        <v>66</v>
      </c>
      <c r="D39" s="105">
        <v>2005706</v>
      </c>
      <c r="E39" s="105">
        <v>1973750</v>
      </c>
      <c r="F39" s="105">
        <v>1998913</v>
      </c>
      <c r="G39" s="105">
        <v>1215349</v>
      </c>
      <c r="H39" s="105">
        <v>1198099</v>
      </c>
      <c r="I39" s="105">
        <v>1012999</v>
      </c>
      <c r="J39" s="105">
        <v>966742</v>
      </c>
      <c r="K39" s="105">
        <v>194100</v>
      </c>
      <c r="L39" s="105">
        <v>191464</v>
      </c>
      <c r="M39" s="105">
        <v>68690</v>
      </c>
      <c r="N39" s="105">
        <v>30277</v>
      </c>
      <c r="O39" s="105">
        <v>29943</v>
      </c>
      <c r="P39" s="105">
        <v>40008</v>
      </c>
      <c r="Q39" s="105">
        <v>30124</v>
      </c>
      <c r="R39" s="105">
        <v>-62221</v>
      </c>
      <c r="S39" s="105">
        <v>-148694</v>
      </c>
    </row>
    <row r="40" spans="2:19" ht="15.75" customHeight="1" x14ac:dyDescent="0.25">
      <c r="B40" s="85" t="s">
        <v>67</v>
      </c>
      <c r="C40" s="85" t="s">
        <v>68</v>
      </c>
      <c r="D40" s="44">
        <v>1815485</v>
      </c>
      <c r="E40" s="44">
        <v>1817078</v>
      </c>
      <c r="F40" s="44">
        <v>1821807</v>
      </c>
      <c r="G40" s="44">
        <v>955277</v>
      </c>
      <c r="H40" s="44">
        <v>955277</v>
      </c>
      <c r="I40" s="44">
        <v>955277</v>
      </c>
      <c r="J40" s="44">
        <v>956143</v>
      </c>
      <c r="K40" s="44">
        <v>302781</v>
      </c>
      <c r="L40" s="44">
        <v>302781</v>
      </c>
      <c r="M40" s="44">
        <v>300033</v>
      </c>
      <c r="N40" s="44">
        <v>300033</v>
      </c>
      <c r="O40" s="44">
        <v>300033</v>
      </c>
      <c r="P40" s="44">
        <v>300033</v>
      </c>
      <c r="Q40" s="44">
        <v>300033</v>
      </c>
      <c r="R40" s="44">
        <v>300033</v>
      </c>
      <c r="S40" s="44">
        <v>297455</v>
      </c>
    </row>
    <row r="41" spans="2:19" ht="15.75" customHeight="1" x14ac:dyDescent="0.25">
      <c r="B41" s="85" t="s">
        <v>69</v>
      </c>
      <c r="C41" s="85" t="s">
        <v>70</v>
      </c>
      <c r="D41" s="44">
        <v>194815</v>
      </c>
      <c r="E41" s="44">
        <v>190095</v>
      </c>
      <c r="F41" s="44">
        <v>183749</v>
      </c>
      <c r="G41" s="44">
        <v>177633</v>
      </c>
      <c r="H41" s="44">
        <v>171444</v>
      </c>
      <c r="I41" s="44">
        <v>157559</v>
      </c>
      <c r="J41" s="44">
        <v>157190</v>
      </c>
      <c r="K41" s="44">
        <v>156821</v>
      </c>
      <c r="L41" s="44">
        <v>157647</v>
      </c>
      <c r="M41" s="44">
        <v>159311</v>
      </c>
      <c r="N41" s="44">
        <v>159285</v>
      </c>
      <c r="O41" s="44">
        <v>156512</v>
      </c>
      <c r="P41" s="44">
        <v>156485</v>
      </c>
      <c r="Q41" s="44">
        <v>156404</v>
      </c>
      <c r="R41" s="44">
        <v>88563</v>
      </c>
      <c r="S41" s="44">
        <v>88480</v>
      </c>
    </row>
    <row r="42" spans="2:19" ht="15.75" customHeight="1" x14ac:dyDescent="0.25">
      <c r="B42" s="85" t="s">
        <v>71</v>
      </c>
      <c r="C42" s="85" t="s">
        <v>72</v>
      </c>
      <c r="D42" s="44">
        <v>15509</v>
      </c>
      <c r="E42" s="44">
        <v>0</v>
      </c>
      <c r="F42" s="44">
        <v>0</v>
      </c>
      <c r="G42" s="44">
        <v>84275</v>
      </c>
      <c r="H42" s="44">
        <v>73018</v>
      </c>
      <c r="I42" s="44">
        <v>0</v>
      </c>
      <c r="J42" s="44">
        <v>0</v>
      </c>
      <c r="K42" s="44">
        <v>0</v>
      </c>
      <c r="L42" s="44">
        <v>0</v>
      </c>
      <c r="M42" s="44">
        <v>0</v>
      </c>
      <c r="N42" s="44">
        <v>0</v>
      </c>
      <c r="O42" s="44">
        <v>0</v>
      </c>
      <c r="P42" s="44">
        <v>0</v>
      </c>
      <c r="Q42" s="44">
        <v>0</v>
      </c>
      <c r="R42" s="44">
        <v>0</v>
      </c>
      <c r="S42" s="44">
        <v>0</v>
      </c>
    </row>
    <row r="43" spans="2:19" ht="15.75" customHeight="1" x14ac:dyDescent="0.25">
      <c r="B43" s="53" t="s">
        <v>73</v>
      </c>
      <c r="C43" s="53" t="s">
        <v>74</v>
      </c>
      <c r="D43" s="44">
        <v>-20103</v>
      </c>
      <c r="E43" s="44">
        <v>-33423</v>
      </c>
      <c r="F43" s="44">
        <v>-6643</v>
      </c>
      <c r="G43" s="44">
        <v>-1836</v>
      </c>
      <c r="H43" s="44">
        <v>-1640</v>
      </c>
      <c r="I43" s="44">
        <v>-99837</v>
      </c>
      <c r="J43" s="44">
        <v>-146591</v>
      </c>
      <c r="K43" s="44">
        <v>-265502</v>
      </c>
      <c r="L43" s="44">
        <v>-268964</v>
      </c>
      <c r="M43" s="44">
        <v>-390654</v>
      </c>
      <c r="N43" s="44">
        <v>-429041</v>
      </c>
      <c r="O43" s="44">
        <v>-426602</v>
      </c>
      <c r="P43" s="44">
        <v>-416510</v>
      </c>
      <c r="Q43" s="44">
        <v>-426313</v>
      </c>
      <c r="R43" s="44">
        <v>-450817</v>
      </c>
      <c r="S43" s="44">
        <v>-534629</v>
      </c>
    </row>
    <row r="44" spans="2:19" ht="15.75" customHeight="1" x14ac:dyDescent="0.25">
      <c r="B44" s="104" t="s">
        <v>75</v>
      </c>
      <c r="C44" s="104" t="s">
        <v>76</v>
      </c>
      <c r="D44" s="105">
        <v>5058264</v>
      </c>
      <c r="E44" s="105">
        <v>4048597</v>
      </c>
      <c r="F44" s="105">
        <v>3594978</v>
      </c>
      <c r="G44" s="105">
        <v>2622716</v>
      </c>
      <c r="H44" s="105">
        <v>2848758</v>
      </c>
      <c r="I44" s="105">
        <v>2221335</v>
      </c>
      <c r="J44" s="105">
        <v>2164935</v>
      </c>
      <c r="K44" s="105">
        <v>1666667</v>
      </c>
      <c r="L44" s="105">
        <v>1798300</v>
      </c>
      <c r="M44" s="105">
        <v>1556151</v>
      </c>
      <c r="N44" s="105">
        <v>1499489</v>
      </c>
      <c r="O44" s="105">
        <v>1408626</v>
      </c>
      <c r="P44" s="105">
        <v>1625360</v>
      </c>
      <c r="Q44" s="105">
        <v>1428974</v>
      </c>
      <c r="R44" s="105">
        <v>1309135</v>
      </c>
      <c r="S44" s="105">
        <v>1261280</v>
      </c>
    </row>
    <row r="45" spans="2:19" ht="15.75" customHeight="1" x14ac:dyDescent="0.25"/>
    <row r="46" spans="2:19" ht="15.75" customHeight="1" x14ac:dyDescent="0.25"/>
    <row r="47" spans="2:19" ht="15.75" customHeight="1" x14ac:dyDescent="0.25"/>
    <row r="48" spans="2:19"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2">
    <mergeCell ref="B1:C1"/>
    <mergeCell ref="B2:C2"/>
  </mergeCells>
  <pageMargins left="0.511811024" right="0.511811024" top="0.78740157499999996" bottom="0.78740157499999996" header="0" footer="0"/>
  <pageSetup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AP32"/>
  <sheetViews>
    <sheetView showGridLines="0" zoomScale="90" zoomScaleNormal="90" workbookViewId="0">
      <pane xSplit="3" ySplit="4" topLeftCell="D5" activePane="bottomRight" state="frozen"/>
      <selection activeCell="P34" sqref="P34"/>
      <selection pane="topRight" activeCell="P34" sqref="P34"/>
      <selection pane="bottomLeft" activeCell="P34" sqref="P34"/>
      <selection pane="bottomRight"/>
    </sheetView>
  </sheetViews>
  <sheetFormatPr defaultColWidth="12.625" defaultRowHeight="15" customHeight="1" x14ac:dyDescent="0.2"/>
  <cols>
    <col min="1" max="1" width="3.375" style="75" customWidth="1"/>
    <col min="2" max="3" width="26" customWidth="1"/>
    <col min="4" max="39" width="11.625" style="75" customWidth="1"/>
    <col min="40" max="41" width="11.375" style="75" customWidth="1"/>
    <col min="42" max="16384" width="12.625" style="75"/>
  </cols>
  <sheetData>
    <row r="1" spans="1:42" ht="15" customHeight="1" x14ac:dyDescent="0.2">
      <c r="B1" s="75"/>
      <c r="C1" s="75"/>
    </row>
    <row r="2" spans="1:42" ht="15" customHeight="1" x14ac:dyDescent="0.2">
      <c r="B2" s="75"/>
      <c r="C2" s="75"/>
      <c r="R2" s="75" t="s">
        <v>574</v>
      </c>
    </row>
    <row r="3" spans="1:42" ht="15" customHeight="1" x14ac:dyDescent="0.2">
      <c r="B3" s="300" t="s">
        <v>891</v>
      </c>
      <c r="C3" s="300"/>
      <c r="D3" s="220"/>
    </row>
    <row r="4" spans="1:42" ht="33.75" customHeight="1" x14ac:dyDescent="0.2">
      <c r="B4" s="107" t="s">
        <v>120</v>
      </c>
      <c r="C4" s="107" t="s">
        <v>121</v>
      </c>
      <c r="D4" s="107" t="s">
        <v>846</v>
      </c>
      <c r="E4" s="107" t="s">
        <v>838</v>
      </c>
      <c r="F4" s="107" t="s">
        <v>823</v>
      </c>
      <c r="G4" s="107" t="s">
        <v>762</v>
      </c>
      <c r="H4" s="107" t="s">
        <v>742</v>
      </c>
      <c r="I4" s="107" t="s">
        <v>718</v>
      </c>
      <c r="J4" s="107" t="s">
        <v>703</v>
      </c>
      <c r="K4" s="107" t="s">
        <v>685</v>
      </c>
      <c r="L4" s="107" t="s">
        <v>670</v>
      </c>
      <c r="M4" s="107" t="s">
        <v>630</v>
      </c>
      <c r="N4" s="107" t="s">
        <v>618</v>
      </c>
      <c r="O4" s="107" t="s">
        <v>624</v>
      </c>
      <c r="P4" s="107" t="s">
        <v>575</v>
      </c>
      <c r="Q4" s="107" t="s">
        <v>153</v>
      </c>
      <c r="R4" s="107" t="s">
        <v>0</v>
      </c>
      <c r="S4" s="99" t="s">
        <v>1</v>
      </c>
      <c r="T4" s="101" t="s">
        <v>2</v>
      </c>
      <c r="U4" s="101" t="s">
        <v>3</v>
      </c>
      <c r="V4" s="101" t="s">
        <v>4</v>
      </c>
      <c r="W4" s="101" t="s">
        <v>5</v>
      </c>
      <c r="X4" s="101" t="s">
        <v>6</v>
      </c>
      <c r="Y4" s="101" t="s">
        <v>7</v>
      </c>
      <c r="Z4" s="101" t="s">
        <v>8</v>
      </c>
      <c r="AA4" s="101" t="s">
        <v>9</v>
      </c>
      <c r="AB4" s="101" t="s">
        <v>10</v>
      </c>
      <c r="AC4" s="101" t="s">
        <v>11</v>
      </c>
      <c r="AD4" s="101" t="s">
        <v>12</v>
      </c>
      <c r="AE4" s="101" t="s">
        <v>13</v>
      </c>
      <c r="AG4" s="98">
        <v>2017</v>
      </c>
      <c r="AH4" s="98">
        <v>2018</v>
      </c>
      <c r="AI4" s="98">
        <v>2019</v>
      </c>
      <c r="AJ4" s="98">
        <v>2020</v>
      </c>
      <c r="AK4" s="98">
        <v>2021</v>
      </c>
      <c r="AL4" s="98">
        <v>2022</v>
      </c>
      <c r="AM4" s="98">
        <v>2023</v>
      </c>
    </row>
    <row r="5" spans="1:42" ht="15" customHeight="1" x14ac:dyDescent="0.2">
      <c r="B5" s="173" t="s">
        <v>102</v>
      </c>
      <c r="C5" s="173" t="s">
        <v>122</v>
      </c>
      <c r="D5" s="181"/>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G5" s="173"/>
      <c r="AH5" s="173"/>
      <c r="AI5" s="173"/>
      <c r="AJ5" s="173"/>
      <c r="AK5" s="173"/>
      <c r="AL5" s="173"/>
      <c r="AM5" s="215" t="s">
        <v>856</v>
      </c>
    </row>
    <row r="6" spans="1:42" ht="15" customHeight="1" x14ac:dyDescent="0.2">
      <c r="B6" s="75" t="s">
        <v>123</v>
      </c>
      <c r="C6" s="75" t="s">
        <v>124</v>
      </c>
      <c r="D6" s="174">
        <v>-183405</v>
      </c>
      <c r="E6" s="174">
        <v>-150723</v>
      </c>
      <c r="F6" s="174">
        <v>-155789</v>
      </c>
      <c r="G6" s="174">
        <v>-140492</v>
      </c>
      <c r="H6" s="174">
        <v>-177232</v>
      </c>
      <c r="I6" s="174">
        <v>-145506</v>
      </c>
      <c r="J6" s="174">
        <v>-156291</v>
      </c>
      <c r="K6" s="174">
        <v>-126634</v>
      </c>
      <c r="L6" s="174">
        <v>-142741.30035999889</v>
      </c>
      <c r="M6" s="174">
        <v>-127326.80690999981</v>
      </c>
      <c r="N6" s="174">
        <v>-112277.11743</v>
      </c>
      <c r="O6" s="174">
        <v>-107923.88257</v>
      </c>
      <c r="P6" s="174">
        <v>-105703</v>
      </c>
      <c r="Q6" s="174">
        <v>-73077</v>
      </c>
      <c r="R6" s="174">
        <v>-44828</v>
      </c>
      <c r="S6" s="174">
        <v>-95410</v>
      </c>
      <c r="T6" s="174">
        <v>-110634</v>
      </c>
      <c r="U6" s="174">
        <v>-99504</v>
      </c>
      <c r="V6" s="174">
        <v>-76365</v>
      </c>
      <c r="W6" s="174">
        <v>-86459</v>
      </c>
      <c r="X6" s="174">
        <v>-98729</v>
      </c>
      <c r="Y6" s="174">
        <v>-82458</v>
      </c>
      <c r="Z6" s="174">
        <v>-75186</v>
      </c>
      <c r="AA6" s="174">
        <v>-74304</v>
      </c>
      <c r="AB6" s="174">
        <v>-87814</v>
      </c>
      <c r="AC6" s="174">
        <v>-73969</v>
      </c>
      <c r="AD6" s="174">
        <v>-75876</v>
      </c>
      <c r="AE6" s="174">
        <v>-69131</v>
      </c>
      <c r="AG6" s="174">
        <v>-306790</v>
      </c>
      <c r="AH6" s="174">
        <v>-330677</v>
      </c>
      <c r="AI6" s="174">
        <v>-372962</v>
      </c>
      <c r="AJ6" s="174">
        <v>-319018</v>
      </c>
      <c r="AK6" s="174">
        <v>-490269.1072699987</v>
      </c>
      <c r="AL6" s="174">
        <v>-605663</v>
      </c>
      <c r="AM6" s="174">
        <f>SUM(D6:G6)</f>
        <v>-630409</v>
      </c>
      <c r="AP6" s="174"/>
    </row>
    <row r="7" spans="1:42" ht="15" customHeight="1" x14ac:dyDescent="0.2">
      <c r="B7" s="75" t="s">
        <v>125</v>
      </c>
      <c r="C7" s="75" t="s">
        <v>126</v>
      </c>
      <c r="D7" s="174">
        <v>-47729</v>
      </c>
      <c r="E7" s="174">
        <v>-47130</v>
      </c>
      <c r="F7" s="174">
        <v>-45832</v>
      </c>
      <c r="G7" s="174">
        <v>-43032</v>
      </c>
      <c r="H7" s="174">
        <v>-41793</v>
      </c>
      <c r="I7" s="174">
        <v>-40031</v>
      </c>
      <c r="J7" s="174">
        <v>-35790</v>
      </c>
      <c r="K7" s="174">
        <v>-44642</v>
      </c>
      <c r="L7" s="174">
        <v>-29510.280520000029</v>
      </c>
      <c r="M7" s="174">
        <v>-35046.745649999968</v>
      </c>
      <c r="N7" s="174">
        <v>-38610.381020000001</v>
      </c>
      <c r="O7" s="174">
        <v>-33408.618979999999</v>
      </c>
      <c r="P7" s="174">
        <v>-28850</v>
      </c>
      <c r="Q7" s="174">
        <v>-29578</v>
      </c>
      <c r="R7" s="174">
        <v>-31002</v>
      </c>
      <c r="S7" s="174">
        <v>-24540</v>
      </c>
      <c r="T7" s="174">
        <v>-17290</v>
      </c>
      <c r="U7" s="174">
        <v>-27866</v>
      </c>
      <c r="V7" s="174">
        <v>-30655</v>
      </c>
      <c r="W7" s="174">
        <v>-27609</v>
      </c>
      <c r="X7" s="84">
        <v>0</v>
      </c>
      <c r="Y7" s="84">
        <v>0</v>
      </c>
      <c r="Z7" s="84">
        <v>0</v>
      </c>
      <c r="AA7" s="84">
        <v>0</v>
      </c>
      <c r="AB7" s="84">
        <v>0</v>
      </c>
      <c r="AC7" s="84">
        <v>0</v>
      </c>
      <c r="AD7" s="84">
        <v>0</v>
      </c>
      <c r="AE7" s="84">
        <v>0</v>
      </c>
      <c r="AG7" s="84">
        <v>0</v>
      </c>
      <c r="AH7" s="84">
        <v>0</v>
      </c>
      <c r="AI7" s="174">
        <v>-103420</v>
      </c>
      <c r="AJ7" s="174">
        <v>-113970</v>
      </c>
      <c r="AK7" s="174">
        <v>-136576.02617</v>
      </c>
      <c r="AL7" s="174">
        <v>-162256</v>
      </c>
      <c r="AM7" s="174">
        <f t="shared" ref="AM7:AM16" si="0">SUM(D7:G7)</f>
        <v>-183723</v>
      </c>
      <c r="AP7" s="174"/>
    </row>
    <row r="8" spans="1:42" ht="15" customHeight="1" x14ac:dyDescent="0.2">
      <c r="B8" s="75" t="s">
        <v>127</v>
      </c>
      <c r="C8" s="75" t="s">
        <v>128</v>
      </c>
      <c r="D8" s="174">
        <v>-34230</v>
      </c>
      <c r="E8" s="174">
        <v>-28868</v>
      </c>
      <c r="F8" s="174">
        <v>-34045</v>
      </c>
      <c r="G8" s="174">
        <v>-22637</v>
      </c>
      <c r="H8" s="174">
        <v>-24686</v>
      </c>
      <c r="I8" s="174">
        <v>-28313</v>
      </c>
      <c r="J8" s="174">
        <v>-12640</v>
      </c>
      <c r="K8" s="174">
        <v>-13255</v>
      </c>
      <c r="L8" s="174">
        <v>-15085.417030000019</v>
      </c>
      <c r="M8" s="174">
        <v>-14804.450099999987</v>
      </c>
      <c r="N8" s="174">
        <v>3717.7451799999981</v>
      </c>
      <c r="O8" s="174">
        <v>-10573.745179999998</v>
      </c>
      <c r="P8" s="174">
        <v>-7616</v>
      </c>
      <c r="Q8" s="174">
        <v>6419</v>
      </c>
      <c r="R8" s="174">
        <v>15287</v>
      </c>
      <c r="S8" s="174">
        <v>-13057</v>
      </c>
      <c r="T8" s="174">
        <v>-15490</v>
      </c>
      <c r="U8" s="174">
        <v>-10943</v>
      </c>
      <c r="V8" s="174">
        <v>-13537</v>
      </c>
      <c r="W8" s="174">
        <v>-8793</v>
      </c>
      <c r="X8" s="174">
        <v>-47139</v>
      </c>
      <c r="Y8" s="174">
        <v>-41530</v>
      </c>
      <c r="Z8" s="174">
        <v>-41705</v>
      </c>
      <c r="AA8" s="174">
        <v>-37548</v>
      </c>
      <c r="AB8" s="174">
        <v>-44552</v>
      </c>
      <c r="AC8" s="174">
        <v>-38011</v>
      </c>
      <c r="AD8" s="174">
        <v>-37684</v>
      </c>
      <c r="AE8" s="174">
        <v>-36429</v>
      </c>
      <c r="AG8" s="174">
        <v>-156676</v>
      </c>
      <c r="AH8" s="174">
        <v>-167922</v>
      </c>
      <c r="AI8" s="174">
        <v>-48763</v>
      </c>
      <c r="AJ8" s="174">
        <v>1033</v>
      </c>
      <c r="AK8" s="174">
        <v>-36745.867130000006</v>
      </c>
      <c r="AL8" s="174">
        <v>-78894</v>
      </c>
      <c r="AM8" s="174">
        <f t="shared" si="0"/>
        <v>-119780</v>
      </c>
      <c r="AP8" s="174"/>
    </row>
    <row r="9" spans="1:42" ht="15" customHeight="1" x14ac:dyDescent="0.2">
      <c r="B9" s="75" t="s">
        <v>129</v>
      </c>
      <c r="C9" s="75" t="s">
        <v>130</v>
      </c>
      <c r="D9" s="174">
        <v>-73476</v>
      </c>
      <c r="E9" s="174">
        <v>-56871</v>
      </c>
      <c r="F9" s="174">
        <v>-51557</v>
      </c>
      <c r="G9" s="174">
        <v>-45447</v>
      </c>
      <c r="H9" s="174">
        <v>-66191.985229999991</v>
      </c>
      <c r="I9" s="174">
        <v>-33238</v>
      </c>
      <c r="J9" s="174">
        <v>-52295</v>
      </c>
      <c r="K9" s="174">
        <v>-40857</v>
      </c>
      <c r="L9" s="174">
        <v>-43085.805030000585</v>
      </c>
      <c r="M9" s="174">
        <v>-41264.341999999582</v>
      </c>
      <c r="N9" s="174">
        <v>-41296.471360000018</v>
      </c>
      <c r="O9" s="174">
        <v>-38970.528639999982</v>
      </c>
      <c r="P9" s="174">
        <v>-37478</v>
      </c>
      <c r="Q9" s="174">
        <v>-39971</v>
      </c>
      <c r="R9" s="174">
        <v>-37027</v>
      </c>
      <c r="S9" s="174">
        <v>-25025</v>
      </c>
      <c r="T9" s="174">
        <v>-27585</v>
      </c>
      <c r="U9" s="174">
        <v>-26328</v>
      </c>
      <c r="V9" s="174">
        <v>-25966</v>
      </c>
      <c r="W9" s="174">
        <v>-22570</v>
      </c>
      <c r="X9" s="174">
        <v>-24575</v>
      </c>
      <c r="Y9" s="174">
        <v>-19606</v>
      </c>
      <c r="Z9" s="174">
        <v>-20742</v>
      </c>
      <c r="AA9" s="174">
        <v>-17308</v>
      </c>
      <c r="AB9" s="174">
        <v>-16612</v>
      </c>
      <c r="AC9" s="174">
        <v>-28891</v>
      </c>
      <c r="AD9" s="174">
        <v>-15617</v>
      </c>
      <c r="AE9" s="174">
        <v>-13659</v>
      </c>
      <c r="AG9" s="174">
        <v>-74779</v>
      </c>
      <c r="AH9" s="174">
        <v>-82231</v>
      </c>
      <c r="AI9" s="174">
        <v>-102449</v>
      </c>
      <c r="AJ9" s="174">
        <v>-139501</v>
      </c>
      <c r="AK9" s="174">
        <v>-164617.14703000017</v>
      </c>
      <c r="AL9" s="174">
        <v>-192581.98522999999</v>
      </c>
      <c r="AM9" s="174">
        <f t="shared" si="0"/>
        <v>-227351</v>
      </c>
      <c r="AP9" s="174"/>
    </row>
    <row r="10" spans="1:42" ht="15" customHeight="1" x14ac:dyDescent="0.2">
      <c r="A10" s="32"/>
      <c r="B10" s="75" t="s">
        <v>852</v>
      </c>
      <c r="C10" s="75" t="s">
        <v>132</v>
      </c>
      <c r="D10" s="174">
        <v>-116786</v>
      </c>
      <c r="E10" s="174">
        <v>-131573</v>
      </c>
      <c r="F10" s="174">
        <v>-143572</v>
      </c>
      <c r="G10" s="174">
        <v>-110174</v>
      </c>
      <c r="H10" s="174">
        <v>-144853.89176999999</v>
      </c>
      <c r="I10" s="174">
        <v>-139751</v>
      </c>
      <c r="J10" s="174">
        <v>-104437.05441</v>
      </c>
      <c r="K10" s="174">
        <v>-58115.945590000003</v>
      </c>
      <c r="L10" s="174">
        <v>-86007.145959999529</v>
      </c>
      <c r="M10" s="174">
        <v>-68685.748410000204</v>
      </c>
      <c r="N10" s="174">
        <v>-50314.292609999997</v>
      </c>
      <c r="O10" s="174">
        <v>-31892.707390000003</v>
      </c>
      <c r="P10" s="174">
        <v>-31556</v>
      </c>
      <c r="Q10" s="174">
        <v>-28155</v>
      </c>
      <c r="R10" s="174">
        <v>-25064</v>
      </c>
      <c r="S10" s="174">
        <v>-12176</v>
      </c>
      <c r="T10" s="174">
        <v>-18969</v>
      </c>
      <c r="U10" s="174">
        <v>-12782</v>
      </c>
      <c r="V10" s="174">
        <v>-13858</v>
      </c>
      <c r="W10" s="174">
        <v>-8240</v>
      </c>
      <c r="X10" s="174">
        <v>-12514</v>
      </c>
      <c r="Y10" s="174">
        <v>-8115</v>
      </c>
      <c r="Z10" s="174">
        <v>-11646</v>
      </c>
      <c r="AA10" s="174">
        <v>-8717</v>
      </c>
      <c r="AB10" s="174">
        <v>-9996</v>
      </c>
      <c r="AC10" s="174">
        <v>-9169</v>
      </c>
      <c r="AD10" s="174">
        <v>-7861</v>
      </c>
      <c r="AE10" s="174">
        <v>-6280</v>
      </c>
      <c r="AG10" s="174">
        <v>-33306</v>
      </c>
      <c r="AH10" s="174">
        <v>-40992</v>
      </c>
      <c r="AI10" s="174">
        <v>-53849</v>
      </c>
      <c r="AJ10" s="174">
        <v>-96951</v>
      </c>
      <c r="AK10" s="174">
        <v>-236899.89436999973</v>
      </c>
      <c r="AL10" s="174">
        <v>-447157.89176999999</v>
      </c>
      <c r="AM10" s="174">
        <f t="shared" si="0"/>
        <v>-502105</v>
      </c>
      <c r="AP10" s="174"/>
    </row>
    <row r="11" spans="1:42" ht="15" customHeight="1" x14ac:dyDescent="0.2">
      <c r="A11" s="32"/>
      <c r="B11" s="75" t="s">
        <v>133</v>
      </c>
      <c r="C11" s="75" t="s">
        <v>134</v>
      </c>
      <c r="D11" s="174">
        <v>-7964</v>
      </c>
      <c r="E11" s="174">
        <v>-25635</v>
      </c>
      <c r="F11" s="174">
        <v>-24419</v>
      </c>
      <c r="G11" s="174">
        <v>-25001</v>
      </c>
      <c r="H11" s="174">
        <v>-17522</v>
      </c>
      <c r="I11" s="174">
        <v>-25422</v>
      </c>
      <c r="J11" s="174">
        <v>-22218.858469999999</v>
      </c>
      <c r="K11" s="174">
        <v>-18159.141530000001</v>
      </c>
      <c r="L11" s="174">
        <v>-24500.851290000042</v>
      </c>
      <c r="M11" s="174">
        <v>-19824.965369999954</v>
      </c>
      <c r="N11" s="174">
        <v>-17287.95737</v>
      </c>
      <c r="O11" s="174">
        <v>-15223.04263</v>
      </c>
      <c r="P11" s="174">
        <v>-23258</v>
      </c>
      <c r="Q11" s="174">
        <v>-14416</v>
      </c>
      <c r="R11" s="174">
        <v>-14366</v>
      </c>
      <c r="S11" s="174">
        <v>-13848</v>
      </c>
      <c r="T11" s="174">
        <v>-13540</v>
      </c>
      <c r="U11" s="174">
        <v>-13313</v>
      </c>
      <c r="V11" s="174">
        <v>-12915</v>
      </c>
      <c r="W11" s="174">
        <v>-13128</v>
      </c>
      <c r="X11" s="174">
        <v>-12534</v>
      </c>
      <c r="Y11" s="174">
        <v>-13068</v>
      </c>
      <c r="Z11" s="174">
        <v>-15897</v>
      </c>
      <c r="AA11" s="174">
        <v>-9796</v>
      </c>
      <c r="AB11" s="174">
        <v>-23713</v>
      </c>
      <c r="AC11" s="174">
        <v>-11211</v>
      </c>
      <c r="AD11" s="174">
        <v>-9934</v>
      </c>
      <c r="AE11" s="174">
        <v>-9906</v>
      </c>
      <c r="AG11" s="174">
        <v>-54764</v>
      </c>
      <c r="AH11" s="174">
        <v>-51295</v>
      </c>
      <c r="AI11" s="174">
        <v>-52896</v>
      </c>
      <c r="AJ11" s="174">
        <v>-65888</v>
      </c>
      <c r="AK11" s="174">
        <v>-76836.816659999997</v>
      </c>
      <c r="AL11" s="174">
        <v>-83322</v>
      </c>
      <c r="AM11" s="174">
        <f t="shared" si="0"/>
        <v>-83019</v>
      </c>
      <c r="AP11" s="174"/>
    </row>
    <row r="12" spans="1:42" ht="15" customHeight="1" x14ac:dyDescent="0.2">
      <c r="A12" s="32"/>
      <c r="B12" s="75" t="s">
        <v>854</v>
      </c>
      <c r="C12" s="75" t="s">
        <v>136</v>
      </c>
      <c r="D12" s="174">
        <v>-33094</v>
      </c>
      <c r="E12" s="174">
        <v>-28481</v>
      </c>
      <c r="F12" s="174">
        <v>-25615</v>
      </c>
      <c r="G12" s="174">
        <v>-22172</v>
      </c>
      <c r="H12" s="174">
        <v>-41770</v>
      </c>
      <c r="I12" s="174">
        <v>-18741</v>
      </c>
      <c r="J12" s="174">
        <v>-15040</v>
      </c>
      <c r="K12" s="174">
        <v>-14800</v>
      </c>
      <c r="L12" s="174">
        <v>-26659.706089999949</v>
      </c>
      <c r="M12" s="174">
        <v>-19450.916199999963</v>
      </c>
      <c r="N12" s="174">
        <v>-16276.999999999995</v>
      </c>
      <c r="O12" s="174">
        <v>-11740.000000000005</v>
      </c>
      <c r="P12" s="174">
        <v>-17533</v>
      </c>
      <c r="Q12" s="174">
        <v>-9679</v>
      </c>
      <c r="R12" s="174">
        <v>-5337</v>
      </c>
      <c r="S12" s="174">
        <v>-8607</v>
      </c>
      <c r="T12" s="174">
        <v>-13874</v>
      </c>
      <c r="U12" s="174">
        <v>-10035</v>
      </c>
      <c r="V12" s="174">
        <v>-8832</v>
      </c>
      <c r="W12" s="174">
        <v>-8953</v>
      </c>
      <c r="X12" s="174">
        <v>-12264</v>
      </c>
      <c r="Y12" s="174">
        <v>-8772</v>
      </c>
      <c r="Z12" s="174">
        <v>-9404</v>
      </c>
      <c r="AA12" s="174">
        <v>-7985</v>
      </c>
      <c r="AB12" s="174">
        <v>-10368</v>
      </c>
      <c r="AC12" s="174">
        <v>-8477</v>
      </c>
      <c r="AD12" s="174">
        <v>-7471</v>
      </c>
      <c r="AE12" s="174">
        <v>-6811</v>
      </c>
      <c r="AG12" s="174">
        <v>-33127</v>
      </c>
      <c r="AH12" s="174">
        <v>-38425</v>
      </c>
      <c r="AI12" s="174">
        <v>-41694</v>
      </c>
      <c r="AJ12" s="174">
        <v>-41156</v>
      </c>
      <c r="AK12" s="174">
        <v>-74127.622289999912</v>
      </c>
      <c r="AL12" s="174">
        <v>-90351</v>
      </c>
      <c r="AM12" s="174">
        <f t="shared" si="0"/>
        <v>-109362</v>
      </c>
      <c r="AP12" s="174"/>
    </row>
    <row r="13" spans="1:42" ht="15" customHeight="1" x14ac:dyDescent="0.2">
      <c r="A13" s="32"/>
      <c r="B13" s="75" t="s">
        <v>137</v>
      </c>
      <c r="C13" s="75" t="s">
        <v>138</v>
      </c>
      <c r="D13" s="174">
        <v>-92549</v>
      </c>
      <c r="E13" s="174">
        <v>-80861</v>
      </c>
      <c r="F13" s="174">
        <v>-103386</v>
      </c>
      <c r="G13" s="174">
        <v>-79835</v>
      </c>
      <c r="H13" s="174">
        <v>-81564.593479999981</v>
      </c>
      <c r="I13" s="174">
        <v>-78146</v>
      </c>
      <c r="J13" s="174">
        <v>-55870.851630000005</v>
      </c>
      <c r="K13" s="174">
        <v>-69755.148369999995</v>
      </c>
      <c r="L13" s="174">
        <v>-67853.890579999657</v>
      </c>
      <c r="M13" s="174">
        <v>-77066.353499999852</v>
      </c>
      <c r="N13" s="174">
        <v>-50456.149980000104</v>
      </c>
      <c r="O13" s="174">
        <v>-41309.850019999896</v>
      </c>
      <c r="P13" s="174">
        <v>-20013</v>
      </c>
      <c r="Q13" s="174">
        <v>-15317</v>
      </c>
      <c r="R13" s="174">
        <v>-5875</v>
      </c>
      <c r="S13" s="174">
        <v>-5733</v>
      </c>
      <c r="T13" s="174">
        <v>-10672</v>
      </c>
      <c r="U13" s="174">
        <v>-4444</v>
      </c>
      <c r="V13" s="174">
        <v>-7124</v>
      </c>
      <c r="W13" s="174">
        <v>-7056</v>
      </c>
      <c r="X13" s="174">
        <v>-10623</v>
      </c>
      <c r="Y13" s="174">
        <v>-7662</v>
      </c>
      <c r="Z13" s="174">
        <v>-6040</v>
      </c>
      <c r="AA13" s="174">
        <v>-6458</v>
      </c>
      <c r="AB13" s="174">
        <v>-10149</v>
      </c>
      <c r="AC13" s="174">
        <v>-7299</v>
      </c>
      <c r="AD13" s="174">
        <v>-6178</v>
      </c>
      <c r="AE13" s="174">
        <v>-5294</v>
      </c>
      <c r="AG13" s="174">
        <v>-28920</v>
      </c>
      <c r="AH13" s="174">
        <v>-30783</v>
      </c>
      <c r="AI13" s="174">
        <v>-29296</v>
      </c>
      <c r="AJ13" s="174">
        <v>-46938</v>
      </c>
      <c r="AK13" s="174">
        <v>-236686.24407999951</v>
      </c>
      <c r="AL13" s="174">
        <v>-285336.59347999998</v>
      </c>
      <c r="AM13" s="174">
        <f t="shared" si="0"/>
        <v>-356631</v>
      </c>
      <c r="AP13" s="174"/>
    </row>
    <row r="14" spans="1:42" ht="15" customHeight="1" x14ac:dyDescent="0.2">
      <c r="A14" s="32"/>
      <c r="B14" s="75" t="s">
        <v>851</v>
      </c>
      <c r="C14" s="75" t="s">
        <v>140</v>
      </c>
      <c r="D14" s="174">
        <v>929</v>
      </c>
      <c r="E14" s="174">
        <v>1513</v>
      </c>
      <c r="F14" s="174">
        <v>1419</v>
      </c>
      <c r="G14" s="174">
        <v>-310</v>
      </c>
      <c r="H14" s="174">
        <v>29886</v>
      </c>
      <c r="I14" s="174">
        <v>2750</v>
      </c>
      <c r="J14" s="174">
        <v>3060</v>
      </c>
      <c r="K14" s="174">
        <v>253</v>
      </c>
      <c r="L14" s="174">
        <v>-891.1594399999999</v>
      </c>
      <c r="M14" s="174">
        <v>2076.1106999999997</v>
      </c>
      <c r="N14" s="174">
        <v>626.47019</v>
      </c>
      <c r="O14" s="174">
        <v>1097.52981</v>
      </c>
      <c r="P14" s="174">
        <v>-2145</v>
      </c>
      <c r="Q14" s="174">
        <v>1753</v>
      </c>
      <c r="R14" s="174">
        <v>-6</v>
      </c>
      <c r="S14" s="174">
        <v>398</v>
      </c>
      <c r="T14" s="174">
        <v>-4380</v>
      </c>
      <c r="U14" s="84">
        <v>0</v>
      </c>
      <c r="V14" s="84">
        <v>0</v>
      </c>
      <c r="W14" s="84">
        <v>0</v>
      </c>
      <c r="X14" s="84">
        <v>0</v>
      </c>
      <c r="Y14" s="84">
        <v>0</v>
      </c>
      <c r="Z14" s="84">
        <v>0</v>
      </c>
      <c r="AA14" s="84">
        <v>0</v>
      </c>
      <c r="AB14" s="84">
        <v>0</v>
      </c>
      <c r="AC14" s="84">
        <v>0</v>
      </c>
      <c r="AD14" s="84">
        <v>0</v>
      </c>
      <c r="AE14" s="84">
        <v>0</v>
      </c>
      <c r="AG14" s="84">
        <v>0</v>
      </c>
      <c r="AH14" s="84">
        <v>0</v>
      </c>
      <c r="AI14" s="174">
        <v>-4380</v>
      </c>
      <c r="AJ14" s="174">
        <v>0</v>
      </c>
      <c r="AK14" s="174">
        <v>2908.9512599999998</v>
      </c>
      <c r="AL14" s="174">
        <v>35949</v>
      </c>
      <c r="AM14" s="174">
        <f t="shared" si="0"/>
        <v>3551</v>
      </c>
      <c r="AP14" s="174"/>
    </row>
    <row r="15" spans="1:42" ht="15" customHeight="1" x14ac:dyDescent="0.2">
      <c r="A15" s="32"/>
      <c r="B15" s="75" t="s">
        <v>141</v>
      </c>
      <c r="C15" s="75" t="s">
        <v>142</v>
      </c>
      <c r="D15" s="174">
        <v>-19988</v>
      </c>
      <c r="E15" s="174">
        <v>-15396</v>
      </c>
      <c r="F15" s="174">
        <v>-16415</v>
      </c>
      <c r="G15" s="174">
        <v>-17213</v>
      </c>
      <c r="H15" s="174">
        <v>-44534</v>
      </c>
      <c r="I15" s="174">
        <v>-26503</v>
      </c>
      <c r="J15" s="174">
        <v>-25048.141530000001</v>
      </c>
      <c r="K15" s="174">
        <v>-22689.858469999999</v>
      </c>
      <c r="L15" s="174">
        <v>-29355.219139999412</v>
      </c>
      <c r="M15" s="174">
        <v>-25197.009390000101</v>
      </c>
      <c r="N15" s="174">
        <v>-1076.7752199999959</v>
      </c>
      <c r="O15" s="174">
        <v>-23371.224780000004</v>
      </c>
      <c r="P15" s="174">
        <v>-18082</v>
      </c>
      <c r="Q15" s="174">
        <v>-9831</v>
      </c>
      <c r="R15" s="174">
        <v>-4240</v>
      </c>
      <c r="S15" s="174">
        <v>-8324</v>
      </c>
      <c r="T15" s="174">
        <v>-13259</v>
      </c>
      <c r="U15" s="174">
        <v>-7607</v>
      </c>
      <c r="V15" s="174">
        <v>-9129</v>
      </c>
      <c r="W15" s="174">
        <v>-6794</v>
      </c>
      <c r="X15" s="174">
        <v>-8481</v>
      </c>
      <c r="Y15" s="174">
        <v>-7071</v>
      </c>
      <c r="Z15" s="174">
        <v>-6036</v>
      </c>
      <c r="AA15" s="174">
        <v>-5126</v>
      </c>
      <c r="AB15" s="174">
        <v>-7102</v>
      </c>
      <c r="AC15" s="174">
        <v>-4854</v>
      </c>
      <c r="AD15" s="174">
        <v>-3118</v>
      </c>
      <c r="AE15" s="174">
        <v>-2084</v>
      </c>
      <c r="AG15" s="174">
        <v>-17158</v>
      </c>
      <c r="AH15" s="174">
        <v>-26714</v>
      </c>
      <c r="AI15" s="174">
        <v>-36789</v>
      </c>
      <c r="AJ15" s="174">
        <v>-40477</v>
      </c>
      <c r="AK15" s="174">
        <v>-79000.228529999513</v>
      </c>
      <c r="AL15" s="174">
        <v>-118775</v>
      </c>
      <c r="AM15" s="174">
        <f t="shared" si="0"/>
        <v>-69012</v>
      </c>
      <c r="AP15" s="174"/>
    </row>
    <row r="16" spans="1:42" ht="15" customHeight="1" x14ac:dyDescent="0.2">
      <c r="A16" s="32"/>
      <c r="B16" s="75" t="s">
        <v>679</v>
      </c>
      <c r="C16" s="75" t="s">
        <v>680</v>
      </c>
      <c r="D16" s="174">
        <v>1849</v>
      </c>
      <c r="E16" s="174">
        <v>1944</v>
      </c>
      <c r="F16" s="174">
        <v>-792</v>
      </c>
      <c r="G16" s="174">
        <v>-2621</v>
      </c>
      <c r="H16" s="174">
        <v>-553</v>
      </c>
      <c r="I16" s="174">
        <v>-1523</v>
      </c>
      <c r="J16" s="174">
        <v>-1179</v>
      </c>
      <c r="K16" s="174">
        <v>1261</v>
      </c>
      <c r="L16" s="174">
        <v>-820</v>
      </c>
      <c r="M16" s="175" t="s">
        <v>166</v>
      </c>
      <c r="N16" s="175" t="s">
        <v>166</v>
      </c>
      <c r="O16" s="175" t="s">
        <v>166</v>
      </c>
      <c r="P16" s="174">
        <v>-327</v>
      </c>
      <c r="Q16" s="175" t="s">
        <v>166</v>
      </c>
      <c r="R16" s="175" t="s">
        <v>166</v>
      </c>
      <c r="S16" s="175" t="s">
        <v>166</v>
      </c>
      <c r="T16" s="175" t="s">
        <v>166</v>
      </c>
      <c r="U16" s="175" t="s">
        <v>166</v>
      </c>
      <c r="V16" s="175" t="s">
        <v>166</v>
      </c>
      <c r="W16" s="175" t="s">
        <v>166</v>
      </c>
      <c r="X16" s="175" t="s">
        <v>166</v>
      </c>
      <c r="Y16" s="175" t="s">
        <v>166</v>
      </c>
      <c r="Z16" s="175" t="s">
        <v>166</v>
      </c>
      <c r="AA16" s="175" t="s">
        <v>166</v>
      </c>
      <c r="AB16" s="175" t="s">
        <v>166</v>
      </c>
      <c r="AC16" s="175" t="s">
        <v>166</v>
      </c>
      <c r="AD16" s="175" t="s">
        <v>166</v>
      </c>
      <c r="AE16" s="175" t="s">
        <v>166</v>
      </c>
      <c r="AG16" s="175">
        <v>0</v>
      </c>
      <c r="AH16" s="175">
        <v>0</v>
      </c>
      <c r="AI16" s="175">
        <v>0</v>
      </c>
      <c r="AJ16" s="175">
        <v>-327</v>
      </c>
      <c r="AK16" s="175">
        <v>-820</v>
      </c>
      <c r="AL16" s="175">
        <v>-1994</v>
      </c>
      <c r="AM16" s="174">
        <f t="shared" si="0"/>
        <v>380</v>
      </c>
      <c r="AP16" s="174"/>
    </row>
    <row r="17" spans="1:42" s="64" customFormat="1" ht="15" customHeight="1" x14ac:dyDescent="0.2">
      <c r="A17" s="32"/>
      <c r="B17" s="176" t="s">
        <v>143</v>
      </c>
      <c r="C17" s="176" t="s">
        <v>144</v>
      </c>
      <c r="D17" s="206">
        <v>-606443</v>
      </c>
      <c r="E17" s="177">
        <v>-562081</v>
      </c>
      <c r="F17" s="177">
        <v>-600003</v>
      </c>
      <c r="G17" s="177">
        <v>-508934</v>
      </c>
      <c r="H17" s="177">
        <v>-610814.4704799999</v>
      </c>
      <c r="I17" s="177">
        <v>-534424</v>
      </c>
      <c r="J17" s="177">
        <v>-477749.90603999997</v>
      </c>
      <c r="K17" s="177">
        <v>-407394.09396000003</v>
      </c>
      <c r="L17" s="177">
        <v>-466510.77543999808</v>
      </c>
      <c r="M17" s="177">
        <v>-426591.22682999936</v>
      </c>
      <c r="N17" s="177">
        <v>-323251.92962000013</v>
      </c>
      <c r="O17" s="177">
        <v>-313316.07037999987</v>
      </c>
      <c r="P17" s="177">
        <v>-292561</v>
      </c>
      <c r="Q17" s="177">
        <v>-211852</v>
      </c>
      <c r="R17" s="177">
        <v>-152458</v>
      </c>
      <c r="S17" s="177">
        <v>-206322</v>
      </c>
      <c r="T17" s="177">
        <v>-245693</v>
      </c>
      <c r="U17" s="177">
        <v>-212822</v>
      </c>
      <c r="V17" s="177">
        <v>-198381</v>
      </c>
      <c r="W17" s="177">
        <v>-189602</v>
      </c>
      <c r="X17" s="177">
        <v>-226859</v>
      </c>
      <c r="Y17" s="177">
        <v>-188282</v>
      </c>
      <c r="Z17" s="177">
        <v>-186656</v>
      </c>
      <c r="AA17" s="177">
        <v>-167242</v>
      </c>
      <c r="AB17" s="177">
        <v>-210306</v>
      </c>
      <c r="AC17" s="177">
        <v>-181881</v>
      </c>
      <c r="AD17" s="177">
        <v>-163739</v>
      </c>
      <c r="AE17" s="177">
        <v>-149594</v>
      </c>
      <c r="AG17" s="177">
        <v>-705520</v>
      </c>
      <c r="AH17" s="177">
        <v>-769039</v>
      </c>
      <c r="AI17" s="177">
        <v>-846498</v>
      </c>
      <c r="AJ17" s="177">
        <v>-863193</v>
      </c>
      <c r="AK17" s="177">
        <v>-1529670.0022699975</v>
      </c>
      <c r="AL17" s="177">
        <v>-2030382.4704799999</v>
      </c>
      <c r="AM17" s="177">
        <f>SUM(AM6:AM16)</f>
        <v>-2277461</v>
      </c>
      <c r="AP17" s="174"/>
    </row>
    <row r="18" spans="1:42" ht="15" customHeight="1" x14ac:dyDescent="0.2">
      <c r="A18" s="33"/>
      <c r="B18" s="178"/>
      <c r="C18" s="178"/>
      <c r="D18" s="178"/>
      <c r="E18" s="178"/>
      <c r="F18" s="178"/>
      <c r="G18" s="178"/>
      <c r="H18" s="178"/>
      <c r="I18" s="178"/>
      <c r="J18" s="178"/>
      <c r="K18" s="178"/>
      <c r="L18" s="178"/>
      <c r="M18" s="178"/>
      <c r="N18" s="178"/>
      <c r="O18" s="178"/>
      <c r="P18" s="178"/>
      <c r="Q18" s="178"/>
      <c r="R18" s="178"/>
      <c r="S18" s="178"/>
      <c r="T18" s="178"/>
      <c r="U18" s="179"/>
      <c r="V18" s="179"/>
      <c r="W18" s="179"/>
      <c r="X18" s="180"/>
      <c r="Y18" s="180"/>
      <c r="Z18" s="180"/>
      <c r="AA18" s="180"/>
      <c r="AB18" s="180"/>
      <c r="AC18" s="180"/>
      <c r="AD18" s="180"/>
      <c r="AE18" s="180"/>
      <c r="AG18" s="180"/>
      <c r="AH18" s="180"/>
      <c r="AI18" s="180"/>
      <c r="AJ18" s="180"/>
      <c r="AK18" s="180"/>
      <c r="AL18" s="180"/>
      <c r="AM18" s="174"/>
      <c r="AP18" s="174"/>
    </row>
    <row r="19" spans="1:42" ht="15" customHeight="1" x14ac:dyDescent="0.2">
      <c r="A19" s="32"/>
      <c r="B19" s="173" t="s">
        <v>145</v>
      </c>
      <c r="C19" s="173" t="s">
        <v>146</v>
      </c>
      <c r="D19" s="181"/>
      <c r="E19" s="181"/>
      <c r="F19" s="173"/>
      <c r="G19" s="173"/>
      <c r="H19" s="173"/>
      <c r="I19" s="173"/>
      <c r="J19" s="173"/>
      <c r="K19" s="173"/>
      <c r="L19" s="173"/>
      <c r="M19" s="173"/>
      <c r="N19" s="173"/>
      <c r="O19" s="173"/>
      <c r="P19" s="173"/>
      <c r="Q19" s="173"/>
      <c r="R19" s="173"/>
      <c r="S19" s="173"/>
      <c r="T19" s="173"/>
      <c r="U19" s="173"/>
      <c r="V19" s="173"/>
      <c r="W19" s="173"/>
      <c r="X19" s="173"/>
      <c r="Y19" s="173"/>
      <c r="Z19" s="173"/>
      <c r="AA19" s="173"/>
      <c r="AB19" s="173"/>
      <c r="AC19" s="173"/>
      <c r="AD19" s="173"/>
      <c r="AE19" s="173"/>
      <c r="AG19" s="173"/>
      <c r="AH19" s="173"/>
      <c r="AI19" s="173"/>
      <c r="AJ19" s="173"/>
      <c r="AK19" s="173"/>
      <c r="AL19" s="173"/>
      <c r="AM19" s="173"/>
      <c r="AP19" s="174"/>
    </row>
    <row r="20" spans="1:42" ht="15" customHeight="1" x14ac:dyDescent="0.2">
      <c r="A20" s="32"/>
      <c r="B20" s="75" t="s">
        <v>855</v>
      </c>
      <c r="C20" s="75" t="s">
        <v>140</v>
      </c>
      <c r="D20" s="174">
        <v>-16781</v>
      </c>
      <c r="E20" s="174">
        <v>334</v>
      </c>
      <c r="F20" s="174">
        <v>-809</v>
      </c>
      <c r="G20" s="174">
        <v>2299</v>
      </c>
      <c r="H20" s="174">
        <v>11612.501490000001</v>
      </c>
      <c r="I20" s="174">
        <v>-136</v>
      </c>
      <c r="J20" s="174">
        <v>-4787</v>
      </c>
      <c r="K20" s="174">
        <v>4369</v>
      </c>
      <c r="L20" s="174">
        <v>-33184.426799999994</v>
      </c>
      <c r="M20" s="174">
        <v>11727.13883</v>
      </c>
      <c r="N20" s="174">
        <v>-506.47019</v>
      </c>
      <c r="O20" s="174">
        <v>1909.47019</v>
      </c>
      <c r="P20" s="174">
        <v>-26256</v>
      </c>
      <c r="Q20" s="174">
        <v>-378</v>
      </c>
      <c r="R20" s="174">
        <v>-14</v>
      </c>
      <c r="S20" s="174">
        <v>-76</v>
      </c>
      <c r="T20" s="174">
        <v>-121737</v>
      </c>
      <c r="U20" s="84">
        <v>0</v>
      </c>
      <c r="V20" s="84">
        <v>0</v>
      </c>
      <c r="W20" s="84">
        <v>0</v>
      </c>
      <c r="X20" s="84">
        <v>0</v>
      </c>
      <c r="Y20" s="84">
        <v>0</v>
      </c>
      <c r="Z20" s="84">
        <v>0</v>
      </c>
      <c r="AA20" s="84">
        <v>0</v>
      </c>
      <c r="AB20" s="84">
        <v>0</v>
      </c>
      <c r="AC20" s="84">
        <v>0</v>
      </c>
      <c r="AD20" s="84">
        <v>0</v>
      </c>
      <c r="AE20" s="84">
        <v>0</v>
      </c>
      <c r="AG20" s="84">
        <v>0</v>
      </c>
      <c r="AH20" s="84">
        <v>0</v>
      </c>
      <c r="AI20" s="174">
        <v>-121737</v>
      </c>
      <c r="AJ20" s="174">
        <v>-26724</v>
      </c>
      <c r="AK20" s="174">
        <v>-20054.287969999994</v>
      </c>
      <c r="AL20" s="174">
        <v>11058.501490000001</v>
      </c>
      <c r="AM20" s="174">
        <f t="shared" ref="AM20:AM29" si="1">SUM(D20:G20)</f>
        <v>-14957</v>
      </c>
      <c r="AP20" s="174"/>
    </row>
    <row r="21" spans="1:42" ht="15" customHeight="1" x14ac:dyDescent="0.2">
      <c r="A21" s="32"/>
      <c r="B21" s="75" t="s">
        <v>123</v>
      </c>
      <c r="C21" s="75" t="s">
        <v>124</v>
      </c>
      <c r="D21" s="174">
        <v>-63607</v>
      </c>
      <c r="E21" s="174">
        <v>-40626</v>
      </c>
      <c r="F21" s="174">
        <v>-50945</v>
      </c>
      <c r="G21" s="174">
        <v>-47634</v>
      </c>
      <c r="H21" s="174">
        <v>-64320</v>
      </c>
      <c r="I21" s="174">
        <v>-52875</v>
      </c>
      <c r="J21" s="174">
        <v>-54240</v>
      </c>
      <c r="K21" s="174">
        <v>-53318</v>
      </c>
      <c r="L21" s="174">
        <v>-23494.559760000033</v>
      </c>
      <c r="M21" s="174">
        <v>-28233.225630000015</v>
      </c>
      <c r="N21" s="174">
        <v>-35081.882570000002</v>
      </c>
      <c r="O21" s="174">
        <v>-33567.117429999998</v>
      </c>
      <c r="P21" s="174">
        <v>-8548</v>
      </c>
      <c r="Q21" s="174">
        <v>-15507</v>
      </c>
      <c r="R21" s="174">
        <v>-3599</v>
      </c>
      <c r="S21" s="174">
        <v>-19468</v>
      </c>
      <c r="T21" s="174">
        <v>-19938</v>
      </c>
      <c r="U21" s="174">
        <v>-9182</v>
      </c>
      <c r="V21" s="174">
        <v>-18362</v>
      </c>
      <c r="W21" s="174">
        <v>-19706</v>
      </c>
      <c r="X21" s="174">
        <v>-24681</v>
      </c>
      <c r="Y21" s="174">
        <v>223</v>
      </c>
      <c r="Z21" s="174">
        <v>-24460</v>
      </c>
      <c r="AA21" s="174">
        <v>-19260</v>
      </c>
      <c r="AB21" s="174">
        <v>-25068</v>
      </c>
      <c r="AC21" s="174">
        <v>-17818</v>
      </c>
      <c r="AD21" s="174">
        <v>-18476</v>
      </c>
      <c r="AE21" s="174">
        <v>-15151</v>
      </c>
      <c r="AG21" s="174">
        <v>-76513</v>
      </c>
      <c r="AH21" s="174">
        <v>-68178</v>
      </c>
      <c r="AI21" s="174">
        <v>-67188</v>
      </c>
      <c r="AJ21" s="174">
        <v>-47122</v>
      </c>
      <c r="AK21" s="174">
        <v>-120376.78539000005</v>
      </c>
      <c r="AL21" s="174">
        <v>-224753</v>
      </c>
      <c r="AM21" s="174">
        <f t="shared" si="1"/>
        <v>-202812</v>
      </c>
      <c r="AP21" s="174"/>
    </row>
    <row r="22" spans="1:42" ht="15" customHeight="1" x14ac:dyDescent="0.2">
      <c r="A22" s="32"/>
      <c r="B22" s="75" t="s">
        <v>133</v>
      </c>
      <c r="C22" s="75" t="s">
        <v>134</v>
      </c>
      <c r="D22" s="174">
        <v>-23213</v>
      </c>
      <c r="E22" s="174">
        <v>-24978</v>
      </c>
      <c r="F22" s="174">
        <v>-24583</v>
      </c>
      <c r="G22" s="174">
        <v>-25070</v>
      </c>
      <c r="H22" s="174">
        <v>-23669.49469</v>
      </c>
      <c r="I22" s="174">
        <v>-19417.497309999999</v>
      </c>
      <c r="J22" s="174">
        <v>-18762</v>
      </c>
      <c r="K22" s="174">
        <v>-18287</v>
      </c>
      <c r="L22" s="174">
        <v>-13531.918570000002</v>
      </c>
      <c r="M22" s="174">
        <v>-14177.778639999997</v>
      </c>
      <c r="N22" s="174">
        <v>-12978.04263</v>
      </c>
      <c r="O22" s="174">
        <v>-15898.95737</v>
      </c>
      <c r="P22" s="174">
        <v>-12446</v>
      </c>
      <c r="Q22" s="174">
        <v>-9538</v>
      </c>
      <c r="R22" s="174">
        <v>-9543</v>
      </c>
      <c r="S22" s="174">
        <v>-9551</v>
      </c>
      <c r="T22" s="174">
        <v>-9310</v>
      </c>
      <c r="U22" s="174">
        <v>-9383.7000000000007</v>
      </c>
      <c r="V22" s="174">
        <v>-9272.2999999999993</v>
      </c>
      <c r="W22" s="174">
        <v>-9196</v>
      </c>
      <c r="X22" s="174">
        <v>-7661</v>
      </c>
      <c r="Y22" s="174">
        <v>-6599</v>
      </c>
      <c r="Z22" s="174">
        <v>-4577</v>
      </c>
      <c r="AA22" s="174">
        <v>-10634</v>
      </c>
      <c r="AB22" s="174">
        <v>4313</v>
      </c>
      <c r="AC22" s="174">
        <v>-9386</v>
      </c>
      <c r="AD22" s="174">
        <v>-9970</v>
      </c>
      <c r="AE22" s="174">
        <v>-9783</v>
      </c>
      <c r="AG22" s="174">
        <v>-24826</v>
      </c>
      <c r="AH22" s="174">
        <v>-29471</v>
      </c>
      <c r="AI22" s="174">
        <v>-37162</v>
      </c>
      <c r="AJ22" s="174">
        <v>-41078</v>
      </c>
      <c r="AK22" s="174">
        <v>-56586.697209999998</v>
      </c>
      <c r="AL22" s="174">
        <v>-80135.991999999998</v>
      </c>
      <c r="AM22" s="174">
        <f t="shared" si="1"/>
        <v>-97844</v>
      </c>
      <c r="AP22" s="174"/>
    </row>
    <row r="23" spans="1:42" ht="15" customHeight="1" x14ac:dyDescent="0.2">
      <c r="A23" s="32"/>
      <c r="B23" s="75" t="s">
        <v>137</v>
      </c>
      <c r="C23" s="75" t="s">
        <v>138</v>
      </c>
      <c r="D23" s="174">
        <v>-16159</v>
      </c>
      <c r="E23" s="174">
        <v>-14935</v>
      </c>
      <c r="F23" s="174">
        <v>-9425</v>
      </c>
      <c r="G23" s="174">
        <v>-21430</v>
      </c>
      <c r="H23" s="174">
        <v>-33690</v>
      </c>
      <c r="I23" s="174">
        <v>-13367</v>
      </c>
      <c r="J23" s="174">
        <v>-20463</v>
      </c>
      <c r="K23" s="174">
        <v>-20162</v>
      </c>
      <c r="L23" s="174">
        <v>-53809.288350000243</v>
      </c>
      <c r="M23" s="174">
        <v>-9309.7568399997472</v>
      </c>
      <c r="N23" s="174">
        <v>-8263.8500199999999</v>
      </c>
      <c r="O23" s="174">
        <v>-6890.1499800000001</v>
      </c>
      <c r="P23" s="174">
        <v>-26607</v>
      </c>
      <c r="Q23" s="174">
        <v>-12950</v>
      </c>
      <c r="R23" s="174">
        <v>-6754</v>
      </c>
      <c r="S23" s="174">
        <v>-5966</v>
      </c>
      <c r="T23" s="174">
        <v>-15090</v>
      </c>
      <c r="U23" s="174">
        <v>-8851</v>
      </c>
      <c r="V23" s="174">
        <v>-6921</v>
      </c>
      <c r="W23" s="174">
        <v>-5662</v>
      </c>
      <c r="X23" s="174">
        <v>-11209</v>
      </c>
      <c r="Y23" s="174">
        <v>-5502</v>
      </c>
      <c r="Z23" s="174">
        <v>-6804</v>
      </c>
      <c r="AA23" s="174">
        <v>-5600</v>
      </c>
      <c r="AB23" s="174">
        <v>-2868</v>
      </c>
      <c r="AC23" s="174">
        <v>-6080</v>
      </c>
      <c r="AD23" s="174">
        <v>-5902</v>
      </c>
      <c r="AE23" s="174">
        <v>-5581</v>
      </c>
      <c r="AG23" s="174">
        <v>-20431</v>
      </c>
      <c r="AH23" s="174">
        <v>-29115</v>
      </c>
      <c r="AI23" s="174">
        <v>-36524</v>
      </c>
      <c r="AJ23" s="174">
        <v>-52277</v>
      </c>
      <c r="AK23" s="174">
        <v>-78273.04518999999</v>
      </c>
      <c r="AL23" s="174">
        <v>-87682</v>
      </c>
      <c r="AM23" s="174">
        <f t="shared" si="1"/>
        <v>-61949</v>
      </c>
      <c r="AP23" s="174"/>
    </row>
    <row r="24" spans="1:42" ht="15" customHeight="1" x14ac:dyDescent="0.2">
      <c r="A24" s="32"/>
      <c r="B24" s="75" t="s">
        <v>129</v>
      </c>
      <c r="C24" s="75" t="s">
        <v>130</v>
      </c>
      <c r="D24" s="174">
        <v>-21471</v>
      </c>
      <c r="E24" s="174">
        <v>-18331</v>
      </c>
      <c r="F24" s="174">
        <v>-21202</v>
      </c>
      <c r="G24" s="174">
        <v>-22582</v>
      </c>
      <c r="H24" s="174">
        <v>-27849</v>
      </c>
      <c r="I24" s="174">
        <v>-18393</v>
      </c>
      <c r="J24" s="174">
        <v>-9666.4004199999999</v>
      </c>
      <c r="K24" s="174">
        <v>-9264.5995800000001</v>
      </c>
      <c r="L24" s="174">
        <v>-13007.297869999427</v>
      </c>
      <c r="M24" s="174">
        <v>-16415.260240000025</v>
      </c>
      <c r="N24" s="174">
        <v>-8881.5286400000095</v>
      </c>
      <c r="O24" s="174">
        <v>-7917.4713599999905</v>
      </c>
      <c r="P24" s="174">
        <v>-11610</v>
      </c>
      <c r="Q24" s="174">
        <v>-4227</v>
      </c>
      <c r="R24" s="174">
        <v>-5586</v>
      </c>
      <c r="S24" s="174">
        <v>-7568</v>
      </c>
      <c r="T24" s="174">
        <v>-12444</v>
      </c>
      <c r="U24" s="174">
        <v>-7941</v>
      </c>
      <c r="V24" s="174">
        <v>-5930</v>
      </c>
      <c r="W24" s="174">
        <v>-4670</v>
      </c>
      <c r="X24" s="174">
        <v>-5604</v>
      </c>
      <c r="Y24" s="174">
        <v>-5695</v>
      </c>
      <c r="Z24" s="174">
        <v>-5734</v>
      </c>
      <c r="AA24" s="174">
        <v>-3167</v>
      </c>
      <c r="AB24" s="174">
        <v>-2431</v>
      </c>
      <c r="AC24" s="174">
        <v>-3321</v>
      </c>
      <c r="AD24" s="174">
        <v>-3855</v>
      </c>
      <c r="AE24" s="174">
        <v>-2578</v>
      </c>
      <c r="AG24" s="174">
        <v>-12185</v>
      </c>
      <c r="AH24" s="174">
        <v>-20200</v>
      </c>
      <c r="AI24" s="174">
        <v>-30985</v>
      </c>
      <c r="AJ24" s="174">
        <v>-28991</v>
      </c>
      <c r="AK24" s="174">
        <v>-46221.558109999452</v>
      </c>
      <c r="AL24" s="174">
        <v>-65173</v>
      </c>
      <c r="AM24" s="174">
        <f t="shared" si="1"/>
        <v>-83586</v>
      </c>
      <c r="AP24" s="174"/>
    </row>
    <row r="25" spans="1:42" ht="15" customHeight="1" x14ac:dyDescent="0.2">
      <c r="A25" s="32"/>
      <c r="B25" s="75" t="s">
        <v>125</v>
      </c>
      <c r="C25" s="75" t="s">
        <v>126</v>
      </c>
      <c r="D25" s="174">
        <v>-5428</v>
      </c>
      <c r="E25" s="175">
        <v>-5305</v>
      </c>
      <c r="F25" s="175">
        <v>-5197</v>
      </c>
      <c r="G25" s="175">
        <v>-4889</v>
      </c>
      <c r="H25" s="175">
        <v>-4938</v>
      </c>
      <c r="I25" s="175">
        <v>-5040</v>
      </c>
      <c r="J25" s="175">
        <v>-6290</v>
      </c>
      <c r="K25" s="175">
        <v>-5716</v>
      </c>
      <c r="L25" s="175">
        <v>-5129.8730299999952</v>
      </c>
      <c r="M25" s="175">
        <v>-12288.126970000005</v>
      </c>
      <c r="N25" s="175">
        <v>-6550.6189800000002</v>
      </c>
      <c r="O25" s="175">
        <v>-7998.3810199999998</v>
      </c>
      <c r="P25" s="182">
        <v>-4564</v>
      </c>
      <c r="Q25" s="174">
        <v>-3754</v>
      </c>
      <c r="R25" s="174">
        <v>-3502</v>
      </c>
      <c r="S25" s="174">
        <v>-4267</v>
      </c>
      <c r="T25" s="174">
        <v>-2099</v>
      </c>
      <c r="U25" s="174">
        <v>-5595</v>
      </c>
      <c r="V25" s="174">
        <v>-70</v>
      </c>
      <c r="W25" s="174">
        <v>-3047</v>
      </c>
      <c r="X25" s="84">
        <v>0</v>
      </c>
      <c r="Y25" s="84">
        <v>0</v>
      </c>
      <c r="Z25" s="84">
        <v>0</v>
      </c>
      <c r="AA25" s="84">
        <v>0</v>
      </c>
      <c r="AB25" s="84">
        <v>0</v>
      </c>
      <c r="AC25" s="84">
        <v>0</v>
      </c>
      <c r="AD25" s="84">
        <v>0</v>
      </c>
      <c r="AE25" s="84">
        <v>0</v>
      </c>
      <c r="AG25" s="84">
        <v>0</v>
      </c>
      <c r="AH25" s="84">
        <v>0</v>
      </c>
      <c r="AI25" s="174">
        <v>-10811</v>
      </c>
      <c r="AJ25" s="174">
        <v>-16087</v>
      </c>
      <c r="AK25" s="174">
        <v>-31967</v>
      </c>
      <c r="AL25" s="174">
        <v>-21984</v>
      </c>
      <c r="AM25" s="174">
        <f t="shared" si="1"/>
        <v>-20819</v>
      </c>
      <c r="AP25" s="174"/>
    </row>
    <row r="26" spans="1:42" ht="15" customHeight="1" x14ac:dyDescent="0.2">
      <c r="A26" s="32"/>
      <c r="B26" s="75" t="s">
        <v>127</v>
      </c>
      <c r="C26" s="75" t="s">
        <v>128</v>
      </c>
      <c r="D26" s="174">
        <v>-2618</v>
      </c>
      <c r="E26" s="174">
        <v>-972</v>
      </c>
      <c r="F26" s="174">
        <v>-1572</v>
      </c>
      <c r="G26" s="174">
        <v>-1345</v>
      </c>
      <c r="H26" s="174">
        <v>-2256.6277099999998</v>
      </c>
      <c r="I26" s="174">
        <v>-2085</v>
      </c>
      <c r="J26" s="174">
        <v>1570</v>
      </c>
      <c r="K26" s="174">
        <v>904</v>
      </c>
      <c r="L26" s="174">
        <v>-115.87061000000085</v>
      </c>
      <c r="M26" s="174">
        <v>1909.5175700000007</v>
      </c>
      <c r="N26" s="174">
        <v>-8656.7451799999999</v>
      </c>
      <c r="O26" s="174">
        <v>-1275.2548199999999</v>
      </c>
      <c r="P26" s="174">
        <v>-3249</v>
      </c>
      <c r="Q26" s="174">
        <v>1215</v>
      </c>
      <c r="R26" s="174">
        <v>817</v>
      </c>
      <c r="S26" s="174">
        <v>-523</v>
      </c>
      <c r="T26" s="174">
        <v>113</v>
      </c>
      <c r="U26" s="174">
        <v>-2010</v>
      </c>
      <c r="V26" s="174">
        <v>1781</v>
      </c>
      <c r="W26" s="174">
        <v>-1843</v>
      </c>
      <c r="X26" s="174">
        <v>-3707</v>
      </c>
      <c r="Y26" s="174">
        <v>-1608</v>
      </c>
      <c r="Z26" s="174">
        <v>-1291</v>
      </c>
      <c r="AA26" s="174">
        <v>-5127</v>
      </c>
      <c r="AB26" s="174">
        <v>-4168</v>
      </c>
      <c r="AC26" s="174">
        <v>-3111</v>
      </c>
      <c r="AD26" s="174">
        <v>-3871</v>
      </c>
      <c r="AE26" s="174">
        <v>-3466</v>
      </c>
      <c r="AG26" s="174">
        <v>-14616</v>
      </c>
      <c r="AH26" s="174">
        <v>-11733</v>
      </c>
      <c r="AI26" s="174">
        <v>-1959</v>
      </c>
      <c r="AJ26" s="174">
        <v>-1740</v>
      </c>
      <c r="AK26" s="174">
        <v>-8138.35304</v>
      </c>
      <c r="AL26" s="174">
        <v>-1867.6277099999998</v>
      </c>
      <c r="AM26" s="174">
        <f t="shared" si="1"/>
        <v>-6507</v>
      </c>
      <c r="AP26" s="174"/>
    </row>
    <row r="27" spans="1:42" ht="15" customHeight="1" x14ac:dyDescent="0.2">
      <c r="A27" s="32"/>
      <c r="B27" s="75" t="s">
        <v>141</v>
      </c>
      <c r="C27" s="75" t="s">
        <v>142</v>
      </c>
      <c r="D27" s="174">
        <v>-5819</v>
      </c>
      <c r="E27" s="174">
        <v>-5675</v>
      </c>
      <c r="F27" s="174">
        <v>-1983</v>
      </c>
      <c r="G27" s="174">
        <v>-3718</v>
      </c>
      <c r="H27" s="174">
        <v>-11022</v>
      </c>
      <c r="I27" s="174">
        <v>-1375</v>
      </c>
      <c r="J27" s="174">
        <v>-4754</v>
      </c>
      <c r="K27" s="174">
        <v>-4546</v>
      </c>
      <c r="L27" s="174">
        <v>-3496.2737300000044</v>
      </c>
      <c r="M27" s="174">
        <v>-6704.6213699999971</v>
      </c>
      <c r="N27" s="174">
        <v>-16305.22478</v>
      </c>
      <c r="O27" s="174">
        <v>1778.22478</v>
      </c>
      <c r="P27" s="174">
        <v>-29285</v>
      </c>
      <c r="Q27" s="174">
        <v>-1743</v>
      </c>
      <c r="R27" s="174">
        <v>-2370</v>
      </c>
      <c r="S27" s="174">
        <v>-2893</v>
      </c>
      <c r="T27" s="174">
        <v>-28172</v>
      </c>
      <c r="U27" s="174">
        <v>1966</v>
      </c>
      <c r="V27" s="174">
        <v>-1522</v>
      </c>
      <c r="W27" s="174">
        <v>-1691</v>
      </c>
      <c r="X27" s="174">
        <v>-4876</v>
      </c>
      <c r="Y27" s="174">
        <v>-1323</v>
      </c>
      <c r="Z27" s="174">
        <v>-2378</v>
      </c>
      <c r="AA27" s="174">
        <v>-172</v>
      </c>
      <c r="AB27" s="174">
        <v>-11355</v>
      </c>
      <c r="AC27" s="174">
        <v>1341</v>
      </c>
      <c r="AD27" s="174">
        <v>1054</v>
      </c>
      <c r="AE27" s="174">
        <v>-2395</v>
      </c>
      <c r="AG27" s="174">
        <v>-11355</v>
      </c>
      <c r="AH27" s="174">
        <v>-8749</v>
      </c>
      <c r="AI27" s="174">
        <v>-29419</v>
      </c>
      <c r="AJ27" s="174">
        <v>-36291</v>
      </c>
      <c r="AK27" s="174">
        <v>-24727.895100000002</v>
      </c>
      <c r="AL27" s="174">
        <v>-21697</v>
      </c>
      <c r="AM27" s="174">
        <f t="shared" si="1"/>
        <v>-17195</v>
      </c>
      <c r="AP27" s="174"/>
    </row>
    <row r="28" spans="1:42" ht="15" customHeight="1" x14ac:dyDescent="0.2">
      <c r="A28" s="32"/>
      <c r="B28" s="75" t="s">
        <v>852</v>
      </c>
      <c r="C28" s="75" t="s">
        <v>132</v>
      </c>
      <c r="D28" s="174">
        <v>-3218</v>
      </c>
      <c r="E28" s="174">
        <v>-3470</v>
      </c>
      <c r="F28" s="174">
        <v>-1264</v>
      </c>
      <c r="G28" s="174">
        <v>-3979</v>
      </c>
      <c r="H28" s="174">
        <v>-11190</v>
      </c>
      <c r="I28" s="174">
        <v>-1462</v>
      </c>
      <c r="J28" s="174">
        <v>-2010</v>
      </c>
      <c r="K28" s="174">
        <v>-1634</v>
      </c>
      <c r="L28" s="174">
        <v>-146.92077999999992</v>
      </c>
      <c r="M28" s="174">
        <v>-41.435770000000048</v>
      </c>
      <c r="N28" s="174">
        <v>-748.70739000000003</v>
      </c>
      <c r="O28" s="174">
        <v>-610.29260999999997</v>
      </c>
      <c r="P28" s="174">
        <v>-380</v>
      </c>
      <c r="Q28" s="174">
        <v>-63</v>
      </c>
      <c r="R28" s="174">
        <v>-427</v>
      </c>
      <c r="S28" s="174">
        <v>-237</v>
      </c>
      <c r="T28" s="174">
        <v>-729</v>
      </c>
      <c r="U28" s="174">
        <v>160</v>
      </c>
      <c r="V28" s="174">
        <v>-412</v>
      </c>
      <c r="W28" s="75">
        <v>-305</v>
      </c>
      <c r="X28" s="174">
        <v>-1094</v>
      </c>
      <c r="Y28" s="174">
        <v>-544</v>
      </c>
      <c r="Z28" s="174">
        <v>-337</v>
      </c>
      <c r="AA28" s="174">
        <v>-229</v>
      </c>
      <c r="AB28" s="75">
        <v>-116</v>
      </c>
      <c r="AC28" s="174">
        <v>-16</v>
      </c>
      <c r="AD28" s="174">
        <v>-148</v>
      </c>
      <c r="AE28" s="174">
        <v>-14</v>
      </c>
      <c r="AG28" s="174">
        <v>-294</v>
      </c>
      <c r="AH28" s="174">
        <v>-2204</v>
      </c>
      <c r="AI28" s="174">
        <v>-1286</v>
      </c>
      <c r="AJ28" s="174">
        <v>-1107</v>
      </c>
      <c r="AK28" s="174">
        <v>-1547.35655</v>
      </c>
      <c r="AL28" s="174">
        <v>-16296</v>
      </c>
      <c r="AM28" s="174">
        <f t="shared" si="1"/>
        <v>-11931</v>
      </c>
      <c r="AP28" s="174"/>
    </row>
    <row r="29" spans="1:42" ht="15" customHeight="1" x14ac:dyDescent="0.2">
      <c r="A29" s="32"/>
      <c r="B29" s="75" t="s">
        <v>853</v>
      </c>
      <c r="C29" s="75" t="s">
        <v>136</v>
      </c>
      <c r="D29" s="174">
        <v>0</v>
      </c>
      <c r="E29" s="174">
        <v>0</v>
      </c>
      <c r="F29" s="174">
        <v>0</v>
      </c>
      <c r="G29" s="174">
        <v>0</v>
      </c>
      <c r="H29" s="174">
        <v>0</v>
      </c>
      <c r="I29" s="174">
        <v>243</v>
      </c>
      <c r="J29" s="174">
        <v>-134</v>
      </c>
      <c r="K29" s="174">
        <v>-109</v>
      </c>
      <c r="L29" s="175" t="s">
        <v>166</v>
      </c>
      <c r="M29" s="175" t="s">
        <v>166</v>
      </c>
      <c r="N29" s="175" t="s">
        <v>166</v>
      </c>
      <c r="O29" s="175" t="s">
        <v>166</v>
      </c>
      <c r="P29" s="175" t="s">
        <v>166</v>
      </c>
      <c r="Q29" s="175" t="s">
        <v>166</v>
      </c>
      <c r="R29" s="175" t="s">
        <v>166</v>
      </c>
      <c r="S29" s="175" t="s">
        <v>166</v>
      </c>
      <c r="T29" s="175" t="s">
        <v>166</v>
      </c>
      <c r="U29" s="175" t="s">
        <v>166</v>
      </c>
      <c r="V29" s="175" t="s">
        <v>166</v>
      </c>
      <c r="W29" s="175" t="s">
        <v>166</v>
      </c>
      <c r="X29" s="175" t="s">
        <v>166</v>
      </c>
      <c r="Y29" s="175" t="s">
        <v>166</v>
      </c>
      <c r="Z29" s="175" t="s">
        <v>166</v>
      </c>
      <c r="AA29" s="175" t="s">
        <v>166</v>
      </c>
      <c r="AB29" s="175" t="s">
        <v>166</v>
      </c>
      <c r="AC29" s="175" t="s">
        <v>166</v>
      </c>
      <c r="AD29" s="175" t="s">
        <v>166</v>
      </c>
      <c r="AE29" s="175" t="s">
        <v>166</v>
      </c>
      <c r="AG29" s="175">
        <v>0</v>
      </c>
      <c r="AH29" s="175">
        <v>0</v>
      </c>
      <c r="AI29" s="175">
        <v>0</v>
      </c>
      <c r="AJ29" s="175">
        <v>0</v>
      </c>
      <c r="AK29" s="175">
        <v>0</v>
      </c>
      <c r="AL29" s="174">
        <v>0</v>
      </c>
      <c r="AM29" s="174">
        <f t="shared" si="1"/>
        <v>0</v>
      </c>
      <c r="AP29" s="174"/>
    </row>
    <row r="30" spans="1:42" s="64" customFormat="1" ht="15" customHeight="1" x14ac:dyDescent="0.2">
      <c r="B30" s="176" t="s">
        <v>147</v>
      </c>
      <c r="C30" s="176" t="s">
        <v>148</v>
      </c>
      <c r="D30" s="206">
        <v>-158314</v>
      </c>
      <c r="E30" s="177">
        <v>-113958</v>
      </c>
      <c r="F30" s="177">
        <v>-116980</v>
      </c>
      <c r="G30" s="177">
        <v>-128348</v>
      </c>
      <c r="H30" s="177">
        <v>-167322.62091</v>
      </c>
      <c r="I30" s="177">
        <v>-113907.49731000001</v>
      </c>
      <c r="J30" s="177">
        <v>-119536.40041999999</v>
      </c>
      <c r="K30" s="177">
        <v>-107763.59958000001</v>
      </c>
      <c r="L30" s="177">
        <v>-145916.42949999977</v>
      </c>
      <c r="M30" s="177">
        <v>-73533.549059999787</v>
      </c>
      <c r="N30" s="177">
        <v>-97973.070380000005</v>
      </c>
      <c r="O30" s="177">
        <v>-70469.929619999995</v>
      </c>
      <c r="P30" s="177">
        <v>-122945</v>
      </c>
      <c r="Q30" s="177">
        <v>-46945</v>
      </c>
      <c r="R30" s="177">
        <v>-30978</v>
      </c>
      <c r="S30" s="177">
        <v>-50549</v>
      </c>
      <c r="T30" s="177">
        <v>-209406</v>
      </c>
      <c r="U30" s="177">
        <v>-40837</v>
      </c>
      <c r="V30" s="177">
        <v>-40708</v>
      </c>
      <c r="W30" s="177">
        <v>-46120</v>
      </c>
      <c r="X30" s="177">
        <v>-58832</v>
      </c>
      <c r="Y30" s="177">
        <v>-21048</v>
      </c>
      <c r="Z30" s="177">
        <v>-45581</v>
      </c>
      <c r="AA30" s="177">
        <v>-44189</v>
      </c>
      <c r="AB30" s="177">
        <v>-41693</v>
      </c>
      <c r="AC30" s="177">
        <v>-38391</v>
      </c>
      <c r="AD30" s="177">
        <v>-41168</v>
      </c>
      <c r="AE30" s="177">
        <v>-38968</v>
      </c>
      <c r="AG30" s="177">
        <v>-160220</v>
      </c>
      <c r="AH30" s="177">
        <v>-169650</v>
      </c>
      <c r="AI30" s="177">
        <v>-337071</v>
      </c>
      <c r="AJ30" s="177">
        <v>-251417</v>
      </c>
      <c r="AK30" s="177">
        <v>-387892.97855999955</v>
      </c>
      <c r="AL30" s="177">
        <v>-508530.11822000006</v>
      </c>
      <c r="AM30" s="177">
        <f>SUM(AM20:AM29)</f>
        <v>-517600</v>
      </c>
      <c r="AP30" s="174"/>
    </row>
    <row r="32" spans="1:42" ht="15" customHeight="1" x14ac:dyDescent="0.2">
      <c r="M32" s="174"/>
      <c r="N32" s="174"/>
      <c r="O32" s="174"/>
      <c r="P32" s="174"/>
    </row>
  </sheetData>
  <mergeCells count="1">
    <mergeCell ref="B3:C3"/>
  </mergeCells>
  <pageMargins left="0.511811024" right="0.511811024" top="0.78740157499999996" bottom="0.78740157499999996" header="0" footer="0"/>
  <pageSetup orientation="landscape" r:id="rId1"/>
  <ignoredErrors>
    <ignoredError sqref="AM6:AM17" formulaRange="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1:XFD1048576"/>
  <sheetViews>
    <sheetView showGridLines="0" zoomScale="90" zoomScaleNormal="90" workbookViewId="0">
      <pane xSplit="3" ySplit="3" topLeftCell="D4" activePane="bottomRight" state="frozen"/>
      <selection activeCell="P34" sqref="P34"/>
      <selection pane="topRight" activeCell="P34" sqref="P34"/>
      <selection pane="bottomLeft" activeCell="P34" sqref="P34"/>
      <selection pane="bottomRight" activeCell="E3" sqref="E3"/>
    </sheetView>
  </sheetViews>
  <sheetFormatPr defaultColWidth="12.625" defaultRowHeight="15" customHeight="1" x14ac:dyDescent="0.2"/>
  <cols>
    <col min="1" max="1" width="3.375" style="75" customWidth="1"/>
    <col min="2" max="3" width="26" style="75" customWidth="1"/>
    <col min="4" max="28" width="11.375" style="75" customWidth="1"/>
    <col min="29" max="16384" width="12.625" style="75"/>
  </cols>
  <sheetData>
    <row r="1" spans="2:19 16384:16384" ht="26.1" customHeight="1" x14ac:dyDescent="0.2"/>
    <row r="2" spans="2:19 16384:16384" ht="28.35" customHeight="1" x14ac:dyDescent="0.2">
      <c r="B2" s="301" t="s">
        <v>607</v>
      </c>
      <c r="C2" s="301"/>
      <c r="D2" s="75" t="s">
        <v>574</v>
      </c>
    </row>
    <row r="3" spans="2:19 16384:16384" ht="33.75" customHeight="1" x14ac:dyDescent="0.2">
      <c r="B3" s="107" t="s">
        <v>120</v>
      </c>
      <c r="C3" s="107" t="s">
        <v>121</v>
      </c>
      <c r="D3" s="99" t="s">
        <v>576</v>
      </c>
      <c r="E3" s="99" t="s">
        <v>542</v>
      </c>
      <c r="F3" s="99" t="s">
        <v>149</v>
      </c>
      <c r="G3" s="99" t="s">
        <v>150</v>
      </c>
      <c r="H3" s="101" t="s">
        <v>79</v>
      </c>
      <c r="I3" s="101" t="s">
        <v>80</v>
      </c>
      <c r="J3" s="101" t="s">
        <v>81</v>
      </c>
      <c r="K3" s="101" t="s">
        <v>82</v>
      </c>
      <c r="L3" s="101" t="s">
        <v>6</v>
      </c>
      <c r="M3" s="101" t="s">
        <v>7</v>
      </c>
      <c r="N3" s="101" t="s">
        <v>8</v>
      </c>
      <c r="O3" s="101" t="s">
        <v>9</v>
      </c>
      <c r="P3" s="101" t="s">
        <v>10</v>
      </c>
      <c r="Q3" s="101" t="s">
        <v>11</v>
      </c>
      <c r="R3" s="101" t="s">
        <v>12</v>
      </c>
      <c r="S3" s="101" t="s">
        <v>13</v>
      </c>
    </row>
    <row r="4" spans="2:19 16384:16384" ht="15" customHeight="1" x14ac:dyDescent="0.2">
      <c r="B4" s="173" t="s">
        <v>102</v>
      </c>
      <c r="C4" s="173" t="s">
        <v>122</v>
      </c>
      <c r="D4" s="173"/>
      <c r="E4" s="173"/>
      <c r="F4" s="173"/>
      <c r="G4" s="173"/>
      <c r="H4" s="173"/>
      <c r="I4" s="173"/>
      <c r="J4" s="173"/>
      <c r="K4" s="173"/>
      <c r="L4" s="173"/>
      <c r="M4" s="173"/>
      <c r="N4" s="173"/>
      <c r="O4" s="173"/>
      <c r="P4" s="173"/>
      <c r="Q4" s="173"/>
      <c r="R4" s="173"/>
      <c r="S4" s="173"/>
    </row>
    <row r="5" spans="2:19 16384:16384" ht="15" customHeight="1" x14ac:dyDescent="0.2">
      <c r="B5" s="75" t="s">
        <v>123</v>
      </c>
      <c r="C5" s="75" t="s">
        <v>124</v>
      </c>
      <c r="D5" s="174">
        <v>-105703</v>
      </c>
      <c r="E5" s="174">
        <v>-73077</v>
      </c>
      <c r="F5" s="174">
        <v>-44828</v>
      </c>
      <c r="G5" s="174">
        <v>-95410</v>
      </c>
      <c r="H5" s="174">
        <v>-110634</v>
      </c>
      <c r="I5" s="174">
        <v>-99504</v>
      </c>
      <c r="J5" s="174">
        <v>-76365</v>
      </c>
      <c r="K5" s="174">
        <v>-86459</v>
      </c>
      <c r="L5" s="174">
        <v>-98729</v>
      </c>
      <c r="M5" s="174">
        <v>-82458</v>
      </c>
      <c r="N5" s="174">
        <v>-75186</v>
      </c>
      <c r="O5" s="174">
        <v>-74304</v>
      </c>
      <c r="P5" s="174">
        <v>-87814</v>
      </c>
      <c r="Q5" s="174">
        <v>-73969</v>
      </c>
      <c r="R5" s="174">
        <v>-75876</v>
      </c>
      <c r="S5" s="174">
        <v>-69131</v>
      </c>
      <c r="XFD5" s="174">
        <f t="shared" ref="XFD5:XFD15" si="0">SUM(D5:XFC5)</f>
        <v>-1329447</v>
      </c>
    </row>
    <row r="6" spans="2:19 16384:16384" ht="15" customHeight="1" x14ac:dyDescent="0.2">
      <c r="B6" s="75" t="s">
        <v>125</v>
      </c>
      <c r="C6" s="75" t="s">
        <v>126</v>
      </c>
      <c r="D6" s="84" t="s">
        <v>166</v>
      </c>
      <c r="E6" s="84">
        <v>0</v>
      </c>
      <c r="F6" s="84">
        <v>0</v>
      </c>
      <c r="G6" s="84">
        <v>0</v>
      </c>
      <c r="H6" s="84">
        <v>0</v>
      </c>
      <c r="I6" s="84">
        <v>0</v>
      </c>
      <c r="J6" s="84">
        <v>0</v>
      </c>
      <c r="K6" s="84">
        <v>0</v>
      </c>
      <c r="L6" s="84">
        <v>0</v>
      </c>
      <c r="M6" s="84">
        <v>0</v>
      </c>
      <c r="N6" s="84">
        <v>0</v>
      </c>
      <c r="O6" s="84">
        <v>0</v>
      </c>
      <c r="P6" s="84">
        <v>0</v>
      </c>
      <c r="Q6" s="84">
        <v>0</v>
      </c>
      <c r="R6" s="84">
        <v>0</v>
      </c>
      <c r="S6" s="84">
        <v>0</v>
      </c>
      <c r="XFD6" s="72">
        <f t="shared" si="0"/>
        <v>0</v>
      </c>
    </row>
    <row r="7" spans="2:19 16384:16384" ht="15" customHeight="1" x14ac:dyDescent="0.2">
      <c r="B7" s="75" t="s">
        <v>127</v>
      </c>
      <c r="C7" s="75" t="s">
        <v>128</v>
      </c>
      <c r="D7" s="174">
        <v>-56969.2</v>
      </c>
      <c r="E7" s="174">
        <v>-34160.096460001354</v>
      </c>
      <c r="F7" s="174">
        <v>-25890.352348774999</v>
      </c>
      <c r="G7" s="174">
        <v>-50233.647651225001</v>
      </c>
      <c r="H7" s="174">
        <v>-61950.754810000013</v>
      </c>
      <c r="I7" s="174">
        <v>-43582.6</v>
      </c>
      <c r="J7" s="174">
        <v>-48516.7</v>
      </c>
      <c r="K7" s="174">
        <v>-40358</v>
      </c>
      <c r="L7" s="174">
        <v>-47139</v>
      </c>
      <c r="M7" s="174">
        <v>-41530</v>
      </c>
      <c r="N7" s="174">
        <v>-41705</v>
      </c>
      <c r="O7" s="174">
        <v>-37548</v>
      </c>
      <c r="P7" s="174">
        <v>-44552</v>
      </c>
      <c r="Q7" s="174">
        <v>-38011</v>
      </c>
      <c r="R7" s="174">
        <v>-37684</v>
      </c>
      <c r="S7" s="174">
        <v>-36429</v>
      </c>
      <c r="XFD7" s="174">
        <f t="shared" si="0"/>
        <v>-686259.35127000138</v>
      </c>
    </row>
    <row r="8" spans="2:19 16384:16384" ht="15" customHeight="1" x14ac:dyDescent="0.2">
      <c r="B8" s="75" t="s">
        <v>129</v>
      </c>
      <c r="C8" s="75" t="s">
        <v>130</v>
      </c>
      <c r="D8" s="174">
        <v>-37478</v>
      </c>
      <c r="E8" s="174">
        <v>-39971</v>
      </c>
      <c r="F8" s="174">
        <v>-37027</v>
      </c>
      <c r="G8" s="174">
        <v>-25025</v>
      </c>
      <c r="H8" s="174">
        <v>-27585</v>
      </c>
      <c r="I8" s="174">
        <v>-26328</v>
      </c>
      <c r="J8" s="174">
        <v>-25966</v>
      </c>
      <c r="K8" s="174">
        <v>-22570</v>
      </c>
      <c r="L8" s="174">
        <v>-24575</v>
      </c>
      <c r="M8" s="174">
        <v>-19606</v>
      </c>
      <c r="N8" s="174">
        <v>-20742</v>
      </c>
      <c r="O8" s="174">
        <v>-17308</v>
      </c>
      <c r="P8" s="174">
        <v>-16612</v>
      </c>
      <c r="Q8" s="174">
        <v>-28891</v>
      </c>
      <c r="R8" s="174">
        <v>-15617</v>
      </c>
      <c r="S8" s="174">
        <v>-13659</v>
      </c>
      <c r="XFD8" s="174">
        <f t="shared" si="0"/>
        <v>-398960</v>
      </c>
    </row>
    <row r="9" spans="2:19 16384:16384" ht="15" customHeight="1" x14ac:dyDescent="0.2">
      <c r="B9" s="75" t="s">
        <v>131</v>
      </c>
      <c r="C9" s="75" t="s">
        <v>132</v>
      </c>
      <c r="D9" s="174">
        <v>-31390</v>
      </c>
      <c r="E9" s="174">
        <v>-28155</v>
      </c>
      <c r="F9" s="174">
        <v>-25064</v>
      </c>
      <c r="G9" s="174">
        <v>-12176</v>
      </c>
      <c r="H9" s="174">
        <v>-18969</v>
      </c>
      <c r="I9" s="174">
        <v>-12782</v>
      </c>
      <c r="J9" s="174">
        <v>-13858</v>
      </c>
      <c r="K9" s="174">
        <v>-8240</v>
      </c>
      <c r="L9" s="174">
        <v>-12514</v>
      </c>
      <c r="M9" s="174">
        <v>-8115</v>
      </c>
      <c r="N9" s="174">
        <v>-11646</v>
      </c>
      <c r="O9" s="174">
        <v>-8717</v>
      </c>
      <c r="P9" s="174">
        <v>-9996</v>
      </c>
      <c r="Q9" s="174">
        <v>-9169</v>
      </c>
      <c r="R9" s="174">
        <v>-7861</v>
      </c>
      <c r="S9" s="174">
        <v>-6280</v>
      </c>
      <c r="XFD9" s="174">
        <f t="shared" si="0"/>
        <v>-224932</v>
      </c>
    </row>
    <row r="10" spans="2:19 16384:16384" ht="15" customHeight="1" x14ac:dyDescent="0.2">
      <c r="B10" s="75" t="s">
        <v>133</v>
      </c>
      <c r="C10" s="75" t="s">
        <v>134</v>
      </c>
      <c r="D10" s="174">
        <v>-15779.3</v>
      </c>
      <c r="E10" s="174">
        <v>-15553.385180000001</v>
      </c>
      <c r="F10" s="174">
        <v>-15245.286110000005</v>
      </c>
      <c r="G10" s="174">
        <v>-14893.713889999995</v>
      </c>
      <c r="H10" s="174">
        <v>-14599.199999999997</v>
      </c>
      <c r="I10" s="174">
        <v>-13312.599999999999</v>
      </c>
      <c r="J10" s="174">
        <v>-12915.2</v>
      </c>
      <c r="K10" s="174">
        <v>-13128</v>
      </c>
      <c r="L10" s="174">
        <v>-12534</v>
      </c>
      <c r="M10" s="174">
        <v>-13068</v>
      </c>
      <c r="N10" s="174">
        <v>-15897</v>
      </c>
      <c r="O10" s="174">
        <v>-9796</v>
      </c>
      <c r="P10" s="174">
        <v>-23713</v>
      </c>
      <c r="Q10" s="174">
        <v>-11211</v>
      </c>
      <c r="R10" s="174">
        <v>-9934</v>
      </c>
      <c r="S10" s="174">
        <v>-9906</v>
      </c>
      <c r="XFD10" s="174">
        <f t="shared" si="0"/>
        <v>-221485.68517999997</v>
      </c>
    </row>
    <row r="11" spans="2:19 16384:16384" ht="15" customHeight="1" x14ac:dyDescent="0.2">
      <c r="B11" s="75" t="s">
        <v>135</v>
      </c>
      <c r="C11" s="75" t="s">
        <v>136</v>
      </c>
      <c r="D11" s="174">
        <v>-17533</v>
      </c>
      <c r="E11" s="174">
        <v>-9679</v>
      </c>
      <c r="F11" s="174">
        <v>-5337</v>
      </c>
      <c r="G11" s="174">
        <v>-8607</v>
      </c>
      <c r="H11" s="174">
        <v>-13874</v>
      </c>
      <c r="I11" s="174">
        <v>-10035</v>
      </c>
      <c r="J11" s="174">
        <v>-8832</v>
      </c>
      <c r="K11" s="174">
        <v>-8953</v>
      </c>
      <c r="L11" s="174">
        <v>-12264</v>
      </c>
      <c r="M11" s="174">
        <v>-8772</v>
      </c>
      <c r="N11" s="174">
        <v>-9404</v>
      </c>
      <c r="O11" s="174">
        <v>-7985</v>
      </c>
      <c r="P11" s="174">
        <v>-10368</v>
      </c>
      <c r="Q11" s="174">
        <v>-8477</v>
      </c>
      <c r="R11" s="174">
        <v>-7471</v>
      </c>
      <c r="S11" s="174">
        <v>-6811</v>
      </c>
      <c r="XFD11" s="174">
        <f t="shared" si="0"/>
        <v>-154402</v>
      </c>
    </row>
    <row r="12" spans="2:19 16384:16384" ht="15" customHeight="1" x14ac:dyDescent="0.2">
      <c r="B12" s="75" t="s">
        <v>137</v>
      </c>
      <c r="C12" s="75" t="s">
        <v>138</v>
      </c>
      <c r="D12" s="174">
        <v>-20013</v>
      </c>
      <c r="E12" s="174">
        <v>-15317</v>
      </c>
      <c r="F12" s="174">
        <v>-5875</v>
      </c>
      <c r="G12" s="174">
        <v>-5733</v>
      </c>
      <c r="H12" s="174">
        <v>-10672</v>
      </c>
      <c r="I12" s="174">
        <v>-4444</v>
      </c>
      <c r="J12" s="174">
        <v>-7124</v>
      </c>
      <c r="K12" s="174">
        <v>-7056</v>
      </c>
      <c r="L12" s="174">
        <v>-10623</v>
      </c>
      <c r="M12" s="174">
        <v>-7662</v>
      </c>
      <c r="N12" s="174">
        <v>-6040</v>
      </c>
      <c r="O12" s="174">
        <v>-6458</v>
      </c>
      <c r="P12" s="174">
        <v>-10149</v>
      </c>
      <c r="Q12" s="174">
        <v>-7299</v>
      </c>
      <c r="R12" s="174">
        <v>-6178</v>
      </c>
      <c r="S12" s="174">
        <v>-5294</v>
      </c>
      <c r="XFD12" s="174">
        <f t="shared" si="0"/>
        <v>-135937</v>
      </c>
    </row>
    <row r="13" spans="2:19 16384:16384" ht="15" customHeight="1" x14ac:dyDescent="0.2">
      <c r="B13" s="75" t="s">
        <v>139</v>
      </c>
      <c r="C13" s="75" t="s">
        <v>140</v>
      </c>
      <c r="D13" s="174">
        <v>-1985</v>
      </c>
      <c r="E13" s="174">
        <v>1753</v>
      </c>
      <c r="F13" s="174">
        <v>-6</v>
      </c>
      <c r="G13" s="174">
        <v>398</v>
      </c>
      <c r="H13" s="174">
        <v>-4380</v>
      </c>
      <c r="I13" s="84">
        <v>0</v>
      </c>
      <c r="J13" s="84">
        <v>0</v>
      </c>
      <c r="K13" s="84">
        <v>0</v>
      </c>
      <c r="L13" s="84">
        <v>0</v>
      </c>
      <c r="M13" s="84">
        <v>0</v>
      </c>
      <c r="N13" s="84">
        <v>0</v>
      </c>
      <c r="O13" s="84">
        <v>0</v>
      </c>
      <c r="P13" s="84">
        <v>0</v>
      </c>
      <c r="Q13" s="84">
        <v>0</v>
      </c>
      <c r="R13" s="84">
        <v>0</v>
      </c>
      <c r="S13" s="84">
        <v>0</v>
      </c>
      <c r="XFD13" s="174">
        <f t="shared" si="0"/>
        <v>-4220</v>
      </c>
    </row>
    <row r="14" spans="2:19 16384:16384" ht="15" customHeight="1" x14ac:dyDescent="0.2">
      <c r="B14" s="75" t="s">
        <v>141</v>
      </c>
      <c r="C14" s="75" t="s">
        <v>142</v>
      </c>
      <c r="D14" s="174">
        <v>-18733</v>
      </c>
      <c r="E14" s="174">
        <v>-9832</v>
      </c>
      <c r="F14" s="174">
        <v>-4240</v>
      </c>
      <c r="G14" s="174">
        <v>-8324</v>
      </c>
      <c r="H14" s="174">
        <v>-13259</v>
      </c>
      <c r="I14" s="174">
        <v>-7607</v>
      </c>
      <c r="J14" s="174">
        <v>-9129</v>
      </c>
      <c r="K14" s="174">
        <v>-6794</v>
      </c>
      <c r="L14" s="174">
        <v>-8481</v>
      </c>
      <c r="M14" s="174">
        <v>-7071</v>
      </c>
      <c r="N14" s="174">
        <v>-6036</v>
      </c>
      <c r="O14" s="174">
        <v>-5126</v>
      </c>
      <c r="P14" s="174">
        <v>-7102</v>
      </c>
      <c r="Q14" s="174">
        <v>-4854</v>
      </c>
      <c r="R14" s="174">
        <v>-3118</v>
      </c>
      <c r="S14" s="174">
        <v>-2084</v>
      </c>
      <c r="XFD14" s="174">
        <f t="shared" si="0"/>
        <v>-121790</v>
      </c>
    </row>
    <row r="15" spans="2:19 16384:16384" s="64" customFormat="1" ht="15" customHeight="1" x14ac:dyDescent="0.2">
      <c r="B15" s="176" t="s">
        <v>143</v>
      </c>
      <c r="C15" s="176" t="s">
        <v>144</v>
      </c>
      <c r="D15" s="177">
        <v>-305584.5</v>
      </c>
      <c r="E15" s="177">
        <v>-223991.48164000138</v>
      </c>
      <c r="F15" s="177">
        <v>-163512.63845877501</v>
      </c>
      <c r="G15" s="177">
        <v>-220004.36154122499</v>
      </c>
      <c r="H15" s="177">
        <v>-275922.95480999991</v>
      </c>
      <c r="I15" s="177">
        <v>-217595.2</v>
      </c>
      <c r="J15" s="177">
        <v>-202705.90000000002</v>
      </c>
      <c r="K15" s="177">
        <v>-193558</v>
      </c>
      <c r="L15" s="177">
        <v>-226859</v>
      </c>
      <c r="M15" s="177">
        <v>-188282</v>
      </c>
      <c r="N15" s="177">
        <v>-186656</v>
      </c>
      <c r="O15" s="177">
        <v>-167242</v>
      </c>
      <c r="P15" s="177">
        <v>-210306</v>
      </c>
      <c r="Q15" s="177">
        <v>-181881</v>
      </c>
      <c r="R15" s="177">
        <v>-163739</v>
      </c>
      <c r="S15" s="177">
        <v>-149594</v>
      </c>
      <c r="XFD15" s="205">
        <f t="shared" si="0"/>
        <v>-3277434.0364500014</v>
      </c>
    </row>
    <row r="16" spans="2:19 16384:16384" ht="15" customHeight="1" x14ac:dyDescent="0.2">
      <c r="B16" s="178"/>
      <c r="C16" s="178"/>
      <c r="D16" s="178"/>
      <c r="E16" s="178"/>
      <c r="F16" s="178"/>
      <c r="G16" s="178"/>
      <c r="H16" s="178"/>
      <c r="I16" s="204"/>
      <c r="J16" s="179"/>
      <c r="K16" s="180"/>
      <c r="L16" s="180"/>
      <c r="M16" s="180"/>
      <c r="N16" s="180"/>
      <c r="O16" s="180"/>
      <c r="P16" s="180"/>
      <c r="Q16" s="180"/>
      <c r="R16" s="180"/>
      <c r="S16" s="180"/>
    </row>
    <row r="17" spans="2:19 16384:16384" ht="15" customHeight="1" x14ac:dyDescent="0.2">
      <c r="B17" s="173" t="s">
        <v>145</v>
      </c>
      <c r="C17" s="173" t="s">
        <v>146</v>
      </c>
      <c r="D17" s="173"/>
      <c r="E17" s="173"/>
      <c r="F17" s="173"/>
      <c r="G17" s="173"/>
      <c r="H17" s="173"/>
      <c r="I17" s="173"/>
      <c r="J17" s="173"/>
      <c r="K17" s="173"/>
      <c r="L17" s="173"/>
      <c r="M17" s="173"/>
      <c r="N17" s="173"/>
      <c r="O17" s="173"/>
      <c r="P17" s="173"/>
      <c r="Q17" s="173"/>
      <c r="R17" s="173"/>
      <c r="S17" s="173"/>
    </row>
    <row r="18" spans="2:19 16384:16384" ht="15" customHeight="1" x14ac:dyDescent="0.2">
      <c r="B18" s="75" t="s">
        <v>123</v>
      </c>
      <c r="C18" s="75" t="s">
        <v>124</v>
      </c>
      <c r="D18" s="174">
        <v>-8725</v>
      </c>
      <c r="E18" s="174">
        <v>-15507</v>
      </c>
      <c r="F18" s="174">
        <v>-3599</v>
      </c>
      <c r="G18" s="174">
        <v>-19468</v>
      </c>
      <c r="H18" s="174">
        <v>-19938</v>
      </c>
      <c r="I18" s="174">
        <v>-9182</v>
      </c>
      <c r="J18" s="174">
        <v>-18362</v>
      </c>
      <c r="K18" s="174">
        <v>-19706</v>
      </c>
      <c r="L18" s="174">
        <v>-24681</v>
      </c>
      <c r="M18" s="174">
        <v>223</v>
      </c>
      <c r="N18" s="174">
        <v>-24460</v>
      </c>
      <c r="O18" s="174">
        <v>-19260</v>
      </c>
      <c r="P18" s="174">
        <v>-25068</v>
      </c>
      <c r="Q18" s="174">
        <v>-17818</v>
      </c>
      <c r="R18" s="174">
        <v>-18476</v>
      </c>
      <c r="S18" s="174">
        <v>-15151</v>
      </c>
      <c r="XFD18" s="174">
        <f t="shared" ref="XFD18:XFD27" si="1">SUM(D18:XFC18)</f>
        <v>-259178</v>
      </c>
    </row>
    <row r="19" spans="2:19 16384:16384" ht="15" customHeight="1" x14ac:dyDescent="0.2">
      <c r="B19" s="75" t="s">
        <v>133</v>
      </c>
      <c r="C19" s="75" t="s">
        <v>134</v>
      </c>
      <c r="D19" s="174">
        <v>-12010</v>
      </c>
      <c r="E19" s="174">
        <v>-9538</v>
      </c>
      <c r="F19" s="174">
        <v>-9543</v>
      </c>
      <c r="G19" s="174">
        <v>-9551</v>
      </c>
      <c r="H19" s="174">
        <v>-9310</v>
      </c>
      <c r="I19" s="174">
        <v>-9383.7000000000007</v>
      </c>
      <c r="J19" s="174">
        <v>-9272.2999999999993</v>
      </c>
      <c r="K19" s="174">
        <v>-9196</v>
      </c>
      <c r="L19" s="174">
        <v>-7661</v>
      </c>
      <c r="M19" s="174">
        <v>-6599</v>
      </c>
      <c r="N19" s="174">
        <v>-4577</v>
      </c>
      <c r="O19" s="174">
        <v>-10634</v>
      </c>
      <c r="P19" s="174">
        <v>4313</v>
      </c>
      <c r="Q19" s="174">
        <v>-9386</v>
      </c>
      <c r="R19" s="174">
        <v>-9970</v>
      </c>
      <c r="S19" s="174">
        <v>-9783</v>
      </c>
      <c r="XFD19" s="174">
        <f t="shared" si="1"/>
        <v>-132101</v>
      </c>
    </row>
    <row r="20" spans="2:19 16384:16384" ht="15" customHeight="1" x14ac:dyDescent="0.2">
      <c r="B20" s="75" t="s">
        <v>137</v>
      </c>
      <c r="C20" s="75" t="s">
        <v>138</v>
      </c>
      <c r="D20" s="174">
        <v>-26597</v>
      </c>
      <c r="E20" s="174">
        <v>-12950</v>
      </c>
      <c r="F20" s="174">
        <v>-6754</v>
      </c>
      <c r="G20" s="174">
        <v>-5966</v>
      </c>
      <c r="H20" s="174">
        <v>-15090</v>
      </c>
      <c r="I20" s="174">
        <v>-8851</v>
      </c>
      <c r="J20" s="174">
        <v>-6921</v>
      </c>
      <c r="K20" s="174">
        <v>-5662</v>
      </c>
      <c r="L20" s="174">
        <v>-11209</v>
      </c>
      <c r="M20" s="174">
        <v>-5502</v>
      </c>
      <c r="N20" s="174">
        <v>-6804</v>
      </c>
      <c r="O20" s="174">
        <v>-5600</v>
      </c>
      <c r="P20" s="174">
        <v>-2868</v>
      </c>
      <c r="Q20" s="174">
        <v>-6080</v>
      </c>
      <c r="R20" s="174">
        <v>-5902</v>
      </c>
      <c r="S20" s="174">
        <v>-5581</v>
      </c>
      <c r="XFD20" s="174">
        <f t="shared" si="1"/>
        <v>-138337</v>
      </c>
    </row>
    <row r="21" spans="2:19 16384:16384" ht="15" customHeight="1" x14ac:dyDescent="0.2">
      <c r="B21" s="75" t="s">
        <v>129</v>
      </c>
      <c r="C21" s="75" t="s">
        <v>130</v>
      </c>
      <c r="D21" s="174">
        <v>-11610</v>
      </c>
      <c r="E21" s="174">
        <v>-4227</v>
      </c>
      <c r="F21" s="174">
        <v>-5587</v>
      </c>
      <c r="G21" s="174">
        <v>-7567</v>
      </c>
      <c r="H21" s="174">
        <v>-12444</v>
      </c>
      <c r="I21" s="174">
        <v>-7941</v>
      </c>
      <c r="J21" s="174">
        <v>-5930</v>
      </c>
      <c r="K21" s="174">
        <v>-4670</v>
      </c>
      <c r="L21" s="174">
        <v>-5604</v>
      </c>
      <c r="M21" s="174">
        <v>-5695</v>
      </c>
      <c r="N21" s="174">
        <v>-5734</v>
      </c>
      <c r="O21" s="174">
        <v>-3167</v>
      </c>
      <c r="P21" s="174">
        <v>-2431</v>
      </c>
      <c r="Q21" s="174">
        <v>-3321</v>
      </c>
      <c r="R21" s="174">
        <v>-3855</v>
      </c>
      <c r="S21" s="174">
        <v>-2578</v>
      </c>
      <c r="XFD21" s="174">
        <f t="shared" si="1"/>
        <v>-92361</v>
      </c>
    </row>
    <row r="22" spans="2:19 16384:16384" ht="15" customHeight="1" x14ac:dyDescent="0.2">
      <c r="B22" s="75" t="s">
        <v>125</v>
      </c>
      <c r="C22" s="75" t="s">
        <v>126</v>
      </c>
      <c r="D22" s="84" t="s">
        <v>166</v>
      </c>
      <c r="E22" s="84">
        <v>0</v>
      </c>
      <c r="F22" s="84">
        <v>0</v>
      </c>
      <c r="G22" s="84">
        <v>0</v>
      </c>
      <c r="H22" s="84">
        <v>0</v>
      </c>
      <c r="I22" s="84">
        <v>0</v>
      </c>
      <c r="J22" s="84">
        <v>0</v>
      </c>
      <c r="K22" s="84">
        <v>0</v>
      </c>
      <c r="L22" s="84">
        <v>0</v>
      </c>
      <c r="M22" s="84">
        <v>0</v>
      </c>
      <c r="N22" s="84">
        <v>0</v>
      </c>
      <c r="O22" s="84">
        <v>0</v>
      </c>
      <c r="P22" s="84">
        <v>0</v>
      </c>
      <c r="Q22" s="84">
        <v>0</v>
      </c>
      <c r="R22" s="84">
        <v>0</v>
      </c>
      <c r="S22" s="84">
        <v>0</v>
      </c>
      <c r="XFD22" s="72">
        <f t="shared" si="1"/>
        <v>0</v>
      </c>
    </row>
    <row r="23" spans="2:19 16384:16384" ht="15" customHeight="1" x14ac:dyDescent="0.2">
      <c r="B23" s="75" t="s">
        <v>127</v>
      </c>
      <c r="C23" s="75" t="s">
        <v>128</v>
      </c>
      <c r="D23" s="174">
        <v>-6774.6</v>
      </c>
      <c r="E23" s="174">
        <v>-5012.0086764999969</v>
      </c>
      <c r="F23" s="174">
        <v>-4831.2198612249995</v>
      </c>
      <c r="G23" s="174">
        <v>-1764.7801387750001</v>
      </c>
      <c r="H23" s="174">
        <v>1338.6999999999971</v>
      </c>
      <c r="I23" s="174">
        <v>-5896</v>
      </c>
      <c r="J23" s="174">
        <v>2574.3000000000029</v>
      </c>
      <c r="K23" s="174">
        <v>-4990</v>
      </c>
      <c r="L23" s="174">
        <v>-3707</v>
      </c>
      <c r="M23" s="174">
        <v>-1608</v>
      </c>
      <c r="N23" s="174">
        <v>-1291</v>
      </c>
      <c r="O23" s="174">
        <v>-5127</v>
      </c>
      <c r="P23" s="174">
        <v>-4168</v>
      </c>
      <c r="Q23" s="174">
        <v>-3111</v>
      </c>
      <c r="R23" s="174">
        <v>-3871</v>
      </c>
      <c r="S23" s="174">
        <v>-3466</v>
      </c>
      <c r="XFD23" s="174">
        <f t="shared" si="1"/>
        <v>-51704.608676499993</v>
      </c>
    </row>
    <row r="24" spans="2:19 16384:16384" ht="15" customHeight="1" x14ac:dyDescent="0.2">
      <c r="B24" s="75" t="s">
        <v>141</v>
      </c>
      <c r="C24" s="75" t="s">
        <v>142</v>
      </c>
      <c r="D24" s="174">
        <v>-29117</v>
      </c>
      <c r="E24" s="174">
        <v>-1744</v>
      </c>
      <c r="F24" s="174">
        <v>-2369</v>
      </c>
      <c r="G24" s="174">
        <v>-2893</v>
      </c>
      <c r="H24" s="174">
        <v>-28172.3</v>
      </c>
      <c r="I24" s="174">
        <v>1966.3</v>
      </c>
      <c r="J24" s="174">
        <v>-1522</v>
      </c>
      <c r="K24" s="174">
        <v>-1691</v>
      </c>
      <c r="L24" s="174">
        <v>-4876</v>
      </c>
      <c r="M24" s="174">
        <v>-1323</v>
      </c>
      <c r="N24" s="174">
        <v>-2378</v>
      </c>
      <c r="O24" s="174">
        <v>-172</v>
      </c>
      <c r="P24" s="174">
        <v>-11355</v>
      </c>
      <c r="Q24" s="174">
        <v>1341</v>
      </c>
      <c r="R24" s="174">
        <v>1054</v>
      </c>
      <c r="S24" s="174">
        <v>-2395</v>
      </c>
      <c r="XFD24" s="174">
        <f t="shared" si="1"/>
        <v>-85646</v>
      </c>
    </row>
    <row r="25" spans="2:19 16384:16384" ht="15" customHeight="1" x14ac:dyDescent="0.2">
      <c r="B25" s="75" t="s">
        <v>139</v>
      </c>
      <c r="C25" s="75" t="s">
        <v>140</v>
      </c>
      <c r="D25" s="174">
        <v>-26256</v>
      </c>
      <c r="E25" s="174">
        <v>-378</v>
      </c>
      <c r="F25" s="174">
        <v>-14</v>
      </c>
      <c r="G25" s="174">
        <v>-76</v>
      </c>
      <c r="H25" s="174">
        <v>-121737</v>
      </c>
      <c r="I25" s="84">
        <v>0</v>
      </c>
      <c r="J25" s="84">
        <v>0</v>
      </c>
      <c r="K25" s="84">
        <v>0</v>
      </c>
      <c r="L25" s="84">
        <v>0</v>
      </c>
      <c r="M25" s="84">
        <v>0</v>
      </c>
      <c r="N25" s="84">
        <v>0</v>
      </c>
      <c r="O25" s="84">
        <v>0</v>
      </c>
      <c r="P25" s="84">
        <v>0</v>
      </c>
      <c r="Q25" s="84">
        <v>0</v>
      </c>
      <c r="R25" s="84">
        <v>0</v>
      </c>
      <c r="S25" s="84">
        <v>0</v>
      </c>
      <c r="XFD25" s="174">
        <f t="shared" si="1"/>
        <v>-148461</v>
      </c>
    </row>
    <row r="26" spans="2:19 16384:16384" ht="15" customHeight="1" x14ac:dyDescent="0.2">
      <c r="B26" s="75" t="s">
        <v>131</v>
      </c>
      <c r="C26" s="75" t="s">
        <v>132</v>
      </c>
      <c r="D26" s="174">
        <v>-380</v>
      </c>
      <c r="E26" s="174">
        <v>-63</v>
      </c>
      <c r="F26" s="174">
        <v>-427</v>
      </c>
      <c r="G26" s="174">
        <v>-237</v>
      </c>
      <c r="H26" s="174">
        <v>-729</v>
      </c>
      <c r="I26" s="174">
        <v>160</v>
      </c>
      <c r="J26" s="174">
        <v>-412</v>
      </c>
      <c r="K26" s="174">
        <v>-305</v>
      </c>
      <c r="L26" s="174">
        <v>-1094</v>
      </c>
      <c r="M26" s="174">
        <v>-544</v>
      </c>
      <c r="N26" s="174">
        <v>-337</v>
      </c>
      <c r="O26" s="174">
        <v>-229</v>
      </c>
      <c r="P26" s="174">
        <v>-116</v>
      </c>
      <c r="Q26" s="174">
        <v>-16</v>
      </c>
      <c r="R26" s="174">
        <v>-148</v>
      </c>
      <c r="S26" s="75">
        <v>-14</v>
      </c>
      <c r="XFD26" s="174">
        <f t="shared" si="1"/>
        <v>-4891</v>
      </c>
    </row>
    <row r="27" spans="2:19 16384:16384" s="64" customFormat="1" ht="15" customHeight="1" x14ac:dyDescent="0.2">
      <c r="B27" s="176" t="s">
        <v>147</v>
      </c>
      <c r="C27" s="176" t="s">
        <v>148</v>
      </c>
      <c r="D27" s="177">
        <v>-121469.6</v>
      </c>
      <c r="E27" s="177">
        <v>-49419.008676499994</v>
      </c>
      <c r="F27" s="177">
        <v>-33124.219861224999</v>
      </c>
      <c r="G27" s="177">
        <v>-47522.780138775001</v>
      </c>
      <c r="H27" s="177">
        <v>-206081.6</v>
      </c>
      <c r="I27" s="177">
        <v>-39127.399999999994</v>
      </c>
      <c r="J27" s="177">
        <v>-39845</v>
      </c>
      <c r="K27" s="177">
        <v>-46220</v>
      </c>
      <c r="L27" s="177">
        <v>-58832</v>
      </c>
      <c r="M27" s="177">
        <v>-21048</v>
      </c>
      <c r="N27" s="177">
        <v>-45581</v>
      </c>
      <c r="O27" s="177">
        <v>-44189</v>
      </c>
      <c r="P27" s="177">
        <v>-41693</v>
      </c>
      <c r="Q27" s="177">
        <v>-38391</v>
      </c>
      <c r="R27" s="177">
        <v>-41168</v>
      </c>
      <c r="S27" s="177">
        <v>-38968</v>
      </c>
      <c r="XFD27" s="205">
        <f t="shared" si="1"/>
        <v>-912679.60867650004</v>
      </c>
    </row>
    <row r="28" spans="2:19 16384:16384" ht="15.75" customHeight="1" x14ac:dyDescent="0.2"/>
    <row r="29" spans="2:19 16384:16384" ht="15.75" customHeight="1" x14ac:dyDescent="0.2"/>
    <row r="30" spans="2:19 16384:16384" ht="15.75" customHeight="1" x14ac:dyDescent="0.2"/>
    <row r="31" spans="2:19 16384:16384" ht="15.75" customHeight="1" x14ac:dyDescent="0.2"/>
    <row r="32" spans="2:19 16384:1638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48576" spans="4:19" ht="15" customHeight="1" x14ac:dyDescent="0.2">
      <c r="D1048576" s="174">
        <f t="shared" ref="D1048576:S1048576" si="2">SUM(D5:D1048575)</f>
        <v>-854107.2</v>
      </c>
      <c r="E1048576" s="174">
        <f t="shared" si="2"/>
        <v>-546820.98063300271</v>
      </c>
      <c r="F1048576" s="174">
        <f t="shared" si="2"/>
        <v>-393273.71664</v>
      </c>
      <c r="G1048576" s="174">
        <f t="shared" si="2"/>
        <v>-535054.28336</v>
      </c>
      <c r="H1048576" s="174">
        <f t="shared" si="2"/>
        <v>-964009.10962</v>
      </c>
      <c r="I1048576" s="174">
        <f t="shared" si="2"/>
        <v>-513445.20000000007</v>
      </c>
      <c r="J1048576" s="174">
        <f t="shared" si="2"/>
        <v>-485101.80000000005</v>
      </c>
      <c r="K1048576" s="174">
        <f t="shared" si="2"/>
        <v>-479556</v>
      </c>
      <c r="L1048576" s="174">
        <f t="shared" si="2"/>
        <v>-571382</v>
      </c>
      <c r="M1048576" s="174">
        <f t="shared" si="2"/>
        <v>-418660</v>
      </c>
      <c r="N1048576" s="174">
        <f t="shared" si="2"/>
        <v>-464474</v>
      </c>
      <c r="O1048576" s="174">
        <f t="shared" si="2"/>
        <v>-422862</v>
      </c>
      <c r="P1048576" s="174">
        <f t="shared" si="2"/>
        <v>-503998</v>
      </c>
      <c r="Q1048576" s="174">
        <f t="shared" si="2"/>
        <v>-440544</v>
      </c>
      <c r="R1048576" s="174">
        <f t="shared" si="2"/>
        <v>-409814</v>
      </c>
      <c r="S1048576" s="174">
        <f t="shared" si="2"/>
        <v>-377124</v>
      </c>
    </row>
  </sheetData>
  <mergeCells count="1">
    <mergeCell ref="B2:C2"/>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Capa | Cover</vt:lpstr>
      <vt:lpstr>BP |  BalanceSheet</vt:lpstr>
      <vt:lpstr>Fluxo de Caixa | CashFlow</vt:lpstr>
      <vt:lpstr>CashFlow Management</vt:lpstr>
      <vt:lpstr>Working Capital</vt:lpstr>
      <vt:lpstr>DRE I IncomeStatement</vt:lpstr>
      <vt:lpstr>DREajustada I Adj. Income Stat.</vt:lpstr>
      <vt:lpstr>Centauro Indicadores</vt:lpstr>
      <vt:lpstr>Fisia Indicadores</vt:lpstr>
      <vt:lpstr>DespPorNat. | ExpensesPerNature</vt:lpstr>
      <vt:lpstr>CAPEX</vt:lpstr>
      <vt:lpstr># Lojas | Stores</vt:lpstr>
      <vt:lpstr>ListaLojas | StoresList</vt:lpstr>
      <vt:lpstr>DRE ex-IFRS | IS ex-FRS</vt:lpstr>
      <vt:lpstr>BP ex-IFRS | BS ex-IFRS</vt:lpstr>
      <vt:lpstr>DespPorNat | ExpensesPerNa</vt:lpstr>
      <vt:lpstr>DesPorNat ex-IFRS | EPN ex-IFRS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 Grupo SBF" &lt;ri@gruposbf.com.br&gt;</dc:creator>
  <cp:lastModifiedBy>Joao Vito Marques Da Costa</cp:lastModifiedBy>
  <cp:lastPrinted>2023-04-13T12:39:44Z</cp:lastPrinted>
  <dcterms:created xsi:type="dcterms:W3CDTF">2020-11-11T18:50:57Z</dcterms:created>
  <dcterms:modified xsi:type="dcterms:W3CDTF">2026-03-09T20:39:47Z</dcterms:modified>
</cp:coreProperties>
</file>